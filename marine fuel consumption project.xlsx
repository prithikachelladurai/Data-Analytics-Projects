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4B9A806A-4FF9-4ED2-97A1-9A287764089C}" xr6:coauthVersionLast="47" xr6:coauthVersionMax="47" xr10:uidLastSave="{00000000-0000-0000-0000-000000000000}"/>
  <bookViews>
    <workbookView xWindow="-70" yWindow="0" windowWidth="19270" windowHeight="10080" activeTab="4" xr2:uid="{00000000-000D-0000-FFFF-FFFF00000000}"/>
  </bookViews>
  <sheets>
    <sheet name="datasets" sheetId="1" r:id="rId1"/>
    <sheet name="Clcs" sheetId="2" state="hidden" r:id="rId2"/>
    <sheet name="PivotTables" sheetId="5" r:id="rId3"/>
    <sheet name="Calculations" sheetId="11" r:id="rId4"/>
    <sheet name="dashboard" sheetId="7" r:id="rId5"/>
  </sheets>
  <definedNames>
    <definedName name="Slicer_Ship_Nam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1" l="1"/>
  <c r="E11" i="11"/>
  <c r="E10" i="11"/>
  <c r="E6" i="11"/>
  <c r="B14" i="11"/>
  <c r="B10" i="11"/>
  <c r="B6" i="11"/>
  <c r="X1001" i="2"/>
  <c r="W1001" i="2"/>
  <c r="V1001" i="2"/>
  <c r="U1001" i="2"/>
  <c r="S1001" i="2"/>
  <c r="R1001" i="2"/>
  <c r="Q1001" i="2"/>
  <c r="P1001" i="2"/>
  <c r="T1001" i="2" s="1"/>
  <c r="X1000" i="2"/>
  <c r="W1000" i="2"/>
  <c r="V1000" i="2"/>
  <c r="U1000" i="2"/>
  <c r="T1000" i="2"/>
  <c r="S1000" i="2"/>
  <c r="R1000" i="2"/>
  <c r="Q1000" i="2"/>
  <c r="P1000" i="2"/>
  <c r="X999" i="2"/>
  <c r="W999" i="2"/>
  <c r="V999" i="2"/>
  <c r="U999" i="2"/>
  <c r="T999" i="2"/>
  <c r="S999" i="2"/>
  <c r="R999" i="2"/>
  <c r="Q999" i="2"/>
  <c r="P999" i="2"/>
  <c r="X998" i="2"/>
  <c r="W998" i="2"/>
  <c r="V998" i="2"/>
  <c r="U998" i="2"/>
  <c r="T998" i="2"/>
  <c r="S998" i="2"/>
  <c r="R998" i="2"/>
  <c r="Q998" i="2"/>
  <c r="P998" i="2"/>
  <c r="X997" i="2"/>
  <c r="W997" i="2"/>
  <c r="V997" i="2"/>
  <c r="U997" i="2"/>
  <c r="S997" i="2"/>
  <c r="R997" i="2"/>
  <c r="Q997" i="2"/>
  <c r="P997" i="2"/>
  <c r="T997" i="2" s="1"/>
  <c r="X996" i="2"/>
  <c r="W996" i="2"/>
  <c r="V996" i="2"/>
  <c r="U996" i="2"/>
  <c r="S996" i="2"/>
  <c r="R996" i="2"/>
  <c r="Q996" i="2"/>
  <c r="P996" i="2"/>
  <c r="T996" i="2" s="1"/>
  <c r="X995" i="2"/>
  <c r="W995" i="2"/>
  <c r="V995" i="2"/>
  <c r="U995" i="2"/>
  <c r="S995" i="2"/>
  <c r="R995" i="2"/>
  <c r="Q995" i="2"/>
  <c r="P995" i="2"/>
  <c r="T995" i="2" s="1"/>
  <c r="X994" i="2"/>
  <c r="W994" i="2"/>
  <c r="V994" i="2"/>
  <c r="U994" i="2"/>
  <c r="S994" i="2"/>
  <c r="R994" i="2"/>
  <c r="Q994" i="2"/>
  <c r="P994" i="2"/>
  <c r="T994" i="2" s="1"/>
  <c r="X993" i="2"/>
  <c r="W993" i="2"/>
  <c r="V993" i="2"/>
  <c r="U993" i="2"/>
  <c r="T993" i="2"/>
  <c r="S993" i="2"/>
  <c r="R993" i="2"/>
  <c r="Q993" i="2"/>
  <c r="P993" i="2"/>
  <c r="X992" i="2"/>
  <c r="W992" i="2"/>
  <c r="V992" i="2"/>
  <c r="U992" i="2"/>
  <c r="T992" i="2"/>
  <c r="S992" i="2"/>
  <c r="R992" i="2"/>
  <c r="Q992" i="2"/>
  <c r="P992" i="2"/>
  <c r="X991" i="2"/>
  <c r="W991" i="2"/>
  <c r="V991" i="2"/>
  <c r="U991" i="2"/>
  <c r="T991" i="2"/>
  <c r="S991" i="2"/>
  <c r="R991" i="2"/>
  <c r="Q991" i="2"/>
  <c r="P991" i="2"/>
  <c r="X990" i="2"/>
  <c r="W990" i="2"/>
  <c r="V990" i="2"/>
  <c r="U990" i="2"/>
  <c r="T990" i="2"/>
  <c r="S990" i="2"/>
  <c r="R990" i="2"/>
  <c r="Q990" i="2"/>
  <c r="P990" i="2"/>
  <c r="X989" i="2"/>
  <c r="W989" i="2"/>
  <c r="V989" i="2"/>
  <c r="U989" i="2"/>
  <c r="S989" i="2"/>
  <c r="R989" i="2"/>
  <c r="Q989" i="2"/>
  <c r="P989" i="2"/>
  <c r="T989" i="2" s="1"/>
  <c r="X988" i="2"/>
  <c r="W988" i="2"/>
  <c r="V988" i="2"/>
  <c r="U988" i="2"/>
  <c r="S988" i="2"/>
  <c r="R988" i="2"/>
  <c r="Q988" i="2"/>
  <c r="P988" i="2"/>
  <c r="T988" i="2" s="1"/>
  <c r="X987" i="2"/>
  <c r="W987" i="2"/>
  <c r="V987" i="2"/>
  <c r="U987" i="2"/>
  <c r="S987" i="2"/>
  <c r="R987" i="2"/>
  <c r="Q987" i="2"/>
  <c r="P987" i="2"/>
  <c r="T987" i="2" s="1"/>
  <c r="X986" i="2"/>
  <c r="W986" i="2"/>
  <c r="V986" i="2"/>
  <c r="U986" i="2"/>
  <c r="S986" i="2"/>
  <c r="R986" i="2"/>
  <c r="Q986" i="2"/>
  <c r="P986" i="2"/>
  <c r="T986" i="2" s="1"/>
  <c r="X985" i="2"/>
  <c r="W985" i="2"/>
  <c r="V985" i="2"/>
  <c r="U985" i="2"/>
  <c r="T985" i="2"/>
  <c r="S985" i="2"/>
  <c r="R985" i="2"/>
  <c r="Q985" i="2"/>
  <c r="P985" i="2"/>
  <c r="X984" i="2"/>
  <c r="W984" i="2"/>
  <c r="V984" i="2"/>
  <c r="U984" i="2"/>
  <c r="T984" i="2"/>
  <c r="S984" i="2"/>
  <c r="R984" i="2"/>
  <c r="Q984" i="2"/>
  <c r="P984" i="2"/>
  <c r="X983" i="2"/>
  <c r="W983" i="2"/>
  <c r="V983" i="2"/>
  <c r="U983" i="2"/>
  <c r="T983" i="2"/>
  <c r="S983" i="2"/>
  <c r="R983" i="2"/>
  <c r="Q983" i="2"/>
  <c r="P983" i="2"/>
  <c r="X982" i="2"/>
  <c r="W982" i="2"/>
  <c r="V982" i="2"/>
  <c r="U982" i="2"/>
  <c r="T982" i="2"/>
  <c r="S982" i="2"/>
  <c r="R982" i="2"/>
  <c r="Q982" i="2"/>
  <c r="P982" i="2"/>
  <c r="X981" i="2"/>
  <c r="W981" i="2"/>
  <c r="V981" i="2"/>
  <c r="U981" i="2"/>
  <c r="S981" i="2"/>
  <c r="R981" i="2"/>
  <c r="Q981" i="2"/>
  <c r="P981" i="2"/>
  <c r="T981" i="2" s="1"/>
  <c r="X980" i="2"/>
  <c r="W980" i="2"/>
  <c r="V980" i="2"/>
  <c r="U980" i="2"/>
  <c r="S980" i="2"/>
  <c r="R980" i="2"/>
  <c r="Q980" i="2"/>
  <c r="P980" i="2"/>
  <c r="T980" i="2" s="1"/>
  <c r="X979" i="2"/>
  <c r="W979" i="2"/>
  <c r="V979" i="2"/>
  <c r="U979" i="2"/>
  <c r="S979" i="2"/>
  <c r="R979" i="2"/>
  <c r="Q979" i="2"/>
  <c r="P979" i="2"/>
  <c r="T979" i="2" s="1"/>
  <c r="X978" i="2"/>
  <c r="W978" i="2"/>
  <c r="V978" i="2"/>
  <c r="U978" i="2"/>
  <c r="S978" i="2"/>
  <c r="R978" i="2"/>
  <c r="Q978" i="2"/>
  <c r="P978" i="2"/>
  <c r="T978" i="2" s="1"/>
  <c r="X977" i="2"/>
  <c r="W977" i="2"/>
  <c r="V977" i="2"/>
  <c r="U977" i="2"/>
  <c r="T977" i="2"/>
  <c r="S977" i="2"/>
  <c r="R977" i="2"/>
  <c r="Q977" i="2"/>
  <c r="P977" i="2"/>
  <c r="X976" i="2"/>
  <c r="W976" i="2"/>
  <c r="V976" i="2"/>
  <c r="U976" i="2"/>
  <c r="T976" i="2"/>
  <c r="S976" i="2"/>
  <c r="R976" i="2"/>
  <c r="Q976" i="2"/>
  <c r="P976" i="2"/>
  <c r="X975" i="2"/>
  <c r="W975" i="2"/>
  <c r="V975" i="2"/>
  <c r="U975" i="2"/>
  <c r="T975" i="2"/>
  <c r="S975" i="2"/>
  <c r="R975" i="2"/>
  <c r="Q975" i="2"/>
  <c r="P975" i="2"/>
  <c r="X974" i="2"/>
  <c r="W974" i="2"/>
  <c r="V974" i="2"/>
  <c r="U974" i="2"/>
  <c r="T974" i="2"/>
  <c r="S974" i="2"/>
  <c r="R974" i="2"/>
  <c r="Q974" i="2"/>
  <c r="P974" i="2"/>
  <c r="X973" i="2"/>
  <c r="W973" i="2"/>
  <c r="V973" i="2"/>
  <c r="U973" i="2"/>
  <c r="S973" i="2"/>
  <c r="R973" i="2"/>
  <c r="Q973" i="2"/>
  <c r="P973" i="2"/>
  <c r="T973" i="2" s="1"/>
  <c r="X972" i="2"/>
  <c r="W972" i="2"/>
  <c r="V972" i="2"/>
  <c r="U972" i="2"/>
  <c r="S972" i="2"/>
  <c r="R972" i="2"/>
  <c r="Q972" i="2"/>
  <c r="P972" i="2"/>
  <c r="T972" i="2" s="1"/>
  <c r="X971" i="2"/>
  <c r="W971" i="2"/>
  <c r="V971" i="2"/>
  <c r="U971" i="2"/>
  <c r="S971" i="2"/>
  <c r="R971" i="2"/>
  <c r="Q971" i="2"/>
  <c r="P971" i="2"/>
  <c r="T971" i="2" s="1"/>
  <c r="X970" i="2"/>
  <c r="W970" i="2"/>
  <c r="V970" i="2"/>
  <c r="U970" i="2"/>
  <c r="S970" i="2"/>
  <c r="R970" i="2"/>
  <c r="Q970" i="2"/>
  <c r="P970" i="2"/>
  <c r="T970" i="2" s="1"/>
  <c r="X969" i="2"/>
  <c r="W969" i="2"/>
  <c r="V969" i="2"/>
  <c r="U969" i="2"/>
  <c r="T969" i="2"/>
  <c r="S969" i="2"/>
  <c r="R969" i="2"/>
  <c r="Q969" i="2"/>
  <c r="P969" i="2"/>
  <c r="X968" i="2"/>
  <c r="W968" i="2"/>
  <c r="V968" i="2"/>
  <c r="U968" i="2"/>
  <c r="T968" i="2"/>
  <c r="S968" i="2"/>
  <c r="R968" i="2"/>
  <c r="Q968" i="2"/>
  <c r="P968" i="2"/>
  <c r="X967" i="2"/>
  <c r="W967" i="2"/>
  <c r="V967" i="2"/>
  <c r="U967" i="2"/>
  <c r="T967" i="2"/>
  <c r="S967" i="2"/>
  <c r="R967" i="2"/>
  <c r="Q967" i="2"/>
  <c r="P967" i="2"/>
  <c r="X966" i="2"/>
  <c r="W966" i="2"/>
  <c r="V966" i="2"/>
  <c r="U966" i="2"/>
  <c r="T966" i="2"/>
  <c r="S966" i="2"/>
  <c r="R966" i="2"/>
  <c r="Q966" i="2"/>
  <c r="P966" i="2"/>
  <c r="X965" i="2"/>
  <c r="W965" i="2"/>
  <c r="V965" i="2"/>
  <c r="U965" i="2"/>
  <c r="S965" i="2"/>
  <c r="R965" i="2"/>
  <c r="Q965" i="2"/>
  <c r="P965" i="2"/>
  <c r="T965" i="2" s="1"/>
  <c r="X964" i="2"/>
  <c r="W964" i="2"/>
  <c r="V964" i="2"/>
  <c r="U964" i="2"/>
  <c r="S964" i="2"/>
  <c r="R964" i="2"/>
  <c r="Q964" i="2"/>
  <c r="P964" i="2"/>
  <c r="T964" i="2" s="1"/>
  <c r="X963" i="2"/>
  <c r="W963" i="2"/>
  <c r="V963" i="2"/>
  <c r="U963" i="2"/>
  <c r="S963" i="2"/>
  <c r="R963" i="2"/>
  <c r="Q963" i="2"/>
  <c r="P963" i="2"/>
  <c r="T963" i="2" s="1"/>
  <c r="X962" i="2"/>
  <c r="W962" i="2"/>
  <c r="V962" i="2"/>
  <c r="U962" i="2"/>
  <c r="S962" i="2"/>
  <c r="R962" i="2"/>
  <c r="Q962" i="2"/>
  <c r="P962" i="2"/>
  <c r="T962" i="2" s="1"/>
  <c r="X961" i="2"/>
  <c r="W961" i="2"/>
  <c r="V961" i="2"/>
  <c r="U961" i="2"/>
  <c r="T961" i="2"/>
  <c r="S961" i="2"/>
  <c r="R961" i="2"/>
  <c r="Q961" i="2"/>
  <c r="P961" i="2"/>
  <c r="X960" i="2"/>
  <c r="W960" i="2"/>
  <c r="V960" i="2"/>
  <c r="U960" i="2"/>
  <c r="T960" i="2"/>
  <c r="S960" i="2"/>
  <c r="R960" i="2"/>
  <c r="Q960" i="2"/>
  <c r="P960" i="2"/>
  <c r="X959" i="2"/>
  <c r="W959" i="2"/>
  <c r="V959" i="2"/>
  <c r="U959" i="2"/>
  <c r="T959" i="2"/>
  <c r="S959" i="2"/>
  <c r="R959" i="2"/>
  <c r="Q959" i="2"/>
  <c r="P959" i="2"/>
  <c r="X958" i="2"/>
  <c r="W958" i="2"/>
  <c r="V958" i="2"/>
  <c r="U958" i="2"/>
  <c r="T958" i="2"/>
  <c r="S958" i="2"/>
  <c r="R958" i="2"/>
  <c r="Q958" i="2"/>
  <c r="P958" i="2"/>
  <c r="X957" i="2"/>
  <c r="W957" i="2"/>
  <c r="V957" i="2"/>
  <c r="U957" i="2"/>
  <c r="S957" i="2"/>
  <c r="R957" i="2"/>
  <c r="Q957" i="2"/>
  <c r="P957" i="2"/>
  <c r="T957" i="2" s="1"/>
  <c r="X956" i="2"/>
  <c r="W956" i="2"/>
  <c r="V956" i="2"/>
  <c r="U956" i="2"/>
  <c r="S956" i="2"/>
  <c r="R956" i="2"/>
  <c r="Q956" i="2"/>
  <c r="P956" i="2"/>
  <c r="T956" i="2" s="1"/>
  <c r="X955" i="2"/>
  <c r="W955" i="2"/>
  <c r="V955" i="2"/>
  <c r="U955" i="2"/>
  <c r="S955" i="2"/>
  <c r="R955" i="2"/>
  <c r="Q955" i="2"/>
  <c r="P955" i="2"/>
  <c r="T955" i="2" s="1"/>
  <c r="X954" i="2"/>
  <c r="W954" i="2"/>
  <c r="V954" i="2"/>
  <c r="U954" i="2"/>
  <c r="S954" i="2"/>
  <c r="R954" i="2"/>
  <c r="Q954" i="2"/>
  <c r="P954" i="2"/>
  <c r="T954" i="2" s="1"/>
  <c r="X953" i="2"/>
  <c r="W953" i="2"/>
  <c r="V953" i="2"/>
  <c r="U953" i="2"/>
  <c r="T953" i="2"/>
  <c r="S953" i="2"/>
  <c r="R953" i="2"/>
  <c r="Q953" i="2"/>
  <c r="P953" i="2"/>
  <c r="X952" i="2"/>
  <c r="W952" i="2"/>
  <c r="V952" i="2"/>
  <c r="U952" i="2"/>
  <c r="T952" i="2"/>
  <c r="S952" i="2"/>
  <c r="R952" i="2"/>
  <c r="Q952" i="2"/>
  <c r="P952" i="2"/>
  <c r="X951" i="2"/>
  <c r="W951" i="2"/>
  <c r="V951" i="2"/>
  <c r="U951" i="2"/>
  <c r="T951" i="2"/>
  <c r="S951" i="2"/>
  <c r="R951" i="2"/>
  <c r="Q951" i="2"/>
  <c r="P951" i="2"/>
  <c r="X950" i="2"/>
  <c r="W950" i="2"/>
  <c r="V950" i="2"/>
  <c r="U950" i="2"/>
  <c r="T950" i="2"/>
  <c r="S950" i="2"/>
  <c r="R950" i="2"/>
  <c r="Q950" i="2"/>
  <c r="P950" i="2"/>
  <c r="X949" i="2"/>
  <c r="W949" i="2"/>
  <c r="V949" i="2"/>
  <c r="U949" i="2"/>
  <c r="S949" i="2"/>
  <c r="R949" i="2"/>
  <c r="Q949" i="2"/>
  <c r="P949" i="2"/>
  <c r="T949" i="2" s="1"/>
  <c r="X948" i="2"/>
  <c r="W948" i="2"/>
  <c r="V948" i="2"/>
  <c r="U948" i="2"/>
  <c r="S948" i="2"/>
  <c r="R948" i="2"/>
  <c r="Q948" i="2"/>
  <c r="P948" i="2"/>
  <c r="T948" i="2" s="1"/>
  <c r="X947" i="2"/>
  <c r="W947" i="2"/>
  <c r="V947" i="2"/>
  <c r="U947" i="2"/>
  <c r="S947" i="2"/>
  <c r="R947" i="2"/>
  <c r="Q947" i="2"/>
  <c r="P947" i="2"/>
  <c r="T947" i="2" s="1"/>
  <c r="X946" i="2"/>
  <c r="W946" i="2"/>
  <c r="V946" i="2"/>
  <c r="U946" i="2"/>
  <c r="S946" i="2"/>
  <c r="R946" i="2"/>
  <c r="Q946" i="2"/>
  <c r="P946" i="2"/>
  <c r="T946" i="2" s="1"/>
  <c r="X945" i="2"/>
  <c r="W945" i="2"/>
  <c r="V945" i="2"/>
  <c r="U945" i="2"/>
  <c r="T945" i="2"/>
  <c r="S945" i="2"/>
  <c r="R945" i="2"/>
  <c r="Q945" i="2"/>
  <c r="P945" i="2"/>
  <c r="X944" i="2"/>
  <c r="W944" i="2"/>
  <c r="V944" i="2"/>
  <c r="U944" i="2"/>
  <c r="T944" i="2"/>
  <c r="S944" i="2"/>
  <c r="R944" i="2"/>
  <c r="Q944" i="2"/>
  <c r="P944" i="2"/>
  <c r="X943" i="2"/>
  <c r="W943" i="2"/>
  <c r="V943" i="2"/>
  <c r="U943" i="2"/>
  <c r="T943" i="2"/>
  <c r="S943" i="2"/>
  <c r="R943" i="2"/>
  <c r="Q943" i="2"/>
  <c r="P943" i="2"/>
  <c r="X942" i="2"/>
  <c r="W942" i="2"/>
  <c r="V942" i="2"/>
  <c r="U942" i="2"/>
  <c r="T942" i="2"/>
  <c r="S942" i="2"/>
  <c r="R942" i="2"/>
  <c r="Q942" i="2"/>
  <c r="P942" i="2"/>
  <c r="X941" i="2"/>
  <c r="W941" i="2"/>
  <c r="V941" i="2"/>
  <c r="U941" i="2"/>
  <c r="S941" i="2"/>
  <c r="R941" i="2"/>
  <c r="Q941" i="2"/>
  <c r="P941" i="2"/>
  <c r="T941" i="2" s="1"/>
  <c r="X940" i="2"/>
  <c r="W940" i="2"/>
  <c r="V940" i="2"/>
  <c r="U940" i="2"/>
  <c r="S940" i="2"/>
  <c r="R940" i="2"/>
  <c r="Q940" i="2"/>
  <c r="P940" i="2"/>
  <c r="T940" i="2" s="1"/>
  <c r="X939" i="2"/>
  <c r="W939" i="2"/>
  <c r="V939" i="2"/>
  <c r="U939" i="2"/>
  <c r="S939" i="2"/>
  <c r="R939" i="2"/>
  <c r="Q939" i="2"/>
  <c r="P939" i="2"/>
  <c r="T939" i="2" s="1"/>
  <c r="X938" i="2"/>
  <c r="W938" i="2"/>
  <c r="V938" i="2"/>
  <c r="U938" i="2"/>
  <c r="S938" i="2"/>
  <c r="R938" i="2"/>
  <c r="Q938" i="2"/>
  <c r="P938" i="2"/>
  <c r="T938" i="2" s="1"/>
  <c r="X937" i="2"/>
  <c r="W937" i="2"/>
  <c r="V937" i="2"/>
  <c r="U937" i="2"/>
  <c r="T937" i="2"/>
  <c r="S937" i="2"/>
  <c r="R937" i="2"/>
  <c r="Q937" i="2"/>
  <c r="P937" i="2"/>
  <c r="X936" i="2"/>
  <c r="W936" i="2"/>
  <c r="V936" i="2"/>
  <c r="U936" i="2"/>
  <c r="T936" i="2"/>
  <c r="S936" i="2"/>
  <c r="R936" i="2"/>
  <c r="Q936" i="2"/>
  <c r="P936" i="2"/>
  <c r="X935" i="2"/>
  <c r="W935" i="2"/>
  <c r="V935" i="2"/>
  <c r="U935" i="2"/>
  <c r="T935" i="2"/>
  <c r="S935" i="2"/>
  <c r="R935" i="2"/>
  <c r="Q935" i="2"/>
  <c r="P935" i="2"/>
  <c r="X934" i="2"/>
  <c r="W934" i="2"/>
  <c r="V934" i="2"/>
  <c r="U934" i="2"/>
  <c r="T934" i="2"/>
  <c r="S934" i="2"/>
  <c r="R934" i="2"/>
  <c r="Q934" i="2"/>
  <c r="P934" i="2"/>
  <c r="X933" i="2"/>
  <c r="W933" i="2"/>
  <c r="V933" i="2"/>
  <c r="U933" i="2"/>
  <c r="S933" i="2"/>
  <c r="R933" i="2"/>
  <c r="Q933" i="2"/>
  <c r="P933" i="2"/>
  <c r="T933" i="2" s="1"/>
  <c r="X932" i="2"/>
  <c r="W932" i="2"/>
  <c r="V932" i="2"/>
  <c r="U932" i="2"/>
  <c r="S932" i="2"/>
  <c r="R932" i="2"/>
  <c r="Q932" i="2"/>
  <c r="P932" i="2"/>
  <c r="T932" i="2" s="1"/>
  <c r="X931" i="2"/>
  <c r="W931" i="2"/>
  <c r="V931" i="2"/>
  <c r="U931" i="2"/>
  <c r="S931" i="2"/>
  <c r="R931" i="2"/>
  <c r="Q931" i="2"/>
  <c r="P931" i="2"/>
  <c r="T931" i="2" s="1"/>
  <c r="X930" i="2"/>
  <c r="W930" i="2"/>
  <c r="V930" i="2"/>
  <c r="U930" i="2"/>
  <c r="S930" i="2"/>
  <c r="R930" i="2"/>
  <c r="Q930" i="2"/>
  <c r="P930" i="2"/>
  <c r="T930" i="2" s="1"/>
  <c r="X929" i="2"/>
  <c r="W929" i="2"/>
  <c r="V929" i="2"/>
  <c r="U929" i="2"/>
  <c r="T929" i="2"/>
  <c r="S929" i="2"/>
  <c r="R929" i="2"/>
  <c r="Q929" i="2"/>
  <c r="P929" i="2"/>
  <c r="X928" i="2"/>
  <c r="W928" i="2"/>
  <c r="V928" i="2"/>
  <c r="U928" i="2"/>
  <c r="T928" i="2"/>
  <c r="S928" i="2"/>
  <c r="R928" i="2"/>
  <c r="Q928" i="2"/>
  <c r="P928" i="2"/>
  <c r="X927" i="2"/>
  <c r="W927" i="2"/>
  <c r="V927" i="2"/>
  <c r="U927" i="2"/>
  <c r="T927" i="2"/>
  <c r="S927" i="2"/>
  <c r="R927" i="2"/>
  <c r="Q927" i="2"/>
  <c r="P927" i="2"/>
  <c r="X926" i="2"/>
  <c r="W926" i="2"/>
  <c r="V926" i="2"/>
  <c r="U926" i="2"/>
  <c r="T926" i="2"/>
  <c r="S926" i="2"/>
  <c r="R926" i="2"/>
  <c r="Q926" i="2"/>
  <c r="P926" i="2"/>
  <c r="X925" i="2"/>
  <c r="W925" i="2"/>
  <c r="V925" i="2"/>
  <c r="U925" i="2"/>
  <c r="S925" i="2"/>
  <c r="R925" i="2"/>
  <c r="Q925" i="2"/>
  <c r="P925" i="2"/>
  <c r="T925" i="2" s="1"/>
  <c r="X924" i="2"/>
  <c r="W924" i="2"/>
  <c r="V924" i="2"/>
  <c r="U924" i="2"/>
  <c r="S924" i="2"/>
  <c r="R924" i="2"/>
  <c r="Q924" i="2"/>
  <c r="P924" i="2"/>
  <c r="T924" i="2" s="1"/>
  <c r="X923" i="2"/>
  <c r="W923" i="2"/>
  <c r="V923" i="2"/>
  <c r="U923" i="2"/>
  <c r="S923" i="2"/>
  <c r="R923" i="2"/>
  <c r="Q923" i="2"/>
  <c r="P923" i="2"/>
  <c r="T923" i="2" s="1"/>
  <c r="X922" i="2"/>
  <c r="W922" i="2"/>
  <c r="V922" i="2"/>
  <c r="U922" i="2"/>
  <c r="S922" i="2"/>
  <c r="R922" i="2"/>
  <c r="Q922" i="2"/>
  <c r="P922" i="2"/>
  <c r="T922" i="2" s="1"/>
  <c r="X921" i="2"/>
  <c r="W921" i="2"/>
  <c r="V921" i="2"/>
  <c r="U921" i="2"/>
  <c r="T921" i="2"/>
  <c r="S921" i="2"/>
  <c r="R921" i="2"/>
  <c r="Q921" i="2"/>
  <c r="P921" i="2"/>
  <c r="X920" i="2"/>
  <c r="W920" i="2"/>
  <c r="V920" i="2"/>
  <c r="U920" i="2"/>
  <c r="T920" i="2"/>
  <c r="S920" i="2"/>
  <c r="R920" i="2"/>
  <c r="Q920" i="2"/>
  <c r="P920" i="2"/>
  <c r="X919" i="2"/>
  <c r="W919" i="2"/>
  <c r="V919" i="2"/>
  <c r="U919" i="2"/>
  <c r="T919" i="2"/>
  <c r="S919" i="2"/>
  <c r="R919" i="2"/>
  <c r="Q919" i="2"/>
  <c r="P919" i="2"/>
  <c r="X918" i="2"/>
  <c r="W918" i="2"/>
  <c r="V918" i="2"/>
  <c r="U918" i="2"/>
  <c r="T918" i="2"/>
  <c r="S918" i="2"/>
  <c r="R918" i="2"/>
  <c r="Q918" i="2"/>
  <c r="P918" i="2"/>
  <c r="X917" i="2"/>
  <c r="W917" i="2"/>
  <c r="V917" i="2"/>
  <c r="U917" i="2"/>
  <c r="S917" i="2"/>
  <c r="R917" i="2"/>
  <c r="Q917" i="2"/>
  <c r="P917" i="2"/>
  <c r="T917" i="2" s="1"/>
  <c r="X916" i="2"/>
  <c r="W916" i="2"/>
  <c r="V916" i="2"/>
  <c r="U916" i="2"/>
  <c r="S916" i="2"/>
  <c r="R916" i="2"/>
  <c r="Q916" i="2"/>
  <c r="P916" i="2"/>
  <c r="T916" i="2" s="1"/>
  <c r="X915" i="2"/>
  <c r="W915" i="2"/>
  <c r="V915" i="2"/>
  <c r="U915" i="2"/>
  <c r="S915" i="2"/>
  <c r="R915" i="2"/>
  <c r="Q915" i="2"/>
  <c r="P915" i="2"/>
  <c r="T915" i="2" s="1"/>
  <c r="X914" i="2"/>
  <c r="W914" i="2"/>
  <c r="V914" i="2"/>
  <c r="U914" i="2"/>
  <c r="S914" i="2"/>
  <c r="R914" i="2"/>
  <c r="Q914" i="2"/>
  <c r="P914" i="2"/>
  <c r="T914" i="2" s="1"/>
  <c r="X913" i="2"/>
  <c r="W913" i="2"/>
  <c r="V913" i="2"/>
  <c r="U913" i="2"/>
  <c r="T913" i="2"/>
  <c r="S913" i="2"/>
  <c r="R913" i="2"/>
  <c r="Q913" i="2"/>
  <c r="P913" i="2"/>
  <c r="X912" i="2"/>
  <c r="W912" i="2"/>
  <c r="V912" i="2"/>
  <c r="U912" i="2"/>
  <c r="T912" i="2"/>
  <c r="S912" i="2"/>
  <c r="R912" i="2"/>
  <c r="Q912" i="2"/>
  <c r="P912" i="2"/>
  <c r="X911" i="2"/>
  <c r="W911" i="2"/>
  <c r="V911" i="2"/>
  <c r="U911" i="2"/>
  <c r="T911" i="2"/>
  <c r="S911" i="2"/>
  <c r="R911" i="2"/>
  <c r="Q911" i="2"/>
  <c r="P911" i="2"/>
  <c r="X910" i="2"/>
  <c r="W910" i="2"/>
  <c r="V910" i="2"/>
  <c r="U910" i="2"/>
  <c r="T910" i="2"/>
  <c r="S910" i="2"/>
  <c r="R910" i="2"/>
  <c r="Q910" i="2"/>
  <c r="P910" i="2"/>
  <c r="X909" i="2"/>
  <c r="W909" i="2"/>
  <c r="V909" i="2"/>
  <c r="U909" i="2"/>
  <c r="S909" i="2"/>
  <c r="R909" i="2"/>
  <c r="Q909" i="2"/>
  <c r="P909" i="2"/>
  <c r="T909" i="2" s="1"/>
  <c r="X908" i="2"/>
  <c r="W908" i="2"/>
  <c r="V908" i="2"/>
  <c r="U908" i="2"/>
  <c r="S908" i="2"/>
  <c r="R908" i="2"/>
  <c r="Q908" i="2"/>
  <c r="P908" i="2"/>
  <c r="T908" i="2" s="1"/>
  <c r="X907" i="2"/>
  <c r="W907" i="2"/>
  <c r="V907" i="2"/>
  <c r="U907" i="2"/>
  <c r="S907" i="2"/>
  <c r="R907" i="2"/>
  <c r="Q907" i="2"/>
  <c r="P907" i="2"/>
  <c r="T907" i="2" s="1"/>
  <c r="X906" i="2"/>
  <c r="W906" i="2"/>
  <c r="V906" i="2"/>
  <c r="U906" i="2"/>
  <c r="S906" i="2"/>
  <c r="R906" i="2"/>
  <c r="Q906" i="2"/>
  <c r="P906" i="2"/>
  <c r="T906" i="2" s="1"/>
  <c r="X905" i="2"/>
  <c r="W905" i="2"/>
  <c r="V905" i="2"/>
  <c r="U905" i="2"/>
  <c r="T905" i="2"/>
  <c r="S905" i="2"/>
  <c r="R905" i="2"/>
  <c r="Q905" i="2"/>
  <c r="P905" i="2"/>
  <c r="X904" i="2"/>
  <c r="W904" i="2"/>
  <c r="V904" i="2"/>
  <c r="U904" i="2"/>
  <c r="T904" i="2"/>
  <c r="S904" i="2"/>
  <c r="R904" i="2"/>
  <c r="Q904" i="2"/>
  <c r="P904" i="2"/>
  <c r="X903" i="2"/>
  <c r="W903" i="2"/>
  <c r="V903" i="2"/>
  <c r="U903" i="2"/>
  <c r="T903" i="2"/>
  <c r="S903" i="2"/>
  <c r="R903" i="2"/>
  <c r="Q903" i="2"/>
  <c r="P903" i="2"/>
  <c r="X902" i="2"/>
  <c r="W902" i="2"/>
  <c r="V902" i="2"/>
  <c r="U902" i="2"/>
  <c r="T902" i="2"/>
  <c r="S902" i="2"/>
  <c r="R902" i="2"/>
  <c r="Q902" i="2"/>
  <c r="P902" i="2"/>
  <c r="X901" i="2"/>
  <c r="W901" i="2"/>
  <c r="V901" i="2"/>
  <c r="U901" i="2"/>
  <c r="S901" i="2"/>
  <c r="R901" i="2"/>
  <c r="Q901" i="2"/>
  <c r="P901" i="2"/>
  <c r="T901" i="2" s="1"/>
  <c r="X900" i="2"/>
  <c r="W900" i="2"/>
  <c r="V900" i="2"/>
  <c r="U900" i="2"/>
  <c r="S900" i="2"/>
  <c r="R900" i="2"/>
  <c r="Q900" i="2"/>
  <c r="P900" i="2"/>
  <c r="T900" i="2" s="1"/>
  <c r="X899" i="2"/>
  <c r="W899" i="2"/>
  <c r="V899" i="2"/>
  <c r="U899" i="2"/>
  <c r="S899" i="2"/>
  <c r="R899" i="2"/>
  <c r="Q899" i="2"/>
  <c r="P899" i="2"/>
  <c r="T899" i="2" s="1"/>
  <c r="X898" i="2"/>
  <c r="W898" i="2"/>
  <c r="V898" i="2"/>
  <c r="U898" i="2"/>
  <c r="S898" i="2"/>
  <c r="R898" i="2"/>
  <c r="Q898" i="2"/>
  <c r="P898" i="2"/>
  <c r="T898" i="2" s="1"/>
  <c r="X897" i="2"/>
  <c r="W897" i="2"/>
  <c r="V897" i="2"/>
  <c r="U897" i="2"/>
  <c r="T897" i="2"/>
  <c r="S897" i="2"/>
  <c r="R897" i="2"/>
  <c r="Q897" i="2"/>
  <c r="P897" i="2"/>
  <c r="X896" i="2"/>
  <c r="W896" i="2"/>
  <c r="V896" i="2"/>
  <c r="U896" i="2"/>
  <c r="T896" i="2"/>
  <c r="S896" i="2"/>
  <c r="R896" i="2"/>
  <c r="Q896" i="2"/>
  <c r="P896" i="2"/>
  <c r="X895" i="2"/>
  <c r="W895" i="2"/>
  <c r="V895" i="2"/>
  <c r="U895" i="2"/>
  <c r="T895" i="2"/>
  <c r="S895" i="2"/>
  <c r="R895" i="2"/>
  <c r="Q895" i="2"/>
  <c r="P895" i="2"/>
  <c r="X894" i="2"/>
  <c r="W894" i="2"/>
  <c r="V894" i="2"/>
  <c r="U894" i="2"/>
  <c r="T894" i="2"/>
  <c r="S894" i="2"/>
  <c r="R894" i="2"/>
  <c r="Q894" i="2"/>
  <c r="P894" i="2"/>
  <c r="X893" i="2"/>
  <c r="W893" i="2"/>
  <c r="V893" i="2"/>
  <c r="U893" i="2"/>
  <c r="S893" i="2"/>
  <c r="R893" i="2"/>
  <c r="Q893" i="2"/>
  <c r="P893" i="2"/>
  <c r="T893" i="2" s="1"/>
  <c r="X892" i="2"/>
  <c r="W892" i="2"/>
  <c r="V892" i="2"/>
  <c r="U892" i="2"/>
  <c r="S892" i="2"/>
  <c r="R892" i="2"/>
  <c r="Q892" i="2"/>
  <c r="P892" i="2"/>
  <c r="T892" i="2" s="1"/>
  <c r="X891" i="2"/>
  <c r="W891" i="2"/>
  <c r="V891" i="2"/>
  <c r="U891" i="2"/>
  <c r="S891" i="2"/>
  <c r="R891" i="2"/>
  <c r="Q891" i="2"/>
  <c r="P891" i="2"/>
  <c r="T891" i="2" s="1"/>
  <c r="X890" i="2"/>
  <c r="W890" i="2"/>
  <c r="V890" i="2"/>
  <c r="U890" i="2"/>
  <c r="S890" i="2"/>
  <c r="R890" i="2"/>
  <c r="Q890" i="2"/>
  <c r="P890" i="2"/>
  <c r="T890" i="2" s="1"/>
  <c r="X889" i="2"/>
  <c r="W889" i="2"/>
  <c r="V889" i="2"/>
  <c r="U889" i="2"/>
  <c r="T889" i="2"/>
  <c r="S889" i="2"/>
  <c r="R889" i="2"/>
  <c r="Q889" i="2"/>
  <c r="P889" i="2"/>
  <c r="X888" i="2"/>
  <c r="W888" i="2"/>
  <c r="V888" i="2"/>
  <c r="U888" i="2"/>
  <c r="T888" i="2"/>
  <c r="S888" i="2"/>
  <c r="R888" i="2"/>
  <c r="Q888" i="2"/>
  <c r="P888" i="2"/>
  <c r="X887" i="2"/>
  <c r="W887" i="2"/>
  <c r="V887" i="2"/>
  <c r="U887" i="2"/>
  <c r="T887" i="2"/>
  <c r="S887" i="2"/>
  <c r="R887" i="2"/>
  <c r="Q887" i="2"/>
  <c r="P887" i="2"/>
  <c r="X886" i="2"/>
  <c r="W886" i="2"/>
  <c r="V886" i="2"/>
  <c r="U886" i="2"/>
  <c r="T886" i="2"/>
  <c r="S886" i="2"/>
  <c r="R886" i="2"/>
  <c r="Q886" i="2"/>
  <c r="P886" i="2"/>
  <c r="X885" i="2"/>
  <c r="W885" i="2"/>
  <c r="V885" i="2"/>
  <c r="U885" i="2"/>
  <c r="S885" i="2"/>
  <c r="R885" i="2"/>
  <c r="Q885" i="2"/>
  <c r="P885" i="2"/>
  <c r="T885" i="2" s="1"/>
  <c r="X884" i="2"/>
  <c r="W884" i="2"/>
  <c r="V884" i="2"/>
  <c r="U884" i="2"/>
  <c r="S884" i="2"/>
  <c r="R884" i="2"/>
  <c r="Q884" i="2"/>
  <c r="P884" i="2"/>
  <c r="T884" i="2" s="1"/>
  <c r="X883" i="2"/>
  <c r="W883" i="2"/>
  <c r="V883" i="2"/>
  <c r="U883" i="2"/>
  <c r="S883" i="2"/>
  <c r="R883" i="2"/>
  <c r="Q883" i="2"/>
  <c r="P883" i="2"/>
  <c r="T883" i="2" s="1"/>
  <c r="X882" i="2"/>
  <c r="W882" i="2"/>
  <c r="V882" i="2"/>
  <c r="U882" i="2"/>
  <c r="S882" i="2"/>
  <c r="R882" i="2"/>
  <c r="Q882" i="2"/>
  <c r="P882" i="2"/>
  <c r="T882" i="2" s="1"/>
  <c r="X881" i="2"/>
  <c r="W881" i="2"/>
  <c r="V881" i="2"/>
  <c r="U881" i="2"/>
  <c r="T881" i="2"/>
  <c r="S881" i="2"/>
  <c r="R881" i="2"/>
  <c r="Q881" i="2"/>
  <c r="P881" i="2"/>
  <c r="X880" i="2"/>
  <c r="W880" i="2"/>
  <c r="V880" i="2"/>
  <c r="U880" i="2"/>
  <c r="T880" i="2"/>
  <c r="S880" i="2"/>
  <c r="R880" i="2"/>
  <c r="Q880" i="2"/>
  <c r="P880" i="2"/>
  <c r="X879" i="2"/>
  <c r="W879" i="2"/>
  <c r="V879" i="2"/>
  <c r="U879" i="2"/>
  <c r="T879" i="2"/>
  <c r="S879" i="2"/>
  <c r="R879" i="2"/>
  <c r="Q879" i="2"/>
  <c r="P879" i="2"/>
  <c r="X878" i="2"/>
  <c r="W878" i="2"/>
  <c r="V878" i="2"/>
  <c r="U878" i="2"/>
  <c r="T878" i="2"/>
  <c r="S878" i="2"/>
  <c r="R878" i="2"/>
  <c r="Q878" i="2"/>
  <c r="P878" i="2"/>
  <c r="X877" i="2"/>
  <c r="W877" i="2"/>
  <c r="V877" i="2"/>
  <c r="U877" i="2"/>
  <c r="S877" i="2"/>
  <c r="R877" i="2"/>
  <c r="Q877" i="2"/>
  <c r="P877" i="2"/>
  <c r="T877" i="2" s="1"/>
  <c r="X876" i="2"/>
  <c r="W876" i="2"/>
  <c r="V876" i="2"/>
  <c r="U876" i="2"/>
  <c r="S876" i="2"/>
  <c r="R876" i="2"/>
  <c r="Q876" i="2"/>
  <c r="P876" i="2"/>
  <c r="T876" i="2" s="1"/>
  <c r="X875" i="2"/>
  <c r="W875" i="2"/>
  <c r="V875" i="2"/>
  <c r="U875" i="2"/>
  <c r="S875" i="2"/>
  <c r="R875" i="2"/>
  <c r="Q875" i="2"/>
  <c r="P875" i="2"/>
  <c r="T875" i="2" s="1"/>
  <c r="X874" i="2"/>
  <c r="W874" i="2"/>
  <c r="V874" i="2"/>
  <c r="U874" i="2"/>
  <c r="S874" i="2"/>
  <c r="R874" i="2"/>
  <c r="Q874" i="2"/>
  <c r="P874" i="2"/>
  <c r="T874" i="2" s="1"/>
  <c r="X873" i="2"/>
  <c r="W873" i="2"/>
  <c r="V873" i="2"/>
  <c r="U873" i="2"/>
  <c r="T873" i="2"/>
  <c r="S873" i="2"/>
  <c r="R873" i="2"/>
  <c r="Q873" i="2"/>
  <c r="P873" i="2"/>
  <c r="X872" i="2"/>
  <c r="W872" i="2"/>
  <c r="V872" i="2"/>
  <c r="U872" i="2"/>
  <c r="T872" i="2"/>
  <c r="S872" i="2"/>
  <c r="R872" i="2"/>
  <c r="Q872" i="2"/>
  <c r="P872" i="2"/>
  <c r="X871" i="2"/>
  <c r="W871" i="2"/>
  <c r="V871" i="2"/>
  <c r="U871" i="2"/>
  <c r="T871" i="2"/>
  <c r="S871" i="2"/>
  <c r="R871" i="2"/>
  <c r="Q871" i="2"/>
  <c r="P871" i="2"/>
  <c r="X870" i="2"/>
  <c r="W870" i="2"/>
  <c r="V870" i="2"/>
  <c r="U870" i="2"/>
  <c r="T870" i="2"/>
  <c r="S870" i="2"/>
  <c r="R870" i="2"/>
  <c r="Q870" i="2"/>
  <c r="P870" i="2"/>
  <c r="X869" i="2"/>
  <c r="W869" i="2"/>
  <c r="V869" i="2"/>
  <c r="U869" i="2"/>
  <c r="S869" i="2"/>
  <c r="R869" i="2"/>
  <c r="Q869" i="2"/>
  <c r="P869" i="2"/>
  <c r="T869" i="2" s="1"/>
  <c r="X868" i="2"/>
  <c r="W868" i="2"/>
  <c r="V868" i="2"/>
  <c r="U868" i="2"/>
  <c r="S868" i="2"/>
  <c r="R868" i="2"/>
  <c r="Q868" i="2"/>
  <c r="P868" i="2"/>
  <c r="T868" i="2" s="1"/>
  <c r="X867" i="2"/>
  <c r="W867" i="2"/>
  <c r="V867" i="2"/>
  <c r="U867" i="2"/>
  <c r="S867" i="2"/>
  <c r="R867" i="2"/>
  <c r="Q867" i="2"/>
  <c r="P867" i="2"/>
  <c r="T867" i="2" s="1"/>
  <c r="X866" i="2"/>
  <c r="W866" i="2"/>
  <c r="V866" i="2"/>
  <c r="U866" i="2"/>
  <c r="S866" i="2"/>
  <c r="R866" i="2"/>
  <c r="Q866" i="2"/>
  <c r="P866" i="2"/>
  <c r="T866" i="2" s="1"/>
  <c r="X865" i="2"/>
  <c r="W865" i="2"/>
  <c r="V865" i="2"/>
  <c r="U865" i="2"/>
  <c r="T865" i="2"/>
  <c r="S865" i="2"/>
  <c r="R865" i="2"/>
  <c r="Q865" i="2"/>
  <c r="P865" i="2"/>
  <c r="X864" i="2"/>
  <c r="W864" i="2"/>
  <c r="V864" i="2"/>
  <c r="U864" i="2"/>
  <c r="T864" i="2"/>
  <c r="S864" i="2"/>
  <c r="R864" i="2"/>
  <c r="Q864" i="2"/>
  <c r="P864" i="2"/>
  <c r="X863" i="2"/>
  <c r="W863" i="2"/>
  <c r="V863" i="2"/>
  <c r="U863" i="2"/>
  <c r="T863" i="2"/>
  <c r="S863" i="2"/>
  <c r="R863" i="2"/>
  <c r="Q863" i="2"/>
  <c r="P863" i="2"/>
  <c r="X862" i="2"/>
  <c r="W862" i="2"/>
  <c r="V862" i="2"/>
  <c r="U862" i="2"/>
  <c r="T862" i="2"/>
  <c r="S862" i="2"/>
  <c r="R862" i="2"/>
  <c r="Q862" i="2"/>
  <c r="P862" i="2"/>
  <c r="X861" i="2"/>
  <c r="W861" i="2"/>
  <c r="V861" i="2"/>
  <c r="U861" i="2"/>
  <c r="S861" i="2"/>
  <c r="R861" i="2"/>
  <c r="Q861" i="2"/>
  <c r="P861" i="2"/>
  <c r="T861" i="2" s="1"/>
  <c r="X860" i="2"/>
  <c r="W860" i="2"/>
  <c r="V860" i="2"/>
  <c r="U860" i="2"/>
  <c r="S860" i="2"/>
  <c r="R860" i="2"/>
  <c r="Q860" i="2"/>
  <c r="P860" i="2"/>
  <c r="T860" i="2" s="1"/>
  <c r="X859" i="2"/>
  <c r="W859" i="2"/>
  <c r="V859" i="2"/>
  <c r="U859" i="2"/>
  <c r="S859" i="2"/>
  <c r="R859" i="2"/>
  <c r="Q859" i="2"/>
  <c r="P859" i="2"/>
  <c r="T859" i="2" s="1"/>
  <c r="X858" i="2"/>
  <c r="W858" i="2"/>
  <c r="V858" i="2"/>
  <c r="U858" i="2"/>
  <c r="S858" i="2"/>
  <c r="R858" i="2"/>
  <c r="Q858" i="2"/>
  <c r="P858" i="2"/>
  <c r="T858" i="2" s="1"/>
  <c r="X857" i="2"/>
  <c r="W857" i="2"/>
  <c r="V857" i="2"/>
  <c r="U857" i="2"/>
  <c r="T857" i="2"/>
  <c r="S857" i="2"/>
  <c r="R857" i="2"/>
  <c r="Q857" i="2"/>
  <c r="P857" i="2"/>
  <c r="X856" i="2"/>
  <c r="W856" i="2"/>
  <c r="V856" i="2"/>
  <c r="U856" i="2"/>
  <c r="T856" i="2"/>
  <c r="S856" i="2"/>
  <c r="R856" i="2"/>
  <c r="Q856" i="2"/>
  <c r="P856" i="2"/>
  <c r="X855" i="2"/>
  <c r="W855" i="2"/>
  <c r="V855" i="2"/>
  <c r="U855" i="2"/>
  <c r="T855" i="2"/>
  <c r="S855" i="2"/>
  <c r="R855" i="2"/>
  <c r="Q855" i="2"/>
  <c r="P855" i="2"/>
  <c r="X854" i="2"/>
  <c r="W854" i="2"/>
  <c r="V854" i="2"/>
  <c r="U854" i="2"/>
  <c r="T854" i="2"/>
  <c r="S854" i="2"/>
  <c r="R854" i="2"/>
  <c r="Q854" i="2"/>
  <c r="P854" i="2"/>
  <c r="X853" i="2"/>
  <c r="W853" i="2"/>
  <c r="V853" i="2"/>
  <c r="U853" i="2"/>
  <c r="S853" i="2"/>
  <c r="R853" i="2"/>
  <c r="Q853" i="2"/>
  <c r="P853" i="2"/>
  <c r="T853" i="2" s="1"/>
  <c r="X852" i="2"/>
  <c r="W852" i="2"/>
  <c r="V852" i="2"/>
  <c r="U852" i="2"/>
  <c r="S852" i="2"/>
  <c r="R852" i="2"/>
  <c r="Q852" i="2"/>
  <c r="P852" i="2"/>
  <c r="T852" i="2" s="1"/>
  <c r="X851" i="2"/>
  <c r="W851" i="2"/>
  <c r="V851" i="2"/>
  <c r="U851" i="2"/>
  <c r="S851" i="2"/>
  <c r="R851" i="2"/>
  <c r="Q851" i="2"/>
  <c r="P851" i="2"/>
  <c r="T851" i="2" s="1"/>
  <c r="X850" i="2"/>
  <c r="W850" i="2"/>
  <c r="V850" i="2"/>
  <c r="U850" i="2"/>
  <c r="S850" i="2"/>
  <c r="R850" i="2"/>
  <c r="Q850" i="2"/>
  <c r="P850" i="2"/>
  <c r="T850" i="2" s="1"/>
  <c r="X849" i="2"/>
  <c r="W849" i="2"/>
  <c r="V849" i="2"/>
  <c r="U849" i="2"/>
  <c r="T849" i="2"/>
  <c r="S849" i="2"/>
  <c r="R849" i="2"/>
  <c r="Q849" i="2"/>
  <c r="P849" i="2"/>
  <c r="X848" i="2"/>
  <c r="W848" i="2"/>
  <c r="V848" i="2"/>
  <c r="U848" i="2"/>
  <c r="T848" i="2"/>
  <c r="S848" i="2"/>
  <c r="R848" i="2"/>
  <c r="Q848" i="2"/>
  <c r="P848" i="2"/>
  <c r="X847" i="2"/>
  <c r="W847" i="2"/>
  <c r="V847" i="2"/>
  <c r="U847" i="2"/>
  <c r="T847" i="2"/>
  <c r="S847" i="2"/>
  <c r="R847" i="2"/>
  <c r="Q847" i="2"/>
  <c r="P847" i="2"/>
  <c r="X846" i="2"/>
  <c r="W846" i="2"/>
  <c r="V846" i="2"/>
  <c r="U846" i="2"/>
  <c r="T846" i="2"/>
  <c r="S846" i="2"/>
  <c r="R846" i="2"/>
  <c r="Q846" i="2"/>
  <c r="P846" i="2"/>
  <c r="X845" i="2"/>
  <c r="W845" i="2"/>
  <c r="V845" i="2"/>
  <c r="U845" i="2"/>
  <c r="S845" i="2"/>
  <c r="R845" i="2"/>
  <c r="Q845" i="2"/>
  <c r="P845" i="2"/>
  <c r="T845" i="2" s="1"/>
  <c r="X844" i="2"/>
  <c r="W844" i="2"/>
  <c r="V844" i="2"/>
  <c r="U844" i="2"/>
  <c r="S844" i="2"/>
  <c r="R844" i="2"/>
  <c r="Q844" i="2"/>
  <c r="P844" i="2"/>
  <c r="T844" i="2" s="1"/>
  <c r="X843" i="2"/>
  <c r="W843" i="2"/>
  <c r="V843" i="2"/>
  <c r="U843" i="2"/>
  <c r="S843" i="2"/>
  <c r="R843" i="2"/>
  <c r="Q843" i="2"/>
  <c r="P843" i="2"/>
  <c r="T843" i="2" s="1"/>
  <c r="X842" i="2"/>
  <c r="W842" i="2"/>
  <c r="V842" i="2"/>
  <c r="U842" i="2"/>
  <c r="S842" i="2"/>
  <c r="R842" i="2"/>
  <c r="Q842" i="2"/>
  <c r="P842" i="2"/>
  <c r="T842" i="2" s="1"/>
  <c r="X841" i="2"/>
  <c r="W841" i="2"/>
  <c r="V841" i="2"/>
  <c r="U841" i="2"/>
  <c r="T841" i="2"/>
  <c r="S841" i="2"/>
  <c r="R841" i="2"/>
  <c r="Q841" i="2"/>
  <c r="P841" i="2"/>
  <c r="X840" i="2"/>
  <c r="W840" i="2"/>
  <c r="V840" i="2"/>
  <c r="U840" i="2"/>
  <c r="T840" i="2"/>
  <c r="S840" i="2"/>
  <c r="R840" i="2"/>
  <c r="Q840" i="2"/>
  <c r="P840" i="2"/>
  <c r="X839" i="2"/>
  <c r="W839" i="2"/>
  <c r="V839" i="2"/>
  <c r="U839" i="2"/>
  <c r="T839" i="2"/>
  <c r="S839" i="2"/>
  <c r="R839" i="2"/>
  <c r="Q839" i="2"/>
  <c r="P839" i="2"/>
  <c r="X838" i="2"/>
  <c r="W838" i="2"/>
  <c r="V838" i="2"/>
  <c r="U838" i="2"/>
  <c r="T838" i="2"/>
  <c r="S838" i="2"/>
  <c r="R838" i="2"/>
  <c r="Q838" i="2"/>
  <c r="P838" i="2"/>
  <c r="X837" i="2"/>
  <c r="W837" i="2"/>
  <c r="V837" i="2"/>
  <c r="U837" i="2"/>
  <c r="S837" i="2"/>
  <c r="R837" i="2"/>
  <c r="Q837" i="2"/>
  <c r="P837" i="2"/>
  <c r="T837" i="2" s="1"/>
  <c r="X836" i="2"/>
  <c r="W836" i="2"/>
  <c r="V836" i="2"/>
  <c r="U836" i="2"/>
  <c r="S836" i="2"/>
  <c r="R836" i="2"/>
  <c r="Q836" i="2"/>
  <c r="P836" i="2"/>
  <c r="T836" i="2" s="1"/>
  <c r="X835" i="2"/>
  <c r="W835" i="2"/>
  <c r="V835" i="2"/>
  <c r="U835" i="2"/>
  <c r="S835" i="2"/>
  <c r="R835" i="2"/>
  <c r="Q835" i="2"/>
  <c r="P835" i="2"/>
  <c r="T835" i="2" s="1"/>
  <c r="X834" i="2"/>
  <c r="W834" i="2"/>
  <c r="V834" i="2"/>
  <c r="U834" i="2"/>
  <c r="S834" i="2"/>
  <c r="R834" i="2"/>
  <c r="Q834" i="2"/>
  <c r="P834" i="2"/>
  <c r="T834" i="2" s="1"/>
  <c r="X833" i="2"/>
  <c r="W833" i="2"/>
  <c r="V833" i="2"/>
  <c r="U833" i="2"/>
  <c r="T833" i="2"/>
  <c r="S833" i="2"/>
  <c r="R833" i="2"/>
  <c r="Q833" i="2"/>
  <c r="P833" i="2"/>
  <c r="X832" i="2"/>
  <c r="W832" i="2"/>
  <c r="V832" i="2"/>
  <c r="U832" i="2"/>
  <c r="T832" i="2"/>
  <c r="S832" i="2"/>
  <c r="R832" i="2"/>
  <c r="Q832" i="2"/>
  <c r="P832" i="2"/>
  <c r="X831" i="2"/>
  <c r="W831" i="2"/>
  <c r="V831" i="2"/>
  <c r="U831" i="2"/>
  <c r="T831" i="2"/>
  <c r="S831" i="2"/>
  <c r="R831" i="2"/>
  <c r="Q831" i="2"/>
  <c r="P831" i="2"/>
  <c r="X830" i="2"/>
  <c r="W830" i="2"/>
  <c r="V830" i="2"/>
  <c r="U830" i="2"/>
  <c r="T830" i="2"/>
  <c r="S830" i="2"/>
  <c r="R830" i="2"/>
  <c r="Q830" i="2"/>
  <c r="P830" i="2"/>
  <c r="X829" i="2"/>
  <c r="W829" i="2"/>
  <c r="V829" i="2"/>
  <c r="U829" i="2"/>
  <c r="S829" i="2"/>
  <c r="R829" i="2"/>
  <c r="Q829" i="2"/>
  <c r="P829" i="2"/>
  <c r="T829" i="2" s="1"/>
  <c r="X828" i="2"/>
  <c r="W828" i="2"/>
  <c r="V828" i="2"/>
  <c r="U828" i="2"/>
  <c r="S828" i="2"/>
  <c r="R828" i="2"/>
  <c r="Q828" i="2"/>
  <c r="P828" i="2"/>
  <c r="T828" i="2" s="1"/>
  <c r="X827" i="2"/>
  <c r="W827" i="2"/>
  <c r="V827" i="2"/>
  <c r="U827" i="2"/>
  <c r="S827" i="2"/>
  <c r="R827" i="2"/>
  <c r="Q827" i="2"/>
  <c r="P827" i="2"/>
  <c r="T827" i="2" s="1"/>
  <c r="X826" i="2"/>
  <c r="W826" i="2"/>
  <c r="V826" i="2"/>
  <c r="U826" i="2"/>
  <c r="S826" i="2"/>
  <c r="R826" i="2"/>
  <c r="Q826" i="2"/>
  <c r="P826" i="2"/>
  <c r="T826" i="2" s="1"/>
  <c r="X825" i="2"/>
  <c r="W825" i="2"/>
  <c r="V825" i="2"/>
  <c r="U825" i="2"/>
  <c r="T825" i="2"/>
  <c r="S825" i="2"/>
  <c r="R825" i="2"/>
  <c r="Q825" i="2"/>
  <c r="P825" i="2"/>
  <c r="X824" i="2"/>
  <c r="W824" i="2"/>
  <c r="V824" i="2"/>
  <c r="U824" i="2"/>
  <c r="T824" i="2"/>
  <c r="S824" i="2"/>
  <c r="R824" i="2"/>
  <c r="Q824" i="2"/>
  <c r="P824" i="2"/>
  <c r="X823" i="2"/>
  <c r="W823" i="2"/>
  <c r="V823" i="2"/>
  <c r="U823" i="2"/>
  <c r="T823" i="2"/>
  <c r="S823" i="2"/>
  <c r="R823" i="2"/>
  <c r="Q823" i="2"/>
  <c r="P823" i="2"/>
  <c r="X822" i="2"/>
  <c r="W822" i="2"/>
  <c r="V822" i="2"/>
  <c r="U822" i="2"/>
  <c r="T822" i="2"/>
  <c r="S822" i="2"/>
  <c r="R822" i="2"/>
  <c r="Q822" i="2"/>
  <c r="P822" i="2"/>
  <c r="X821" i="2"/>
  <c r="W821" i="2"/>
  <c r="V821" i="2"/>
  <c r="U821" i="2"/>
  <c r="S821" i="2"/>
  <c r="R821" i="2"/>
  <c r="Q821" i="2"/>
  <c r="P821" i="2"/>
  <c r="T821" i="2" s="1"/>
  <c r="X820" i="2"/>
  <c r="W820" i="2"/>
  <c r="V820" i="2"/>
  <c r="U820" i="2"/>
  <c r="S820" i="2"/>
  <c r="R820" i="2"/>
  <c r="Q820" i="2"/>
  <c r="P820" i="2"/>
  <c r="T820" i="2" s="1"/>
  <c r="X819" i="2"/>
  <c r="W819" i="2"/>
  <c r="V819" i="2"/>
  <c r="U819" i="2"/>
  <c r="S819" i="2"/>
  <c r="R819" i="2"/>
  <c r="Q819" i="2"/>
  <c r="P819" i="2"/>
  <c r="T819" i="2" s="1"/>
  <c r="X818" i="2"/>
  <c r="W818" i="2"/>
  <c r="V818" i="2"/>
  <c r="U818" i="2"/>
  <c r="S818" i="2"/>
  <c r="R818" i="2"/>
  <c r="Q818" i="2"/>
  <c r="P818" i="2"/>
  <c r="T818" i="2" s="1"/>
  <c r="X817" i="2"/>
  <c r="W817" i="2"/>
  <c r="V817" i="2"/>
  <c r="U817" i="2"/>
  <c r="T817" i="2"/>
  <c r="S817" i="2"/>
  <c r="R817" i="2"/>
  <c r="Q817" i="2"/>
  <c r="P817" i="2"/>
  <c r="X816" i="2"/>
  <c r="W816" i="2"/>
  <c r="V816" i="2"/>
  <c r="U816" i="2"/>
  <c r="T816" i="2"/>
  <c r="S816" i="2"/>
  <c r="R816" i="2"/>
  <c r="Q816" i="2"/>
  <c r="P816" i="2"/>
  <c r="X815" i="2"/>
  <c r="W815" i="2"/>
  <c r="V815" i="2"/>
  <c r="U815" i="2"/>
  <c r="T815" i="2"/>
  <c r="S815" i="2"/>
  <c r="R815" i="2"/>
  <c r="Q815" i="2"/>
  <c r="P815" i="2"/>
  <c r="X814" i="2"/>
  <c r="W814" i="2"/>
  <c r="V814" i="2"/>
  <c r="U814" i="2"/>
  <c r="T814" i="2"/>
  <c r="S814" i="2"/>
  <c r="R814" i="2"/>
  <c r="Q814" i="2"/>
  <c r="P814" i="2"/>
  <c r="X813" i="2"/>
  <c r="W813" i="2"/>
  <c r="V813" i="2"/>
  <c r="U813" i="2"/>
  <c r="S813" i="2"/>
  <c r="R813" i="2"/>
  <c r="Q813" i="2"/>
  <c r="P813" i="2"/>
  <c r="T813" i="2" s="1"/>
  <c r="X812" i="2"/>
  <c r="W812" i="2"/>
  <c r="V812" i="2"/>
  <c r="U812" i="2"/>
  <c r="S812" i="2"/>
  <c r="R812" i="2"/>
  <c r="Q812" i="2"/>
  <c r="P812" i="2"/>
  <c r="T812" i="2" s="1"/>
  <c r="X811" i="2"/>
  <c r="W811" i="2"/>
  <c r="V811" i="2"/>
  <c r="U811" i="2"/>
  <c r="S811" i="2"/>
  <c r="R811" i="2"/>
  <c r="Q811" i="2"/>
  <c r="P811" i="2"/>
  <c r="T811" i="2" s="1"/>
  <c r="X810" i="2"/>
  <c r="W810" i="2"/>
  <c r="V810" i="2"/>
  <c r="U810" i="2"/>
  <c r="S810" i="2"/>
  <c r="R810" i="2"/>
  <c r="Q810" i="2"/>
  <c r="P810" i="2"/>
  <c r="T810" i="2" s="1"/>
  <c r="X809" i="2"/>
  <c r="W809" i="2"/>
  <c r="V809" i="2"/>
  <c r="U809" i="2"/>
  <c r="T809" i="2"/>
  <c r="S809" i="2"/>
  <c r="R809" i="2"/>
  <c r="Q809" i="2"/>
  <c r="P809" i="2"/>
  <c r="X808" i="2"/>
  <c r="W808" i="2"/>
  <c r="V808" i="2"/>
  <c r="U808" i="2"/>
  <c r="T808" i="2"/>
  <c r="S808" i="2"/>
  <c r="R808" i="2"/>
  <c r="Q808" i="2"/>
  <c r="P808" i="2"/>
  <c r="X807" i="2"/>
  <c r="W807" i="2"/>
  <c r="V807" i="2"/>
  <c r="U807" i="2"/>
  <c r="T807" i="2"/>
  <c r="S807" i="2"/>
  <c r="R807" i="2"/>
  <c r="Q807" i="2"/>
  <c r="P807" i="2"/>
  <c r="X806" i="2"/>
  <c r="W806" i="2"/>
  <c r="V806" i="2"/>
  <c r="U806" i="2"/>
  <c r="T806" i="2"/>
  <c r="S806" i="2"/>
  <c r="R806" i="2"/>
  <c r="Q806" i="2"/>
  <c r="P806" i="2"/>
  <c r="X805" i="2"/>
  <c r="W805" i="2"/>
  <c r="V805" i="2"/>
  <c r="U805" i="2"/>
  <c r="S805" i="2"/>
  <c r="R805" i="2"/>
  <c r="Q805" i="2"/>
  <c r="P805" i="2"/>
  <c r="T805" i="2" s="1"/>
  <c r="X804" i="2"/>
  <c r="W804" i="2"/>
  <c r="V804" i="2"/>
  <c r="U804" i="2"/>
  <c r="S804" i="2"/>
  <c r="R804" i="2"/>
  <c r="Q804" i="2"/>
  <c r="P804" i="2"/>
  <c r="T804" i="2" s="1"/>
  <c r="X803" i="2"/>
  <c r="W803" i="2"/>
  <c r="V803" i="2"/>
  <c r="U803" i="2"/>
  <c r="S803" i="2"/>
  <c r="R803" i="2"/>
  <c r="Q803" i="2"/>
  <c r="P803" i="2"/>
  <c r="T803" i="2" s="1"/>
  <c r="X802" i="2"/>
  <c r="W802" i="2"/>
  <c r="V802" i="2"/>
  <c r="U802" i="2"/>
  <c r="S802" i="2"/>
  <c r="R802" i="2"/>
  <c r="Q802" i="2"/>
  <c r="P802" i="2"/>
  <c r="T802" i="2" s="1"/>
  <c r="X801" i="2"/>
  <c r="W801" i="2"/>
  <c r="V801" i="2"/>
  <c r="U801" i="2"/>
  <c r="T801" i="2"/>
  <c r="S801" i="2"/>
  <c r="R801" i="2"/>
  <c r="Q801" i="2"/>
  <c r="P801" i="2"/>
  <c r="X800" i="2"/>
  <c r="W800" i="2"/>
  <c r="V800" i="2"/>
  <c r="U800" i="2"/>
  <c r="T800" i="2"/>
  <c r="S800" i="2"/>
  <c r="R800" i="2"/>
  <c r="Q800" i="2"/>
  <c r="P800" i="2"/>
  <c r="X799" i="2"/>
  <c r="W799" i="2"/>
  <c r="V799" i="2"/>
  <c r="U799" i="2"/>
  <c r="T799" i="2"/>
  <c r="S799" i="2"/>
  <c r="R799" i="2"/>
  <c r="Q799" i="2"/>
  <c r="P799" i="2"/>
  <c r="X798" i="2"/>
  <c r="W798" i="2"/>
  <c r="V798" i="2"/>
  <c r="U798" i="2"/>
  <c r="T798" i="2"/>
  <c r="S798" i="2"/>
  <c r="R798" i="2"/>
  <c r="Q798" i="2"/>
  <c r="P798" i="2"/>
  <c r="X797" i="2"/>
  <c r="W797" i="2"/>
  <c r="V797" i="2"/>
  <c r="U797" i="2"/>
  <c r="S797" i="2"/>
  <c r="R797" i="2"/>
  <c r="Q797" i="2"/>
  <c r="P797" i="2"/>
  <c r="T797" i="2" s="1"/>
  <c r="X796" i="2"/>
  <c r="W796" i="2"/>
  <c r="V796" i="2"/>
  <c r="U796" i="2"/>
  <c r="S796" i="2"/>
  <c r="R796" i="2"/>
  <c r="Q796" i="2"/>
  <c r="P796" i="2"/>
  <c r="T796" i="2" s="1"/>
  <c r="X795" i="2"/>
  <c r="W795" i="2"/>
  <c r="V795" i="2"/>
  <c r="U795" i="2"/>
  <c r="S795" i="2"/>
  <c r="R795" i="2"/>
  <c r="Q795" i="2"/>
  <c r="P795" i="2"/>
  <c r="T795" i="2" s="1"/>
  <c r="X794" i="2"/>
  <c r="W794" i="2"/>
  <c r="V794" i="2"/>
  <c r="U794" i="2"/>
  <c r="S794" i="2"/>
  <c r="R794" i="2"/>
  <c r="Q794" i="2"/>
  <c r="P794" i="2"/>
  <c r="T794" i="2" s="1"/>
  <c r="X793" i="2"/>
  <c r="W793" i="2"/>
  <c r="V793" i="2"/>
  <c r="U793" i="2"/>
  <c r="T793" i="2"/>
  <c r="S793" i="2"/>
  <c r="R793" i="2"/>
  <c r="Q793" i="2"/>
  <c r="P793" i="2"/>
  <c r="X792" i="2"/>
  <c r="W792" i="2"/>
  <c r="V792" i="2"/>
  <c r="U792" i="2"/>
  <c r="T792" i="2"/>
  <c r="S792" i="2"/>
  <c r="R792" i="2"/>
  <c r="Q792" i="2"/>
  <c r="P792" i="2"/>
  <c r="X791" i="2"/>
  <c r="W791" i="2"/>
  <c r="V791" i="2"/>
  <c r="U791" i="2"/>
  <c r="T791" i="2"/>
  <c r="S791" i="2"/>
  <c r="R791" i="2"/>
  <c r="Q791" i="2"/>
  <c r="P791" i="2"/>
  <c r="X790" i="2"/>
  <c r="W790" i="2"/>
  <c r="V790" i="2"/>
  <c r="U790" i="2"/>
  <c r="T790" i="2"/>
  <c r="S790" i="2"/>
  <c r="R790" i="2"/>
  <c r="Q790" i="2"/>
  <c r="P790" i="2"/>
  <c r="X789" i="2"/>
  <c r="W789" i="2"/>
  <c r="V789" i="2"/>
  <c r="U789" i="2"/>
  <c r="S789" i="2"/>
  <c r="R789" i="2"/>
  <c r="Q789" i="2"/>
  <c r="P789" i="2"/>
  <c r="T789" i="2" s="1"/>
  <c r="X788" i="2"/>
  <c r="W788" i="2"/>
  <c r="V788" i="2"/>
  <c r="U788" i="2"/>
  <c r="S788" i="2"/>
  <c r="R788" i="2"/>
  <c r="Q788" i="2"/>
  <c r="P788" i="2"/>
  <c r="T788" i="2" s="1"/>
  <c r="X787" i="2"/>
  <c r="W787" i="2"/>
  <c r="V787" i="2"/>
  <c r="U787" i="2"/>
  <c r="S787" i="2"/>
  <c r="R787" i="2"/>
  <c r="Q787" i="2"/>
  <c r="P787" i="2"/>
  <c r="T787" i="2" s="1"/>
  <c r="X786" i="2"/>
  <c r="W786" i="2"/>
  <c r="V786" i="2"/>
  <c r="U786" i="2"/>
  <c r="S786" i="2"/>
  <c r="R786" i="2"/>
  <c r="Q786" i="2"/>
  <c r="P786" i="2"/>
  <c r="T786" i="2" s="1"/>
  <c r="X785" i="2"/>
  <c r="W785" i="2"/>
  <c r="V785" i="2"/>
  <c r="U785" i="2"/>
  <c r="T785" i="2"/>
  <c r="S785" i="2"/>
  <c r="R785" i="2"/>
  <c r="Q785" i="2"/>
  <c r="P785" i="2"/>
  <c r="X784" i="2"/>
  <c r="W784" i="2"/>
  <c r="V784" i="2"/>
  <c r="U784" i="2"/>
  <c r="T784" i="2"/>
  <c r="S784" i="2"/>
  <c r="R784" i="2"/>
  <c r="Q784" i="2"/>
  <c r="P784" i="2"/>
  <c r="X783" i="2"/>
  <c r="W783" i="2"/>
  <c r="V783" i="2"/>
  <c r="U783" i="2"/>
  <c r="T783" i="2"/>
  <c r="S783" i="2"/>
  <c r="R783" i="2"/>
  <c r="Q783" i="2"/>
  <c r="P783" i="2"/>
  <c r="X782" i="2"/>
  <c r="W782" i="2"/>
  <c r="V782" i="2"/>
  <c r="U782" i="2"/>
  <c r="T782" i="2"/>
  <c r="S782" i="2"/>
  <c r="R782" i="2"/>
  <c r="Q782" i="2"/>
  <c r="P782" i="2"/>
  <c r="X781" i="2"/>
  <c r="W781" i="2"/>
  <c r="V781" i="2"/>
  <c r="U781" i="2"/>
  <c r="S781" i="2"/>
  <c r="R781" i="2"/>
  <c r="Q781" i="2"/>
  <c r="P781" i="2"/>
  <c r="T781" i="2" s="1"/>
  <c r="X780" i="2"/>
  <c r="W780" i="2"/>
  <c r="V780" i="2"/>
  <c r="U780" i="2"/>
  <c r="S780" i="2"/>
  <c r="R780" i="2"/>
  <c r="Q780" i="2"/>
  <c r="P780" i="2"/>
  <c r="T780" i="2" s="1"/>
  <c r="X779" i="2"/>
  <c r="W779" i="2"/>
  <c r="V779" i="2"/>
  <c r="U779" i="2"/>
  <c r="S779" i="2"/>
  <c r="R779" i="2"/>
  <c r="Q779" i="2"/>
  <c r="P779" i="2"/>
  <c r="T779" i="2" s="1"/>
  <c r="X778" i="2"/>
  <c r="W778" i="2"/>
  <c r="V778" i="2"/>
  <c r="U778" i="2"/>
  <c r="S778" i="2"/>
  <c r="R778" i="2"/>
  <c r="Q778" i="2"/>
  <c r="P778" i="2"/>
  <c r="T778" i="2" s="1"/>
  <c r="X777" i="2"/>
  <c r="W777" i="2"/>
  <c r="V777" i="2"/>
  <c r="U777" i="2"/>
  <c r="T777" i="2"/>
  <c r="S777" i="2"/>
  <c r="R777" i="2"/>
  <c r="Q777" i="2"/>
  <c r="P777" i="2"/>
  <c r="X776" i="2"/>
  <c r="W776" i="2"/>
  <c r="V776" i="2"/>
  <c r="U776" i="2"/>
  <c r="T776" i="2"/>
  <c r="S776" i="2"/>
  <c r="R776" i="2"/>
  <c r="Q776" i="2"/>
  <c r="P776" i="2"/>
  <c r="X775" i="2"/>
  <c r="W775" i="2"/>
  <c r="V775" i="2"/>
  <c r="U775" i="2"/>
  <c r="T775" i="2"/>
  <c r="S775" i="2"/>
  <c r="R775" i="2"/>
  <c r="Q775" i="2"/>
  <c r="P775" i="2"/>
  <c r="X774" i="2"/>
  <c r="W774" i="2"/>
  <c r="V774" i="2"/>
  <c r="U774" i="2"/>
  <c r="T774" i="2"/>
  <c r="S774" i="2"/>
  <c r="R774" i="2"/>
  <c r="Q774" i="2"/>
  <c r="P774" i="2"/>
  <c r="X773" i="2"/>
  <c r="W773" i="2"/>
  <c r="V773" i="2"/>
  <c r="U773" i="2"/>
  <c r="S773" i="2"/>
  <c r="R773" i="2"/>
  <c r="Q773" i="2"/>
  <c r="P773" i="2"/>
  <c r="T773" i="2" s="1"/>
  <c r="X772" i="2"/>
  <c r="W772" i="2"/>
  <c r="V772" i="2"/>
  <c r="U772" i="2"/>
  <c r="S772" i="2"/>
  <c r="R772" i="2"/>
  <c r="Q772" i="2"/>
  <c r="P772" i="2"/>
  <c r="T772" i="2" s="1"/>
  <c r="X771" i="2"/>
  <c r="W771" i="2"/>
  <c r="V771" i="2"/>
  <c r="U771" i="2"/>
  <c r="S771" i="2"/>
  <c r="R771" i="2"/>
  <c r="Q771" i="2"/>
  <c r="P771" i="2"/>
  <c r="T771" i="2" s="1"/>
  <c r="X770" i="2"/>
  <c r="W770" i="2"/>
  <c r="V770" i="2"/>
  <c r="U770" i="2"/>
  <c r="S770" i="2"/>
  <c r="R770" i="2"/>
  <c r="Q770" i="2"/>
  <c r="P770" i="2"/>
  <c r="T770" i="2" s="1"/>
  <c r="X769" i="2"/>
  <c r="W769" i="2"/>
  <c r="V769" i="2"/>
  <c r="U769" i="2"/>
  <c r="T769" i="2"/>
  <c r="S769" i="2"/>
  <c r="R769" i="2"/>
  <c r="Q769" i="2"/>
  <c r="P769" i="2"/>
  <c r="X768" i="2"/>
  <c r="W768" i="2"/>
  <c r="V768" i="2"/>
  <c r="U768" i="2"/>
  <c r="T768" i="2"/>
  <c r="S768" i="2"/>
  <c r="R768" i="2"/>
  <c r="Q768" i="2"/>
  <c r="P768" i="2"/>
  <c r="X767" i="2"/>
  <c r="W767" i="2"/>
  <c r="V767" i="2"/>
  <c r="U767" i="2"/>
  <c r="T767" i="2"/>
  <c r="S767" i="2"/>
  <c r="R767" i="2"/>
  <c r="Q767" i="2"/>
  <c r="P767" i="2"/>
  <c r="X766" i="2"/>
  <c r="W766" i="2"/>
  <c r="V766" i="2"/>
  <c r="U766" i="2"/>
  <c r="T766" i="2"/>
  <c r="S766" i="2"/>
  <c r="R766" i="2"/>
  <c r="Q766" i="2"/>
  <c r="P766" i="2"/>
  <c r="X765" i="2"/>
  <c r="W765" i="2"/>
  <c r="V765" i="2"/>
  <c r="U765" i="2"/>
  <c r="S765" i="2"/>
  <c r="R765" i="2"/>
  <c r="Q765" i="2"/>
  <c r="P765" i="2"/>
  <c r="T765" i="2" s="1"/>
  <c r="X764" i="2"/>
  <c r="W764" i="2"/>
  <c r="V764" i="2"/>
  <c r="U764" i="2"/>
  <c r="S764" i="2"/>
  <c r="R764" i="2"/>
  <c r="Q764" i="2"/>
  <c r="P764" i="2"/>
  <c r="T764" i="2" s="1"/>
  <c r="X763" i="2"/>
  <c r="W763" i="2"/>
  <c r="V763" i="2"/>
  <c r="U763" i="2"/>
  <c r="S763" i="2"/>
  <c r="R763" i="2"/>
  <c r="Q763" i="2"/>
  <c r="P763" i="2"/>
  <c r="T763" i="2" s="1"/>
  <c r="X762" i="2"/>
  <c r="W762" i="2"/>
  <c r="V762" i="2"/>
  <c r="U762" i="2"/>
  <c r="S762" i="2"/>
  <c r="R762" i="2"/>
  <c r="Q762" i="2"/>
  <c r="P762" i="2"/>
  <c r="T762" i="2" s="1"/>
  <c r="X761" i="2"/>
  <c r="W761" i="2"/>
  <c r="V761" i="2"/>
  <c r="U761" i="2"/>
  <c r="T761" i="2"/>
  <c r="S761" i="2"/>
  <c r="R761" i="2"/>
  <c r="Q761" i="2"/>
  <c r="P761" i="2"/>
  <c r="X760" i="2"/>
  <c r="W760" i="2"/>
  <c r="V760" i="2"/>
  <c r="U760" i="2"/>
  <c r="T760" i="2"/>
  <c r="S760" i="2"/>
  <c r="R760" i="2"/>
  <c r="Q760" i="2"/>
  <c r="P760" i="2"/>
  <c r="X759" i="2"/>
  <c r="W759" i="2"/>
  <c r="V759" i="2"/>
  <c r="U759" i="2"/>
  <c r="T759" i="2"/>
  <c r="S759" i="2"/>
  <c r="R759" i="2"/>
  <c r="Q759" i="2"/>
  <c r="P759" i="2"/>
  <c r="X758" i="2"/>
  <c r="W758" i="2"/>
  <c r="V758" i="2"/>
  <c r="U758" i="2"/>
  <c r="T758" i="2"/>
  <c r="S758" i="2"/>
  <c r="R758" i="2"/>
  <c r="Q758" i="2"/>
  <c r="P758" i="2"/>
  <c r="X757" i="2"/>
  <c r="W757" i="2"/>
  <c r="V757" i="2"/>
  <c r="U757" i="2"/>
  <c r="S757" i="2"/>
  <c r="R757" i="2"/>
  <c r="Q757" i="2"/>
  <c r="P757" i="2"/>
  <c r="T757" i="2" s="1"/>
  <c r="X756" i="2"/>
  <c r="W756" i="2"/>
  <c r="V756" i="2"/>
  <c r="U756" i="2"/>
  <c r="S756" i="2"/>
  <c r="R756" i="2"/>
  <c r="Q756" i="2"/>
  <c r="P756" i="2"/>
  <c r="T756" i="2" s="1"/>
  <c r="X755" i="2"/>
  <c r="W755" i="2"/>
  <c r="V755" i="2"/>
  <c r="U755" i="2"/>
  <c r="S755" i="2"/>
  <c r="R755" i="2"/>
  <c r="Q755" i="2"/>
  <c r="P755" i="2"/>
  <c r="T755" i="2" s="1"/>
  <c r="X754" i="2"/>
  <c r="W754" i="2"/>
  <c r="V754" i="2"/>
  <c r="U754" i="2"/>
  <c r="S754" i="2"/>
  <c r="R754" i="2"/>
  <c r="Q754" i="2"/>
  <c r="P754" i="2"/>
  <c r="T754" i="2" s="1"/>
  <c r="X753" i="2"/>
  <c r="W753" i="2"/>
  <c r="V753" i="2"/>
  <c r="U753" i="2"/>
  <c r="T753" i="2"/>
  <c r="S753" i="2"/>
  <c r="R753" i="2"/>
  <c r="Q753" i="2"/>
  <c r="P753" i="2"/>
  <c r="X752" i="2"/>
  <c r="W752" i="2"/>
  <c r="V752" i="2"/>
  <c r="U752" i="2"/>
  <c r="T752" i="2"/>
  <c r="S752" i="2"/>
  <c r="R752" i="2"/>
  <c r="Q752" i="2"/>
  <c r="P752" i="2"/>
  <c r="X751" i="2"/>
  <c r="W751" i="2"/>
  <c r="V751" i="2"/>
  <c r="U751" i="2"/>
  <c r="T751" i="2"/>
  <c r="S751" i="2"/>
  <c r="R751" i="2"/>
  <c r="Q751" i="2"/>
  <c r="P751" i="2"/>
  <c r="X750" i="2"/>
  <c r="W750" i="2"/>
  <c r="V750" i="2"/>
  <c r="U750" i="2"/>
  <c r="T750" i="2"/>
  <c r="S750" i="2"/>
  <c r="R750" i="2"/>
  <c r="Q750" i="2"/>
  <c r="P750" i="2"/>
  <c r="X749" i="2"/>
  <c r="W749" i="2"/>
  <c r="V749" i="2"/>
  <c r="U749" i="2"/>
  <c r="S749" i="2"/>
  <c r="R749" i="2"/>
  <c r="Q749" i="2"/>
  <c r="P749" i="2"/>
  <c r="T749" i="2" s="1"/>
  <c r="X748" i="2"/>
  <c r="W748" i="2"/>
  <c r="V748" i="2"/>
  <c r="U748" i="2"/>
  <c r="S748" i="2"/>
  <c r="R748" i="2"/>
  <c r="Q748" i="2"/>
  <c r="P748" i="2"/>
  <c r="T748" i="2" s="1"/>
  <c r="X747" i="2"/>
  <c r="W747" i="2"/>
  <c r="V747" i="2"/>
  <c r="U747" i="2"/>
  <c r="S747" i="2"/>
  <c r="R747" i="2"/>
  <c r="Q747" i="2"/>
  <c r="P747" i="2"/>
  <c r="T747" i="2" s="1"/>
  <c r="X746" i="2"/>
  <c r="W746" i="2"/>
  <c r="V746" i="2"/>
  <c r="U746" i="2"/>
  <c r="S746" i="2"/>
  <c r="R746" i="2"/>
  <c r="Q746" i="2"/>
  <c r="P746" i="2"/>
  <c r="T746" i="2" s="1"/>
  <c r="X745" i="2"/>
  <c r="W745" i="2"/>
  <c r="V745" i="2"/>
  <c r="U745" i="2"/>
  <c r="T745" i="2"/>
  <c r="S745" i="2"/>
  <c r="R745" i="2"/>
  <c r="Q745" i="2"/>
  <c r="P745" i="2"/>
  <c r="X744" i="2"/>
  <c r="W744" i="2"/>
  <c r="V744" i="2"/>
  <c r="U744" i="2"/>
  <c r="T744" i="2"/>
  <c r="S744" i="2"/>
  <c r="R744" i="2"/>
  <c r="Q744" i="2"/>
  <c r="P744" i="2"/>
  <c r="X743" i="2"/>
  <c r="W743" i="2"/>
  <c r="V743" i="2"/>
  <c r="U743" i="2"/>
  <c r="T743" i="2"/>
  <c r="S743" i="2"/>
  <c r="R743" i="2"/>
  <c r="Q743" i="2"/>
  <c r="P743" i="2"/>
  <c r="X742" i="2"/>
  <c r="W742" i="2"/>
  <c r="V742" i="2"/>
  <c r="U742" i="2"/>
  <c r="T742" i="2"/>
  <c r="S742" i="2"/>
  <c r="R742" i="2"/>
  <c r="Q742" i="2"/>
  <c r="P742" i="2"/>
  <c r="X741" i="2"/>
  <c r="W741" i="2"/>
  <c r="V741" i="2"/>
  <c r="U741" i="2"/>
  <c r="S741" i="2"/>
  <c r="R741" i="2"/>
  <c r="Q741" i="2"/>
  <c r="P741" i="2"/>
  <c r="T741" i="2" s="1"/>
  <c r="X740" i="2"/>
  <c r="W740" i="2"/>
  <c r="V740" i="2"/>
  <c r="U740" i="2"/>
  <c r="S740" i="2"/>
  <c r="R740" i="2"/>
  <c r="Q740" i="2"/>
  <c r="P740" i="2"/>
  <c r="T740" i="2" s="1"/>
  <c r="X739" i="2"/>
  <c r="W739" i="2"/>
  <c r="V739" i="2"/>
  <c r="U739" i="2"/>
  <c r="S739" i="2"/>
  <c r="R739" i="2"/>
  <c r="Q739" i="2"/>
  <c r="P739" i="2"/>
  <c r="T739" i="2" s="1"/>
  <c r="X738" i="2"/>
  <c r="W738" i="2"/>
  <c r="V738" i="2"/>
  <c r="U738" i="2"/>
  <c r="S738" i="2"/>
  <c r="R738" i="2"/>
  <c r="Q738" i="2"/>
  <c r="P738" i="2"/>
  <c r="T738" i="2" s="1"/>
  <c r="X737" i="2"/>
  <c r="W737" i="2"/>
  <c r="V737" i="2"/>
  <c r="U737" i="2"/>
  <c r="T737" i="2"/>
  <c r="S737" i="2"/>
  <c r="R737" i="2"/>
  <c r="Q737" i="2"/>
  <c r="P737" i="2"/>
  <c r="X736" i="2"/>
  <c r="W736" i="2"/>
  <c r="V736" i="2"/>
  <c r="U736" i="2"/>
  <c r="T736" i="2"/>
  <c r="S736" i="2"/>
  <c r="R736" i="2"/>
  <c r="Q736" i="2"/>
  <c r="P736" i="2"/>
  <c r="X735" i="2"/>
  <c r="W735" i="2"/>
  <c r="V735" i="2"/>
  <c r="U735" i="2"/>
  <c r="T735" i="2"/>
  <c r="S735" i="2"/>
  <c r="R735" i="2"/>
  <c r="Q735" i="2"/>
  <c r="P735" i="2"/>
  <c r="X734" i="2"/>
  <c r="W734" i="2"/>
  <c r="V734" i="2"/>
  <c r="U734" i="2"/>
  <c r="T734" i="2"/>
  <c r="S734" i="2"/>
  <c r="R734" i="2"/>
  <c r="Q734" i="2"/>
  <c r="P734" i="2"/>
  <c r="X733" i="2"/>
  <c r="W733" i="2"/>
  <c r="V733" i="2"/>
  <c r="U733" i="2"/>
  <c r="S733" i="2"/>
  <c r="R733" i="2"/>
  <c r="Q733" i="2"/>
  <c r="P733" i="2"/>
  <c r="T733" i="2" s="1"/>
  <c r="X732" i="2"/>
  <c r="W732" i="2"/>
  <c r="V732" i="2"/>
  <c r="U732" i="2"/>
  <c r="S732" i="2"/>
  <c r="R732" i="2"/>
  <c r="Q732" i="2"/>
  <c r="P732" i="2"/>
  <c r="T732" i="2" s="1"/>
  <c r="X731" i="2"/>
  <c r="W731" i="2"/>
  <c r="V731" i="2"/>
  <c r="U731" i="2"/>
  <c r="S731" i="2"/>
  <c r="R731" i="2"/>
  <c r="Q731" i="2"/>
  <c r="P731" i="2"/>
  <c r="T731" i="2" s="1"/>
  <c r="X730" i="2"/>
  <c r="W730" i="2"/>
  <c r="V730" i="2"/>
  <c r="U730" i="2"/>
  <c r="S730" i="2"/>
  <c r="R730" i="2"/>
  <c r="Q730" i="2"/>
  <c r="P730" i="2"/>
  <c r="T730" i="2" s="1"/>
  <c r="X729" i="2"/>
  <c r="W729" i="2"/>
  <c r="V729" i="2"/>
  <c r="U729" i="2"/>
  <c r="T729" i="2"/>
  <c r="S729" i="2"/>
  <c r="R729" i="2"/>
  <c r="Q729" i="2"/>
  <c r="P729" i="2"/>
  <c r="X728" i="2"/>
  <c r="W728" i="2"/>
  <c r="V728" i="2"/>
  <c r="U728" i="2"/>
  <c r="T728" i="2"/>
  <c r="S728" i="2"/>
  <c r="R728" i="2"/>
  <c r="Q728" i="2"/>
  <c r="P728" i="2"/>
  <c r="X727" i="2"/>
  <c r="W727" i="2"/>
  <c r="V727" i="2"/>
  <c r="U727" i="2"/>
  <c r="T727" i="2"/>
  <c r="S727" i="2"/>
  <c r="R727" i="2"/>
  <c r="Q727" i="2"/>
  <c r="P727" i="2"/>
  <c r="X726" i="2"/>
  <c r="W726" i="2"/>
  <c r="V726" i="2"/>
  <c r="U726" i="2"/>
  <c r="T726" i="2"/>
  <c r="S726" i="2"/>
  <c r="R726" i="2"/>
  <c r="Q726" i="2"/>
  <c r="P726" i="2"/>
  <c r="X725" i="2"/>
  <c r="W725" i="2"/>
  <c r="V725" i="2"/>
  <c r="U725" i="2"/>
  <c r="S725" i="2"/>
  <c r="R725" i="2"/>
  <c r="Q725" i="2"/>
  <c r="P725" i="2"/>
  <c r="T725" i="2" s="1"/>
  <c r="X724" i="2"/>
  <c r="W724" i="2"/>
  <c r="V724" i="2"/>
  <c r="U724" i="2"/>
  <c r="S724" i="2"/>
  <c r="R724" i="2"/>
  <c r="Q724" i="2"/>
  <c r="P724" i="2"/>
  <c r="T724" i="2" s="1"/>
  <c r="X723" i="2"/>
  <c r="W723" i="2"/>
  <c r="V723" i="2"/>
  <c r="U723" i="2"/>
  <c r="S723" i="2"/>
  <c r="R723" i="2"/>
  <c r="Q723" i="2"/>
  <c r="P723" i="2"/>
  <c r="T723" i="2" s="1"/>
  <c r="X722" i="2"/>
  <c r="W722" i="2"/>
  <c r="V722" i="2"/>
  <c r="U722" i="2"/>
  <c r="S722" i="2"/>
  <c r="R722" i="2"/>
  <c r="Q722" i="2"/>
  <c r="P722" i="2"/>
  <c r="T722" i="2" s="1"/>
  <c r="X721" i="2"/>
  <c r="W721" i="2"/>
  <c r="V721" i="2"/>
  <c r="U721" i="2"/>
  <c r="T721" i="2"/>
  <c r="S721" i="2"/>
  <c r="R721" i="2"/>
  <c r="Q721" i="2"/>
  <c r="P721" i="2"/>
  <c r="X720" i="2"/>
  <c r="W720" i="2"/>
  <c r="V720" i="2"/>
  <c r="U720" i="2"/>
  <c r="T720" i="2"/>
  <c r="S720" i="2"/>
  <c r="R720" i="2"/>
  <c r="Q720" i="2"/>
  <c r="P720" i="2"/>
  <c r="X719" i="2"/>
  <c r="W719" i="2"/>
  <c r="V719" i="2"/>
  <c r="U719" i="2"/>
  <c r="T719" i="2"/>
  <c r="S719" i="2"/>
  <c r="R719" i="2"/>
  <c r="Q719" i="2"/>
  <c r="P719" i="2"/>
  <c r="X718" i="2"/>
  <c r="W718" i="2"/>
  <c r="V718" i="2"/>
  <c r="U718" i="2"/>
  <c r="T718" i="2"/>
  <c r="S718" i="2"/>
  <c r="R718" i="2"/>
  <c r="Q718" i="2"/>
  <c r="P718" i="2"/>
  <c r="X717" i="2"/>
  <c r="W717" i="2"/>
  <c r="V717" i="2"/>
  <c r="U717" i="2"/>
  <c r="S717" i="2"/>
  <c r="R717" i="2"/>
  <c r="Q717" i="2"/>
  <c r="P717" i="2"/>
  <c r="T717" i="2" s="1"/>
  <c r="X716" i="2"/>
  <c r="W716" i="2"/>
  <c r="V716" i="2"/>
  <c r="U716" i="2"/>
  <c r="S716" i="2"/>
  <c r="R716" i="2"/>
  <c r="Q716" i="2"/>
  <c r="P716" i="2"/>
  <c r="T716" i="2" s="1"/>
  <c r="X715" i="2"/>
  <c r="W715" i="2"/>
  <c r="V715" i="2"/>
  <c r="U715" i="2"/>
  <c r="S715" i="2"/>
  <c r="R715" i="2"/>
  <c r="Q715" i="2"/>
  <c r="P715" i="2"/>
  <c r="T715" i="2" s="1"/>
  <c r="X714" i="2"/>
  <c r="W714" i="2"/>
  <c r="V714" i="2"/>
  <c r="U714" i="2"/>
  <c r="S714" i="2"/>
  <c r="R714" i="2"/>
  <c r="Q714" i="2"/>
  <c r="P714" i="2"/>
  <c r="T714" i="2" s="1"/>
  <c r="X713" i="2"/>
  <c r="W713" i="2"/>
  <c r="V713" i="2"/>
  <c r="U713" i="2"/>
  <c r="T713" i="2"/>
  <c r="S713" i="2"/>
  <c r="R713" i="2"/>
  <c r="Q713" i="2"/>
  <c r="P713" i="2"/>
  <c r="X712" i="2"/>
  <c r="W712" i="2"/>
  <c r="V712" i="2"/>
  <c r="U712" i="2"/>
  <c r="T712" i="2"/>
  <c r="S712" i="2"/>
  <c r="R712" i="2"/>
  <c r="Q712" i="2"/>
  <c r="P712" i="2"/>
  <c r="X711" i="2"/>
  <c r="W711" i="2"/>
  <c r="V711" i="2"/>
  <c r="U711" i="2"/>
  <c r="T711" i="2"/>
  <c r="S711" i="2"/>
  <c r="R711" i="2"/>
  <c r="Q711" i="2"/>
  <c r="P711" i="2"/>
  <c r="X710" i="2"/>
  <c r="W710" i="2"/>
  <c r="V710" i="2"/>
  <c r="U710" i="2"/>
  <c r="T710" i="2"/>
  <c r="S710" i="2"/>
  <c r="R710" i="2"/>
  <c r="Q710" i="2"/>
  <c r="P710" i="2"/>
  <c r="X709" i="2"/>
  <c r="W709" i="2"/>
  <c r="V709" i="2"/>
  <c r="U709" i="2"/>
  <c r="S709" i="2"/>
  <c r="R709" i="2"/>
  <c r="Q709" i="2"/>
  <c r="P709" i="2"/>
  <c r="T709" i="2" s="1"/>
  <c r="X708" i="2"/>
  <c r="W708" i="2"/>
  <c r="V708" i="2"/>
  <c r="U708" i="2"/>
  <c r="S708" i="2"/>
  <c r="R708" i="2"/>
  <c r="Q708" i="2"/>
  <c r="P708" i="2"/>
  <c r="T708" i="2" s="1"/>
  <c r="X707" i="2"/>
  <c r="W707" i="2"/>
  <c r="V707" i="2"/>
  <c r="U707" i="2"/>
  <c r="S707" i="2"/>
  <c r="R707" i="2"/>
  <c r="Q707" i="2"/>
  <c r="P707" i="2"/>
  <c r="T707" i="2" s="1"/>
  <c r="X706" i="2"/>
  <c r="W706" i="2"/>
  <c r="V706" i="2"/>
  <c r="U706" i="2"/>
  <c r="S706" i="2"/>
  <c r="R706" i="2"/>
  <c r="Q706" i="2"/>
  <c r="P706" i="2"/>
  <c r="T706" i="2" s="1"/>
  <c r="X705" i="2"/>
  <c r="W705" i="2"/>
  <c r="V705" i="2"/>
  <c r="U705" i="2"/>
  <c r="T705" i="2"/>
  <c r="S705" i="2"/>
  <c r="R705" i="2"/>
  <c r="Q705" i="2"/>
  <c r="P705" i="2"/>
  <c r="X704" i="2"/>
  <c r="W704" i="2"/>
  <c r="V704" i="2"/>
  <c r="U704" i="2"/>
  <c r="T704" i="2"/>
  <c r="S704" i="2"/>
  <c r="R704" i="2"/>
  <c r="Q704" i="2"/>
  <c r="P704" i="2"/>
  <c r="X703" i="2"/>
  <c r="W703" i="2"/>
  <c r="V703" i="2"/>
  <c r="U703" i="2"/>
  <c r="T703" i="2"/>
  <c r="S703" i="2"/>
  <c r="R703" i="2"/>
  <c r="Q703" i="2"/>
  <c r="P703" i="2"/>
  <c r="X702" i="2"/>
  <c r="W702" i="2"/>
  <c r="V702" i="2"/>
  <c r="U702" i="2"/>
  <c r="T702" i="2"/>
  <c r="S702" i="2"/>
  <c r="R702" i="2"/>
  <c r="Q702" i="2"/>
  <c r="P702" i="2"/>
  <c r="X701" i="2"/>
  <c r="W701" i="2"/>
  <c r="V701" i="2"/>
  <c r="U701" i="2"/>
  <c r="S701" i="2"/>
  <c r="R701" i="2"/>
  <c r="Q701" i="2"/>
  <c r="P701" i="2"/>
  <c r="T701" i="2" s="1"/>
  <c r="X700" i="2"/>
  <c r="W700" i="2"/>
  <c r="V700" i="2"/>
  <c r="U700" i="2"/>
  <c r="S700" i="2"/>
  <c r="R700" i="2"/>
  <c r="Q700" i="2"/>
  <c r="P700" i="2"/>
  <c r="T700" i="2" s="1"/>
  <c r="X699" i="2"/>
  <c r="W699" i="2"/>
  <c r="V699" i="2"/>
  <c r="U699" i="2"/>
  <c r="S699" i="2"/>
  <c r="R699" i="2"/>
  <c r="Q699" i="2"/>
  <c r="P699" i="2"/>
  <c r="T699" i="2" s="1"/>
  <c r="X698" i="2"/>
  <c r="W698" i="2"/>
  <c r="V698" i="2"/>
  <c r="U698" i="2"/>
  <c r="S698" i="2"/>
  <c r="R698" i="2"/>
  <c r="Q698" i="2"/>
  <c r="P698" i="2"/>
  <c r="T698" i="2" s="1"/>
  <c r="X697" i="2"/>
  <c r="W697" i="2"/>
  <c r="V697" i="2"/>
  <c r="U697" i="2"/>
  <c r="T697" i="2"/>
  <c r="S697" i="2"/>
  <c r="R697" i="2"/>
  <c r="Q697" i="2"/>
  <c r="P697" i="2"/>
  <c r="X696" i="2"/>
  <c r="W696" i="2"/>
  <c r="V696" i="2"/>
  <c r="U696" i="2"/>
  <c r="T696" i="2"/>
  <c r="S696" i="2"/>
  <c r="R696" i="2"/>
  <c r="Q696" i="2"/>
  <c r="P696" i="2"/>
  <c r="X695" i="2"/>
  <c r="W695" i="2"/>
  <c r="V695" i="2"/>
  <c r="U695" i="2"/>
  <c r="T695" i="2"/>
  <c r="S695" i="2"/>
  <c r="R695" i="2"/>
  <c r="Q695" i="2"/>
  <c r="P695" i="2"/>
  <c r="X694" i="2"/>
  <c r="W694" i="2"/>
  <c r="V694" i="2"/>
  <c r="U694" i="2"/>
  <c r="T694" i="2"/>
  <c r="S694" i="2"/>
  <c r="R694" i="2"/>
  <c r="Q694" i="2"/>
  <c r="P694" i="2"/>
  <c r="X693" i="2"/>
  <c r="W693" i="2"/>
  <c r="V693" i="2"/>
  <c r="U693" i="2"/>
  <c r="S693" i="2"/>
  <c r="R693" i="2"/>
  <c r="Q693" i="2"/>
  <c r="P693" i="2"/>
  <c r="T693" i="2" s="1"/>
  <c r="X692" i="2"/>
  <c r="W692" i="2"/>
  <c r="V692" i="2"/>
  <c r="U692" i="2"/>
  <c r="S692" i="2"/>
  <c r="R692" i="2"/>
  <c r="Q692" i="2"/>
  <c r="P692" i="2"/>
  <c r="T692" i="2" s="1"/>
  <c r="X691" i="2"/>
  <c r="W691" i="2"/>
  <c r="V691" i="2"/>
  <c r="U691" i="2"/>
  <c r="S691" i="2"/>
  <c r="R691" i="2"/>
  <c r="Q691" i="2"/>
  <c r="P691" i="2"/>
  <c r="T691" i="2" s="1"/>
  <c r="X690" i="2"/>
  <c r="W690" i="2"/>
  <c r="V690" i="2"/>
  <c r="U690" i="2"/>
  <c r="S690" i="2"/>
  <c r="R690" i="2"/>
  <c r="Q690" i="2"/>
  <c r="P690" i="2"/>
  <c r="T690" i="2" s="1"/>
  <c r="X689" i="2"/>
  <c r="W689" i="2"/>
  <c r="V689" i="2"/>
  <c r="U689" i="2"/>
  <c r="T689" i="2"/>
  <c r="S689" i="2"/>
  <c r="R689" i="2"/>
  <c r="Q689" i="2"/>
  <c r="P689" i="2"/>
  <c r="X688" i="2"/>
  <c r="W688" i="2"/>
  <c r="V688" i="2"/>
  <c r="U688" i="2"/>
  <c r="T688" i="2"/>
  <c r="S688" i="2"/>
  <c r="R688" i="2"/>
  <c r="Q688" i="2"/>
  <c r="P688" i="2"/>
  <c r="X687" i="2"/>
  <c r="W687" i="2"/>
  <c r="V687" i="2"/>
  <c r="U687" i="2"/>
  <c r="T687" i="2"/>
  <c r="S687" i="2"/>
  <c r="R687" i="2"/>
  <c r="Q687" i="2"/>
  <c r="P687" i="2"/>
  <c r="X686" i="2"/>
  <c r="W686" i="2"/>
  <c r="V686" i="2"/>
  <c r="U686" i="2"/>
  <c r="T686" i="2"/>
  <c r="S686" i="2"/>
  <c r="R686" i="2"/>
  <c r="Q686" i="2"/>
  <c r="P686" i="2"/>
  <c r="X685" i="2"/>
  <c r="W685" i="2"/>
  <c r="V685" i="2"/>
  <c r="U685" i="2"/>
  <c r="S685" i="2"/>
  <c r="R685" i="2"/>
  <c r="Q685" i="2"/>
  <c r="P685" i="2"/>
  <c r="T685" i="2" s="1"/>
  <c r="X684" i="2"/>
  <c r="W684" i="2"/>
  <c r="V684" i="2"/>
  <c r="U684" i="2"/>
  <c r="S684" i="2"/>
  <c r="R684" i="2"/>
  <c r="Q684" i="2"/>
  <c r="P684" i="2"/>
  <c r="T684" i="2" s="1"/>
  <c r="X683" i="2"/>
  <c r="W683" i="2"/>
  <c r="V683" i="2"/>
  <c r="U683" i="2"/>
  <c r="S683" i="2"/>
  <c r="R683" i="2"/>
  <c r="Q683" i="2"/>
  <c r="P683" i="2"/>
  <c r="T683" i="2" s="1"/>
  <c r="X682" i="2"/>
  <c r="W682" i="2"/>
  <c r="V682" i="2"/>
  <c r="U682" i="2"/>
  <c r="S682" i="2"/>
  <c r="R682" i="2"/>
  <c r="Q682" i="2"/>
  <c r="P682" i="2"/>
  <c r="T682" i="2" s="1"/>
  <c r="X681" i="2"/>
  <c r="W681" i="2"/>
  <c r="V681" i="2"/>
  <c r="U681" i="2"/>
  <c r="T681" i="2"/>
  <c r="S681" i="2"/>
  <c r="R681" i="2"/>
  <c r="Q681" i="2"/>
  <c r="P681" i="2"/>
  <c r="X680" i="2"/>
  <c r="W680" i="2"/>
  <c r="V680" i="2"/>
  <c r="U680" i="2"/>
  <c r="T680" i="2"/>
  <c r="S680" i="2"/>
  <c r="R680" i="2"/>
  <c r="Q680" i="2"/>
  <c r="P680" i="2"/>
  <c r="X679" i="2"/>
  <c r="W679" i="2"/>
  <c r="V679" i="2"/>
  <c r="U679" i="2"/>
  <c r="T679" i="2"/>
  <c r="S679" i="2"/>
  <c r="R679" i="2"/>
  <c r="Q679" i="2"/>
  <c r="P679" i="2"/>
  <c r="X678" i="2"/>
  <c r="W678" i="2"/>
  <c r="V678" i="2"/>
  <c r="U678" i="2"/>
  <c r="T678" i="2"/>
  <c r="S678" i="2"/>
  <c r="R678" i="2"/>
  <c r="Q678" i="2"/>
  <c r="P678" i="2"/>
  <c r="X677" i="2"/>
  <c r="W677" i="2"/>
  <c r="V677" i="2"/>
  <c r="U677" i="2"/>
  <c r="S677" i="2"/>
  <c r="R677" i="2"/>
  <c r="Q677" i="2"/>
  <c r="P677" i="2"/>
  <c r="T677" i="2" s="1"/>
  <c r="X676" i="2"/>
  <c r="W676" i="2"/>
  <c r="V676" i="2"/>
  <c r="U676" i="2"/>
  <c r="S676" i="2"/>
  <c r="R676" i="2"/>
  <c r="Q676" i="2"/>
  <c r="P676" i="2"/>
  <c r="T676" i="2" s="1"/>
  <c r="X675" i="2"/>
  <c r="W675" i="2"/>
  <c r="V675" i="2"/>
  <c r="U675" i="2"/>
  <c r="S675" i="2"/>
  <c r="R675" i="2"/>
  <c r="Q675" i="2"/>
  <c r="P675" i="2"/>
  <c r="T675" i="2" s="1"/>
  <c r="X674" i="2"/>
  <c r="W674" i="2"/>
  <c r="V674" i="2"/>
  <c r="U674" i="2"/>
  <c r="S674" i="2"/>
  <c r="R674" i="2"/>
  <c r="Q674" i="2"/>
  <c r="P674" i="2"/>
  <c r="T674" i="2" s="1"/>
  <c r="X673" i="2"/>
  <c r="W673" i="2"/>
  <c r="V673" i="2"/>
  <c r="U673" i="2"/>
  <c r="T673" i="2"/>
  <c r="S673" i="2"/>
  <c r="R673" i="2"/>
  <c r="Q673" i="2"/>
  <c r="P673" i="2"/>
  <c r="X672" i="2"/>
  <c r="W672" i="2"/>
  <c r="V672" i="2"/>
  <c r="U672" i="2"/>
  <c r="T672" i="2"/>
  <c r="S672" i="2"/>
  <c r="R672" i="2"/>
  <c r="Q672" i="2"/>
  <c r="P672" i="2"/>
  <c r="X671" i="2"/>
  <c r="W671" i="2"/>
  <c r="V671" i="2"/>
  <c r="U671" i="2"/>
  <c r="T671" i="2"/>
  <c r="S671" i="2"/>
  <c r="R671" i="2"/>
  <c r="Q671" i="2"/>
  <c r="P671" i="2"/>
  <c r="X670" i="2"/>
  <c r="W670" i="2"/>
  <c r="V670" i="2"/>
  <c r="U670" i="2"/>
  <c r="T670" i="2"/>
  <c r="S670" i="2"/>
  <c r="R670" i="2"/>
  <c r="Q670" i="2"/>
  <c r="P670" i="2"/>
  <c r="X669" i="2"/>
  <c r="W669" i="2"/>
  <c r="V669" i="2"/>
  <c r="U669" i="2"/>
  <c r="S669" i="2"/>
  <c r="R669" i="2"/>
  <c r="Q669" i="2"/>
  <c r="P669" i="2"/>
  <c r="T669" i="2" s="1"/>
  <c r="X668" i="2"/>
  <c r="W668" i="2"/>
  <c r="V668" i="2"/>
  <c r="U668" i="2"/>
  <c r="S668" i="2"/>
  <c r="R668" i="2"/>
  <c r="Q668" i="2"/>
  <c r="P668" i="2"/>
  <c r="T668" i="2" s="1"/>
  <c r="X667" i="2"/>
  <c r="W667" i="2"/>
  <c r="V667" i="2"/>
  <c r="U667" i="2"/>
  <c r="S667" i="2"/>
  <c r="R667" i="2"/>
  <c r="Q667" i="2"/>
  <c r="P667" i="2"/>
  <c r="T667" i="2" s="1"/>
  <c r="X666" i="2"/>
  <c r="W666" i="2"/>
  <c r="V666" i="2"/>
  <c r="U666" i="2"/>
  <c r="S666" i="2"/>
  <c r="R666" i="2"/>
  <c r="Q666" i="2"/>
  <c r="P666" i="2"/>
  <c r="T666" i="2" s="1"/>
  <c r="X665" i="2"/>
  <c r="W665" i="2"/>
  <c r="V665" i="2"/>
  <c r="U665" i="2"/>
  <c r="T665" i="2"/>
  <c r="S665" i="2"/>
  <c r="R665" i="2"/>
  <c r="Q665" i="2"/>
  <c r="P665" i="2"/>
  <c r="X664" i="2"/>
  <c r="W664" i="2"/>
  <c r="V664" i="2"/>
  <c r="U664" i="2"/>
  <c r="T664" i="2"/>
  <c r="S664" i="2"/>
  <c r="R664" i="2"/>
  <c r="Q664" i="2"/>
  <c r="P664" i="2"/>
  <c r="X663" i="2"/>
  <c r="W663" i="2"/>
  <c r="V663" i="2"/>
  <c r="U663" i="2"/>
  <c r="T663" i="2"/>
  <c r="S663" i="2"/>
  <c r="R663" i="2"/>
  <c r="Q663" i="2"/>
  <c r="P663" i="2"/>
  <c r="X662" i="2"/>
  <c r="W662" i="2"/>
  <c r="V662" i="2"/>
  <c r="U662" i="2"/>
  <c r="T662" i="2"/>
  <c r="S662" i="2"/>
  <c r="R662" i="2"/>
  <c r="Q662" i="2"/>
  <c r="P662" i="2"/>
  <c r="X661" i="2"/>
  <c r="W661" i="2"/>
  <c r="V661" i="2"/>
  <c r="U661" i="2"/>
  <c r="S661" i="2"/>
  <c r="R661" i="2"/>
  <c r="Q661" i="2"/>
  <c r="P661" i="2"/>
  <c r="T661" i="2" s="1"/>
  <c r="X660" i="2"/>
  <c r="W660" i="2"/>
  <c r="V660" i="2"/>
  <c r="U660" i="2"/>
  <c r="S660" i="2"/>
  <c r="R660" i="2"/>
  <c r="Q660" i="2"/>
  <c r="P660" i="2"/>
  <c r="T660" i="2" s="1"/>
  <c r="X659" i="2"/>
  <c r="W659" i="2"/>
  <c r="V659" i="2"/>
  <c r="U659" i="2"/>
  <c r="S659" i="2"/>
  <c r="R659" i="2"/>
  <c r="Q659" i="2"/>
  <c r="P659" i="2"/>
  <c r="T659" i="2" s="1"/>
  <c r="X658" i="2"/>
  <c r="W658" i="2"/>
  <c r="V658" i="2"/>
  <c r="U658" i="2"/>
  <c r="S658" i="2"/>
  <c r="R658" i="2"/>
  <c r="Q658" i="2"/>
  <c r="P658" i="2"/>
  <c r="T658" i="2" s="1"/>
  <c r="X657" i="2"/>
  <c r="W657" i="2"/>
  <c r="V657" i="2"/>
  <c r="U657" i="2"/>
  <c r="T657" i="2"/>
  <c r="S657" i="2"/>
  <c r="R657" i="2"/>
  <c r="Q657" i="2"/>
  <c r="P657" i="2"/>
  <c r="X656" i="2"/>
  <c r="W656" i="2"/>
  <c r="V656" i="2"/>
  <c r="U656" i="2"/>
  <c r="T656" i="2"/>
  <c r="S656" i="2"/>
  <c r="R656" i="2"/>
  <c r="Q656" i="2"/>
  <c r="P656" i="2"/>
  <c r="X655" i="2"/>
  <c r="W655" i="2"/>
  <c r="V655" i="2"/>
  <c r="U655" i="2"/>
  <c r="T655" i="2"/>
  <c r="S655" i="2"/>
  <c r="R655" i="2"/>
  <c r="Q655" i="2"/>
  <c r="P655" i="2"/>
  <c r="X654" i="2"/>
  <c r="W654" i="2"/>
  <c r="V654" i="2"/>
  <c r="U654" i="2"/>
  <c r="T654" i="2"/>
  <c r="S654" i="2"/>
  <c r="R654" i="2"/>
  <c r="Q654" i="2"/>
  <c r="P654" i="2"/>
  <c r="X653" i="2"/>
  <c r="W653" i="2"/>
  <c r="V653" i="2"/>
  <c r="U653" i="2"/>
  <c r="S653" i="2"/>
  <c r="R653" i="2"/>
  <c r="Q653" i="2"/>
  <c r="P653" i="2"/>
  <c r="T653" i="2" s="1"/>
  <c r="X652" i="2"/>
  <c r="W652" i="2"/>
  <c r="V652" i="2"/>
  <c r="U652" i="2"/>
  <c r="S652" i="2"/>
  <c r="R652" i="2"/>
  <c r="Q652" i="2"/>
  <c r="P652" i="2"/>
  <c r="T652" i="2" s="1"/>
  <c r="X651" i="2"/>
  <c r="W651" i="2"/>
  <c r="V651" i="2"/>
  <c r="U651" i="2"/>
  <c r="S651" i="2"/>
  <c r="R651" i="2"/>
  <c r="Q651" i="2"/>
  <c r="P651" i="2"/>
  <c r="T651" i="2" s="1"/>
  <c r="X650" i="2"/>
  <c r="W650" i="2"/>
  <c r="V650" i="2"/>
  <c r="U650" i="2"/>
  <c r="S650" i="2"/>
  <c r="R650" i="2"/>
  <c r="Q650" i="2"/>
  <c r="P650" i="2"/>
  <c r="T650" i="2" s="1"/>
  <c r="X649" i="2"/>
  <c r="W649" i="2"/>
  <c r="V649" i="2"/>
  <c r="U649" i="2"/>
  <c r="T649" i="2"/>
  <c r="S649" i="2"/>
  <c r="R649" i="2"/>
  <c r="Q649" i="2"/>
  <c r="P649" i="2"/>
  <c r="X648" i="2"/>
  <c r="W648" i="2"/>
  <c r="V648" i="2"/>
  <c r="U648" i="2"/>
  <c r="T648" i="2"/>
  <c r="S648" i="2"/>
  <c r="R648" i="2"/>
  <c r="Q648" i="2"/>
  <c r="P648" i="2"/>
  <c r="X647" i="2"/>
  <c r="W647" i="2"/>
  <c r="V647" i="2"/>
  <c r="U647" i="2"/>
  <c r="T647" i="2"/>
  <c r="S647" i="2"/>
  <c r="R647" i="2"/>
  <c r="Q647" i="2"/>
  <c r="P647" i="2"/>
  <c r="X646" i="2"/>
  <c r="W646" i="2"/>
  <c r="V646" i="2"/>
  <c r="U646" i="2"/>
  <c r="T646" i="2"/>
  <c r="S646" i="2"/>
  <c r="R646" i="2"/>
  <c r="Q646" i="2"/>
  <c r="P646" i="2"/>
  <c r="X645" i="2"/>
  <c r="W645" i="2"/>
  <c r="V645" i="2"/>
  <c r="U645" i="2"/>
  <c r="S645" i="2"/>
  <c r="R645" i="2"/>
  <c r="Q645" i="2"/>
  <c r="P645" i="2"/>
  <c r="T645" i="2" s="1"/>
  <c r="X644" i="2"/>
  <c r="W644" i="2"/>
  <c r="V644" i="2"/>
  <c r="U644" i="2"/>
  <c r="S644" i="2"/>
  <c r="R644" i="2"/>
  <c r="Q644" i="2"/>
  <c r="P644" i="2"/>
  <c r="T644" i="2" s="1"/>
  <c r="X643" i="2"/>
  <c r="W643" i="2"/>
  <c r="V643" i="2"/>
  <c r="U643" i="2"/>
  <c r="S643" i="2"/>
  <c r="R643" i="2"/>
  <c r="Q643" i="2"/>
  <c r="P643" i="2"/>
  <c r="T643" i="2" s="1"/>
  <c r="X642" i="2"/>
  <c r="W642" i="2"/>
  <c r="V642" i="2"/>
  <c r="U642" i="2"/>
  <c r="S642" i="2"/>
  <c r="R642" i="2"/>
  <c r="Q642" i="2"/>
  <c r="P642" i="2"/>
  <c r="T642" i="2" s="1"/>
  <c r="X641" i="2"/>
  <c r="W641" i="2"/>
  <c r="V641" i="2"/>
  <c r="U641" i="2"/>
  <c r="T641" i="2"/>
  <c r="S641" i="2"/>
  <c r="R641" i="2"/>
  <c r="Q641" i="2"/>
  <c r="P641" i="2"/>
  <c r="X640" i="2"/>
  <c r="W640" i="2"/>
  <c r="V640" i="2"/>
  <c r="U640" i="2"/>
  <c r="T640" i="2"/>
  <c r="S640" i="2"/>
  <c r="R640" i="2"/>
  <c r="Q640" i="2"/>
  <c r="P640" i="2"/>
  <c r="X639" i="2"/>
  <c r="W639" i="2"/>
  <c r="V639" i="2"/>
  <c r="U639" i="2"/>
  <c r="T639" i="2"/>
  <c r="S639" i="2"/>
  <c r="R639" i="2"/>
  <c r="Q639" i="2"/>
  <c r="P639" i="2"/>
  <c r="X638" i="2"/>
  <c r="W638" i="2"/>
  <c r="V638" i="2"/>
  <c r="U638" i="2"/>
  <c r="T638" i="2"/>
  <c r="S638" i="2"/>
  <c r="R638" i="2"/>
  <c r="Q638" i="2"/>
  <c r="P638" i="2"/>
  <c r="X637" i="2"/>
  <c r="W637" i="2"/>
  <c r="V637" i="2"/>
  <c r="U637" i="2"/>
  <c r="S637" i="2"/>
  <c r="R637" i="2"/>
  <c r="Q637" i="2"/>
  <c r="P637" i="2"/>
  <c r="T637" i="2" s="1"/>
  <c r="X636" i="2"/>
  <c r="W636" i="2"/>
  <c r="V636" i="2"/>
  <c r="U636" i="2"/>
  <c r="S636" i="2"/>
  <c r="R636" i="2"/>
  <c r="Q636" i="2"/>
  <c r="P636" i="2"/>
  <c r="T636" i="2" s="1"/>
  <c r="X635" i="2"/>
  <c r="W635" i="2"/>
  <c r="V635" i="2"/>
  <c r="U635" i="2"/>
  <c r="S635" i="2"/>
  <c r="R635" i="2"/>
  <c r="Q635" i="2"/>
  <c r="P635" i="2"/>
  <c r="T635" i="2" s="1"/>
  <c r="X634" i="2"/>
  <c r="W634" i="2"/>
  <c r="V634" i="2"/>
  <c r="U634" i="2"/>
  <c r="S634" i="2"/>
  <c r="R634" i="2"/>
  <c r="Q634" i="2"/>
  <c r="P634" i="2"/>
  <c r="T634" i="2" s="1"/>
  <c r="X633" i="2"/>
  <c r="W633" i="2"/>
  <c r="V633" i="2"/>
  <c r="U633" i="2"/>
  <c r="T633" i="2"/>
  <c r="S633" i="2"/>
  <c r="R633" i="2"/>
  <c r="Q633" i="2"/>
  <c r="P633" i="2"/>
  <c r="X632" i="2"/>
  <c r="W632" i="2"/>
  <c r="V632" i="2"/>
  <c r="U632" i="2"/>
  <c r="T632" i="2"/>
  <c r="S632" i="2"/>
  <c r="R632" i="2"/>
  <c r="Q632" i="2"/>
  <c r="P632" i="2"/>
  <c r="X631" i="2"/>
  <c r="W631" i="2"/>
  <c r="V631" i="2"/>
  <c r="U631" i="2"/>
  <c r="T631" i="2"/>
  <c r="S631" i="2"/>
  <c r="R631" i="2"/>
  <c r="Q631" i="2"/>
  <c r="P631" i="2"/>
  <c r="X630" i="2"/>
  <c r="W630" i="2"/>
  <c r="V630" i="2"/>
  <c r="U630" i="2"/>
  <c r="T630" i="2"/>
  <c r="S630" i="2"/>
  <c r="R630" i="2"/>
  <c r="Q630" i="2"/>
  <c r="P630" i="2"/>
  <c r="X629" i="2"/>
  <c r="W629" i="2"/>
  <c r="V629" i="2"/>
  <c r="U629" i="2"/>
  <c r="S629" i="2"/>
  <c r="R629" i="2"/>
  <c r="Q629" i="2"/>
  <c r="P629" i="2"/>
  <c r="T629" i="2" s="1"/>
  <c r="X628" i="2"/>
  <c r="W628" i="2"/>
  <c r="V628" i="2"/>
  <c r="U628" i="2"/>
  <c r="S628" i="2"/>
  <c r="R628" i="2"/>
  <c r="Q628" i="2"/>
  <c r="P628" i="2"/>
  <c r="T628" i="2" s="1"/>
  <c r="X627" i="2"/>
  <c r="W627" i="2"/>
  <c r="V627" i="2"/>
  <c r="U627" i="2"/>
  <c r="S627" i="2"/>
  <c r="R627" i="2"/>
  <c r="Q627" i="2"/>
  <c r="P627" i="2"/>
  <c r="T627" i="2" s="1"/>
  <c r="X626" i="2"/>
  <c r="W626" i="2"/>
  <c r="V626" i="2"/>
  <c r="U626" i="2"/>
  <c r="S626" i="2"/>
  <c r="R626" i="2"/>
  <c r="Q626" i="2"/>
  <c r="P626" i="2"/>
  <c r="T626" i="2" s="1"/>
  <c r="X625" i="2"/>
  <c r="W625" i="2"/>
  <c r="V625" i="2"/>
  <c r="U625" i="2"/>
  <c r="T625" i="2"/>
  <c r="S625" i="2"/>
  <c r="R625" i="2"/>
  <c r="Q625" i="2"/>
  <c r="P625" i="2"/>
  <c r="X624" i="2"/>
  <c r="W624" i="2"/>
  <c r="V624" i="2"/>
  <c r="U624" i="2"/>
  <c r="T624" i="2"/>
  <c r="S624" i="2"/>
  <c r="R624" i="2"/>
  <c r="Q624" i="2"/>
  <c r="P624" i="2"/>
  <c r="X623" i="2"/>
  <c r="W623" i="2"/>
  <c r="V623" i="2"/>
  <c r="U623" i="2"/>
  <c r="T623" i="2"/>
  <c r="S623" i="2"/>
  <c r="R623" i="2"/>
  <c r="Q623" i="2"/>
  <c r="P623" i="2"/>
  <c r="X622" i="2"/>
  <c r="W622" i="2"/>
  <c r="V622" i="2"/>
  <c r="U622" i="2"/>
  <c r="T622" i="2"/>
  <c r="S622" i="2"/>
  <c r="R622" i="2"/>
  <c r="Q622" i="2"/>
  <c r="P622" i="2"/>
  <c r="X621" i="2"/>
  <c r="W621" i="2"/>
  <c r="V621" i="2"/>
  <c r="U621" i="2"/>
  <c r="S621" i="2"/>
  <c r="R621" i="2"/>
  <c r="Q621" i="2"/>
  <c r="P621" i="2"/>
  <c r="T621" i="2" s="1"/>
  <c r="X620" i="2"/>
  <c r="W620" i="2"/>
  <c r="V620" i="2"/>
  <c r="U620" i="2"/>
  <c r="S620" i="2"/>
  <c r="R620" i="2"/>
  <c r="Q620" i="2"/>
  <c r="P620" i="2"/>
  <c r="T620" i="2" s="1"/>
  <c r="X619" i="2"/>
  <c r="W619" i="2"/>
  <c r="V619" i="2"/>
  <c r="U619" i="2"/>
  <c r="S619" i="2"/>
  <c r="R619" i="2"/>
  <c r="Q619" i="2"/>
  <c r="P619" i="2"/>
  <c r="T619" i="2" s="1"/>
  <c r="X618" i="2"/>
  <c r="W618" i="2"/>
  <c r="V618" i="2"/>
  <c r="U618" i="2"/>
  <c r="S618" i="2"/>
  <c r="R618" i="2"/>
  <c r="Q618" i="2"/>
  <c r="P618" i="2"/>
  <c r="T618" i="2" s="1"/>
  <c r="X617" i="2"/>
  <c r="W617" i="2"/>
  <c r="V617" i="2"/>
  <c r="U617" i="2"/>
  <c r="T617" i="2"/>
  <c r="S617" i="2"/>
  <c r="R617" i="2"/>
  <c r="Q617" i="2"/>
  <c r="P617" i="2"/>
  <c r="X616" i="2"/>
  <c r="W616" i="2"/>
  <c r="V616" i="2"/>
  <c r="U616" i="2"/>
  <c r="T616" i="2"/>
  <c r="S616" i="2"/>
  <c r="R616" i="2"/>
  <c r="Q616" i="2"/>
  <c r="P616" i="2"/>
  <c r="X615" i="2"/>
  <c r="W615" i="2"/>
  <c r="V615" i="2"/>
  <c r="U615" i="2"/>
  <c r="T615" i="2"/>
  <c r="S615" i="2"/>
  <c r="R615" i="2"/>
  <c r="Q615" i="2"/>
  <c r="P615" i="2"/>
  <c r="X614" i="2"/>
  <c r="W614" i="2"/>
  <c r="V614" i="2"/>
  <c r="U614" i="2"/>
  <c r="T614" i="2"/>
  <c r="S614" i="2"/>
  <c r="R614" i="2"/>
  <c r="Q614" i="2"/>
  <c r="P614" i="2"/>
  <c r="X613" i="2"/>
  <c r="W613" i="2"/>
  <c r="V613" i="2"/>
  <c r="U613" i="2"/>
  <c r="S613" i="2"/>
  <c r="R613" i="2"/>
  <c r="Q613" i="2"/>
  <c r="P613" i="2"/>
  <c r="T613" i="2" s="1"/>
  <c r="X612" i="2"/>
  <c r="W612" i="2"/>
  <c r="V612" i="2"/>
  <c r="U612" i="2"/>
  <c r="S612" i="2"/>
  <c r="R612" i="2"/>
  <c r="Q612" i="2"/>
  <c r="P612" i="2"/>
  <c r="T612" i="2" s="1"/>
  <c r="X611" i="2"/>
  <c r="W611" i="2"/>
  <c r="V611" i="2"/>
  <c r="U611" i="2"/>
  <c r="S611" i="2"/>
  <c r="R611" i="2"/>
  <c r="Q611" i="2"/>
  <c r="P611" i="2"/>
  <c r="T611" i="2" s="1"/>
  <c r="X610" i="2"/>
  <c r="W610" i="2"/>
  <c r="V610" i="2"/>
  <c r="U610" i="2"/>
  <c r="S610" i="2"/>
  <c r="R610" i="2"/>
  <c r="Q610" i="2"/>
  <c r="P610" i="2"/>
  <c r="T610" i="2" s="1"/>
  <c r="X609" i="2"/>
  <c r="W609" i="2"/>
  <c r="V609" i="2"/>
  <c r="U609" i="2"/>
  <c r="T609" i="2"/>
  <c r="S609" i="2"/>
  <c r="R609" i="2"/>
  <c r="Q609" i="2"/>
  <c r="P609" i="2"/>
  <c r="X608" i="2"/>
  <c r="W608" i="2"/>
  <c r="V608" i="2"/>
  <c r="U608" i="2"/>
  <c r="T608" i="2"/>
  <c r="S608" i="2"/>
  <c r="R608" i="2"/>
  <c r="Q608" i="2"/>
  <c r="P608" i="2"/>
  <c r="X607" i="2"/>
  <c r="W607" i="2"/>
  <c r="V607" i="2"/>
  <c r="U607" i="2"/>
  <c r="T607" i="2"/>
  <c r="S607" i="2"/>
  <c r="R607" i="2"/>
  <c r="Q607" i="2"/>
  <c r="P607" i="2"/>
  <c r="X606" i="2"/>
  <c r="W606" i="2"/>
  <c r="V606" i="2"/>
  <c r="U606" i="2"/>
  <c r="T606" i="2"/>
  <c r="S606" i="2"/>
  <c r="R606" i="2"/>
  <c r="Q606" i="2"/>
  <c r="P606" i="2"/>
  <c r="X605" i="2"/>
  <c r="W605" i="2"/>
  <c r="V605" i="2"/>
  <c r="U605" i="2"/>
  <c r="S605" i="2"/>
  <c r="R605" i="2"/>
  <c r="Q605" i="2"/>
  <c r="P605" i="2"/>
  <c r="T605" i="2" s="1"/>
  <c r="X604" i="2"/>
  <c r="W604" i="2"/>
  <c r="V604" i="2"/>
  <c r="U604" i="2"/>
  <c r="S604" i="2"/>
  <c r="R604" i="2"/>
  <c r="Q604" i="2"/>
  <c r="P604" i="2"/>
  <c r="T604" i="2" s="1"/>
  <c r="X603" i="2"/>
  <c r="W603" i="2"/>
  <c r="V603" i="2"/>
  <c r="U603" i="2"/>
  <c r="S603" i="2"/>
  <c r="R603" i="2"/>
  <c r="Q603" i="2"/>
  <c r="P603" i="2"/>
  <c r="T603" i="2" s="1"/>
  <c r="X602" i="2"/>
  <c r="W602" i="2"/>
  <c r="V602" i="2"/>
  <c r="U602" i="2"/>
  <c r="S602" i="2"/>
  <c r="R602" i="2"/>
  <c r="Q602" i="2"/>
  <c r="P602" i="2"/>
  <c r="T602" i="2" s="1"/>
  <c r="X601" i="2"/>
  <c r="W601" i="2"/>
  <c r="V601" i="2"/>
  <c r="U601" i="2"/>
  <c r="T601" i="2"/>
  <c r="S601" i="2"/>
  <c r="R601" i="2"/>
  <c r="Q601" i="2"/>
  <c r="P601" i="2"/>
  <c r="X600" i="2"/>
  <c r="W600" i="2"/>
  <c r="V600" i="2"/>
  <c r="U600" i="2"/>
  <c r="T600" i="2"/>
  <c r="S600" i="2"/>
  <c r="R600" i="2"/>
  <c r="Q600" i="2"/>
  <c r="P600" i="2"/>
  <c r="X599" i="2"/>
  <c r="W599" i="2"/>
  <c r="V599" i="2"/>
  <c r="U599" i="2"/>
  <c r="T599" i="2"/>
  <c r="S599" i="2"/>
  <c r="R599" i="2"/>
  <c r="Q599" i="2"/>
  <c r="P599" i="2"/>
  <c r="X598" i="2"/>
  <c r="W598" i="2"/>
  <c r="V598" i="2"/>
  <c r="U598" i="2"/>
  <c r="T598" i="2"/>
  <c r="S598" i="2"/>
  <c r="R598" i="2"/>
  <c r="Q598" i="2"/>
  <c r="P598" i="2"/>
  <c r="X597" i="2"/>
  <c r="W597" i="2"/>
  <c r="V597" i="2"/>
  <c r="U597" i="2"/>
  <c r="S597" i="2"/>
  <c r="R597" i="2"/>
  <c r="Q597" i="2"/>
  <c r="P597" i="2"/>
  <c r="T597" i="2" s="1"/>
  <c r="X596" i="2"/>
  <c r="W596" i="2"/>
  <c r="V596" i="2"/>
  <c r="U596" i="2"/>
  <c r="S596" i="2"/>
  <c r="R596" i="2"/>
  <c r="Q596" i="2"/>
  <c r="P596" i="2"/>
  <c r="T596" i="2" s="1"/>
  <c r="X595" i="2"/>
  <c r="W595" i="2"/>
  <c r="V595" i="2"/>
  <c r="U595" i="2"/>
  <c r="S595" i="2"/>
  <c r="R595" i="2"/>
  <c r="Q595" i="2"/>
  <c r="P595" i="2"/>
  <c r="T595" i="2" s="1"/>
  <c r="X594" i="2"/>
  <c r="W594" i="2"/>
  <c r="V594" i="2"/>
  <c r="U594" i="2"/>
  <c r="S594" i="2"/>
  <c r="R594" i="2"/>
  <c r="Q594" i="2"/>
  <c r="P594" i="2"/>
  <c r="T594" i="2" s="1"/>
  <c r="X593" i="2"/>
  <c r="W593" i="2"/>
  <c r="V593" i="2"/>
  <c r="U593" i="2"/>
  <c r="T593" i="2"/>
  <c r="S593" i="2"/>
  <c r="R593" i="2"/>
  <c r="Q593" i="2"/>
  <c r="P593" i="2"/>
  <c r="X592" i="2"/>
  <c r="W592" i="2"/>
  <c r="V592" i="2"/>
  <c r="U592" i="2"/>
  <c r="T592" i="2"/>
  <c r="S592" i="2"/>
  <c r="R592" i="2"/>
  <c r="Q592" i="2"/>
  <c r="P592" i="2"/>
  <c r="X591" i="2"/>
  <c r="W591" i="2"/>
  <c r="V591" i="2"/>
  <c r="U591" i="2"/>
  <c r="T591" i="2"/>
  <c r="S591" i="2"/>
  <c r="R591" i="2"/>
  <c r="Q591" i="2"/>
  <c r="P591" i="2"/>
  <c r="X590" i="2"/>
  <c r="W590" i="2"/>
  <c r="V590" i="2"/>
  <c r="U590" i="2"/>
  <c r="T590" i="2"/>
  <c r="S590" i="2"/>
  <c r="R590" i="2"/>
  <c r="Q590" i="2"/>
  <c r="P590" i="2"/>
  <c r="X589" i="2"/>
  <c r="W589" i="2"/>
  <c r="V589" i="2"/>
  <c r="U589" i="2"/>
  <c r="S589" i="2"/>
  <c r="R589" i="2"/>
  <c r="Q589" i="2"/>
  <c r="P589" i="2"/>
  <c r="T589" i="2" s="1"/>
  <c r="X588" i="2"/>
  <c r="W588" i="2"/>
  <c r="V588" i="2"/>
  <c r="U588" i="2"/>
  <c r="S588" i="2"/>
  <c r="R588" i="2"/>
  <c r="Q588" i="2"/>
  <c r="P588" i="2"/>
  <c r="T588" i="2" s="1"/>
  <c r="X587" i="2"/>
  <c r="W587" i="2"/>
  <c r="V587" i="2"/>
  <c r="U587" i="2"/>
  <c r="S587" i="2"/>
  <c r="R587" i="2"/>
  <c r="Q587" i="2"/>
  <c r="P587" i="2"/>
  <c r="T587" i="2" s="1"/>
  <c r="X586" i="2"/>
  <c r="W586" i="2"/>
  <c r="V586" i="2"/>
  <c r="U586" i="2"/>
  <c r="S586" i="2"/>
  <c r="R586" i="2"/>
  <c r="Q586" i="2"/>
  <c r="P586" i="2"/>
  <c r="T586" i="2" s="1"/>
  <c r="X585" i="2"/>
  <c r="W585" i="2"/>
  <c r="V585" i="2"/>
  <c r="U585" i="2"/>
  <c r="T585" i="2"/>
  <c r="S585" i="2"/>
  <c r="R585" i="2"/>
  <c r="Q585" i="2"/>
  <c r="P585" i="2"/>
  <c r="X584" i="2"/>
  <c r="W584" i="2"/>
  <c r="V584" i="2"/>
  <c r="U584" i="2"/>
  <c r="T584" i="2"/>
  <c r="S584" i="2"/>
  <c r="R584" i="2"/>
  <c r="Q584" i="2"/>
  <c r="P584" i="2"/>
  <c r="X583" i="2"/>
  <c r="W583" i="2"/>
  <c r="V583" i="2"/>
  <c r="U583" i="2"/>
  <c r="T583" i="2"/>
  <c r="S583" i="2"/>
  <c r="R583" i="2"/>
  <c r="Q583" i="2"/>
  <c r="P583" i="2"/>
  <c r="X582" i="2"/>
  <c r="W582" i="2"/>
  <c r="V582" i="2"/>
  <c r="U582" i="2"/>
  <c r="T582" i="2"/>
  <c r="S582" i="2"/>
  <c r="R582" i="2"/>
  <c r="Q582" i="2"/>
  <c r="P582" i="2"/>
  <c r="X581" i="2"/>
  <c r="W581" i="2"/>
  <c r="V581" i="2"/>
  <c r="U581" i="2"/>
  <c r="S581" i="2"/>
  <c r="R581" i="2"/>
  <c r="Q581" i="2"/>
  <c r="P581" i="2"/>
  <c r="T581" i="2" s="1"/>
  <c r="X580" i="2"/>
  <c r="W580" i="2"/>
  <c r="V580" i="2"/>
  <c r="U580" i="2"/>
  <c r="S580" i="2"/>
  <c r="R580" i="2"/>
  <c r="Q580" i="2"/>
  <c r="P580" i="2"/>
  <c r="T580" i="2" s="1"/>
  <c r="X579" i="2"/>
  <c r="W579" i="2"/>
  <c r="V579" i="2"/>
  <c r="U579" i="2"/>
  <c r="S579" i="2"/>
  <c r="R579" i="2"/>
  <c r="Q579" i="2"/>
  <c r="P579" i="2"/>
  <c r="T579" i="2" s="1"/>
  <c r="X578" i="2"/>
  <c r="W578" i="2"/>
  <c r="V578" i="2"/>
  <c r="U578" i="2"/>
  <c r="S578" i="2"/>
  <c r="R578" i="2"/>
  <c r="Q578" i="2"/>
  <c r="P578" i="2"/>
  <c r="T578" i="2" s="1"/>
  <c r="X577" i="2"/>
  <c r="W577" i="2"/>
  <c r="V577" i="2"/>
  <c r="U577" i="2"/>
  <c r="S577" i="2"/>
  <c r="R577" i="2"/>
  <c r="Q577" i="2"/>
  <c r="P577" i="2"/>
  <c r="T577" i="2" s="1"/>
  <c r="X576" i="2"/>
  <c r="W576" i="2"/>
  <c r="V576" i="2"/>
  <c r="U576" i="2"/>
  <c r="T576" i="2"/>
  <c r="S576" i="2"/>
  <c r="R576" i="2"/>
  <c r="Q576" i="2"/>
  <c r="P576" i="2"/>
  <c r="X575" i="2"/>
  <c r="W575" i="2"/>
  <c r="V575" i="2"/>
  <c r="U575" i="2"/>
  <c r="T575" i="2"/>
  <c r="S575" i="2"/>
  <c r="R575" i="2"/>
  <c r="Q575" i="2"/>
  <c r="P575" i="2"/>
  <c r="X574" i="2"/>
  <c r="W574" i="2"/>
  <c r="V574" i="2"/>
  <c r="U574" i="2"/>
  <c r="T574" i="2"/>
  <c r="S574" i="2"/>
  <c r="R574" i="2"/>
  <c r="Q574" i="2"/>
  <c r="P574" i="2"/>
  <c r="X573" i="2"/>
  <c r="W573" i="2"/>
  <c r="V573" i="2"/>
  <c r="U573" i="2"/>
  <c r="T573" i="2"/>
  <c r="S573" i="2"/>
  <c r="R573" i="2"/>
  <c r="Q573" i="2"/>
  <c r="P573" i="2"/>
  <c r="X572" i="2"/>
  <c r="W572" i="2"/>
  <c r="V572" i="2"/>
  <c r="U572" i="2"/>
  <c r="S572" i="2"/>
  <c r="R572" i="2"/>
  <c r="Q572" i="2"/>
  <c r="P572" i="2"/>
  <c r="T572" i="2" s="1"/>
  <c r="X571" i="2"/>
  <c r="W571" i="2"/>
  <c r="V571" i="2"/>
  <c r="U571" i="2"/>
  <c r="S571" i="2"/>
  <c r="R571" i="2"/>
  <c r="Q571" i="2"/>
  <c r="P571" i="2"/>
  <c r="T571" i="2" s="1"/>
  <c r="X570" i="2"/>
  <c r="W570" i="2"/>
  <c r="V570" i="2"/>
  <c r="U570" i="2"/>
  <c r="S570" i="2"/>
  <c r="R570" i="2"/>
  <c r="Q570" i="2"/>
  <c r="P570" i="2"/>
  <c r="T570" i="2" s="1"/>
  <c r="X569" i="2"/>
  <c r="W569" i="2"/>
  <c r="V569" i="2"/>
  <c r="U569" i="2"/>
  <c r="S569" i="2"/>
  <c r="R569" i="2"/>
  <c r="Q569" i="2"/>
  <c r="P569" i="2"/>
  <c r="T569" i="2" s="1"/>
  <c r="X568" i="2"/>
  <c r="W568" i="2"/>
  <c r="V568" i="2"/>
  <c r="U568" i="2"/>
  <c r="T568" i="2"/>
  <c r="S568" i="2"/>
  <c r="R568" i="2"/>
  <c r="Q568" i="2"/>
  <c r="P568" i="2"/>
  <c r="X567" i="2"/>
  <c r="W567" i="2"/>
  <c r="V567" i="2"/>
  <c r="U567" i="2"/>
  <c r="T567" i="2"/>
  <c r="S567" i="2"/>
  <c r="R567" i="2"/>
  <c r="Q567" i="2"/>
  <c r="P567" i="2"/>
  <c r="X566" i="2"/>
  <c r="W566" i="2"/>
  <c r="V566" i="2"/>
  <c r="U566" i="2"/>
  <c r="T566" i="2"/>
  <c r="S566" i="2"/>
  <c r="R566" i="2"/>
  <c r="Q566" i="2"/>
  <c r="P566" i="2"/>
  <c r="X565" i="2"/>
  <c r="W565" i="2"/>
  <c r="V565" i="2"/>
  <c r="U565" i="2"/>
  <c r="S565" i="2"/>
  <c r="R565" i="2"/>
  <c r="Q565" i="2"/>
  <c r="P565" i="2"/>
  <c r="T565" i="2" s="1"/>
  <c r="X564" i="2"/>
  <c r="W564" i="2"/>
  <c r="V564" i="2"/>
  <c r="U564" i="2"/>
  <c r="S564" i="2"/>
  <c r="R564" i="2"/>
  <c r="Q564" i="2"/>
  <c r="P564" i="2"/>
  <c r="T564" i="2" s="1"/>
  <c r="X563" i="2"/>
  <c r="W563" i="2"/>
  <c r="V563" i="2"/>
  <c r="U563" i="2"/>
  <c r="S563" i="2"/>
  <c r="R563" i="2"/>
  <c r="Q563" i="2"/>
  <c r="P563" i="2"/>
  <c r="T563" i="2" s="1"/>
  <c r="X562" i="2"/>
  <c r="W562" i="2"/>
  <c r="V562" i="2"/>
  <c r="U562" i="2"/>
  <c r="S562" i="2"/>
  <c r="R562" i="2"/>
  <c r="Q562" i="2"/>
  <c r="P562" i="2"/>
  <c r="T562" i="2" s="1"/>
  <c r="X561" i="2"/>
  <c r="W561" i="2"/>
  <c r="V561" i="2"/>
  <c r="U561" i="2"/>
  <c r="S561" i="2"/>
  <c r="R561" i="2"/>
  <c r="Q561" i="2"/>
  <c r="P561" i="2"/>
  <c r="T561" i="2" s="1"/>
  <c r="X560" i="2"/>
  <c r="W560" i="2"/>
  <c r="V560" i="2"/>
  <c r="U560" i="2"/>
  <c r="T560" i="2"/>
  <c r="S560" i="2"/>
  <c r="R560" i="2"/>
  <c r="Q560" i="2"/>
  <c r="P560" i="2"/>
  <c r="X559" i="2"/>
  <c r="W559" i="2"/>
  <c r="V559" i="2"/>
  <c r="U559" i="2"/>
  <c r="T559" i="2"/>
  <c r="S559" i="2"/>
  <c r="R559" i="2"/>
  <c r="Q559" i="2"/>
  <c r="P559" i="2"/>
  <c r="X558" i="2"/>
  <c r="W558" i="2"/>
  <c r="V558" i="2"/>
  <c r="U558" i="2"/>
  <c r="T558" i="2"/>
  <c r="S558" i="2"/>
  <c r="R558" i="2"/>
  <c r="Q558" i="2"/>
  <c r="P558" i="2"/>
  <c r="X557" i="2"/>
  <c r="W557" i="2"/>
  <c r="V557" i="2"/>
  <c r="U557" i="2"/>
  <c r="S557" i="2"/>
  <c r="R557" i="2"/>
  <c r="Q557" i="2"/>
  <c r="P557" i="2"/>
  <c r="T557" i="2" s="1"/>
  <c r="X556" i="2"/>
  <c r="W556" i="2"/>
  <c r="V556" i="2"/>
  <c r="U556" i="2"/>
  <c r="S556" i="2"/>
  <c r="R556" i="2"/>
  <c r="Q556" i="2"/>
  <c r="P556" i="2"/>
  <c r="T556" i="2" s="1"/>
  <c r="X555" i="2"/>
  <c r="W555" i="2"/>
  <c r="V555" i="2"/>
  <c r="U555" i="2"/>
  <c r="S555" i="2"/>
  <c r="R555" i="2"/>
  <c r="Q555" i="2"/>
  <c r="P555" i="2"/>
  <c r="T555" i="2" s="1"/>
  <c r="X554" i="2"/>
  <c r="W554" i="2"/>
  <c r="V554" i="2"/>
  <c r="U554" i="2"/>
  <c r="S554" i="2"/>
  <c r="R554" i="2"/>
  <c r="Q554" i="2"/>
  <c r="P554" i="2"/>
  <c r="T554" i="2" s="1"/>
  <c r="X553" i="2"/>
  <c r="W553" i="2"/>
  <c r="V553" i="2"/>
  <c r="U553" i="2"/>
  <c r="S553" i="2"/>
  <c r="R553" i="2"/>
  <c r="Q553" i="2"/>
  <c r="P553" i="2"/>
  <c r="T553" i="2" s="1"/>
  <c r="X552" i="2"/>
  <c r="W552" i="2"/>
  <c r="V552" i="2"/>
  <c r="U552" i="2"/>
  <c r="T552" i="2"/>
  <c r="S552" i="2"/>
  <c r="R552" i="2"/>
  <c r="Q552" i="2"/>
  <c r="P552" i="2"/>
  <c r="X551" i="2"/>
  <c r="W551" i="2"/>
  <c r="V551" i="2"/>
  <c r="U551" i="2"/>
  <c r="T551" i="2"/>
  <c r="S551" i="2"/>
  <c r="R551" i="2"/>
  <c r="Q551" i="2"/>
  <c r="P551" i="2"/>
  <c r="X550" i="2"/>
  <c r="W550" i="2"/>
  <c r="V550" i="2"/>
  <c r="U550" i="2"/>
  <c r="T550" i="2"/>
  <c r="S550" i="2"/>
  <c r="R550" i="2"/>
  <c r="Q550" i="2"/>
  <c r="P550" i="2"/>
  <c r="X549" i="2"/>
  <c r="W549" i="2"/>
  <c r="V549" i="2"/>
  <c r="U549" i="2"/>
  <c r="S549" i="2"/>
  <c r="R549" i="2"/>
  <c r="Q549" i="2"/>
  <c r="P549" i="2"/>
  <c r="T549" i="2" s="1"/>
  <c r="X548" i="2"/>
  <c r="W548" i="2"/>
  <c r="V548" i="2"/>
  <c r="U548" i="2"/>
  <c r="S548" i="2"/>
  <c r="R548" i="2"/>
  <c r="Q548" i="2"/>
  <c r="P548" i="2"/>
  <c r="T548" i="2" s="1"/>
  <c r="X547" i="2"/>
  <c r="W547" i="2"/>
  <c r="V547" i="2"/>
  <c r="U547" i="2"/>
  <c r="S547" i="2"/>
  <c r="R547" i="2"/>
  <c r="Q547" i="2"/>
  <c r="P547" i="2"/>
  <c r="T547" i="2" s="1"/>
  <c r="X546" i="2"/>
  <c r="W546" i="2"/>
  <c r="V546" i="2"/>
  <c r="U546" i="2"/>
  <c r="S546" i="2"/>
  <c r="R546" i="2"/>
  <c r="Q546" i="2"/>
  <c r="P546" i="2"/>
  <c r="T546" i="2" s="1"/>
  <c r="X545" i="2"/>
  <c r="W545" i="2"/>
  <c r="V545" i="2"/>
  <c r="U545" i="2"/>
  <c r="S545" i="2"/>
  <c r="R545" i="2"/>
  <c r="Q545" i="2"/>
  <c r="P545" i="2"/>
  <c r="T545" i="2" s="1"/>
  <c r="X544" i="2"/>
  <c r="W544" i="2"/>
  <c r="V544" i="2"/>
  <c r="U544" i="2"/>
  <c r="T544" i="2"/>
  <c r="S544" i="2"/>
  <c r="R544" i="2"/>
  <c r="Q544" i="2"/>
  <c r="P544" i="2"/>
  <c r="X543" i="2"/>
  <c r="W543" i="2"/>
  <c r="V543" i="2"/>
  <c r="U543" i="2"/>
  <c r="T543" i="2"/>
  <c r="S543" i="2"/>
  <c r="R543" i="2"/>
  <c r="Q543" i="2"/>
  <c r="P543" i="2"/>
  <c r="X542" i="2"/>
  <c r="W542" i="2"/>
  <c r="V542" i="2"/>
  <c r="U542" i="2"/>
  <c r="T542" i="2"/>
  <c r="S542" i="2"/>
  <c r="R542" i="2"/>
  <c r="Q542" i="2"/>
  <c r="P542" i="2"/>
  <c r="X541" i="2"/>
  <c r="W541" i="2"/>
  <c r="V541" i="2"/>
  <c r="U541" i="2"/>
  <c r="S541" i="2"/>
  <c r="R541" i="2"/>
  <c r="Q541" i="2"/>
  <c r="P541" i="2"/>
  <c r="T541" i="2" s="1"/>
  <c r="X540" i="2"/>
  <c r="W540" i="2"/>
  <c r="V540" i="2"/>
  <c r="U540" i="2"/>
  <c r="S540" i="2"/>
  <c r="R540" i="2"/>
  <c r="Q540" i="2"/>
  <c r="P540" i="2"/>
  <c r="T540" i="2" s="1"/>
  <c r="X539" i="2"/>
  <c r="W539" i="2"/>
  <c r="V539" i="2"/>
  <c r="U539" i="2"/>
  <c r="S539" i="2"/>
  <c r="R539" i="2"/>
  <c r="Q539" i="2"/>
  <c r="P539" i="2"/>
  <c r="T539" i="2" s="1"/>
  <c r="X538" i="2"/>
  <c r="W538" i="2"/>
  <c r="V538" i="2"/>
  <c r="U538" i="2"/>
  <c r="S538" i="2"/>
  <c r="R538" i="2"/>
  <c r="Q538" i="2"/>
  <c r="P538" i="2"/>
  <c r="T538" i="2" s="1"/>
  <c r="X537" i="2"/>
  <c r="W537" i="2"/>
  <c r="V537" i="2"/>
  <c r="U537" i="2"/>
  <c r="S537" i="2"/>
  <c r="R537" i="2"/>
  <c r="Q537" i="2"/>
  <c r="P537" i="2"/>
  <c r="T537" i="2" s="1"/>
  <c r="X536" i="2"/>
  <c r="W536" i="2"/>
  <c r="V536" i="2"/>
  <c r="U536" i="2"/>
  <c r="T536" i="2"/>
  <c r="S536" i="2"/>
  <c r="R536" i="2"/>
  <c r="Q536" i="2"/>
  <c r="P536" i="2"/>
  <c r="X535" i="2"/>
  <c r="W535" i="2"/>
  <c r="V535" i="2"/>
  <c r="U535" i="2"/>
  <c r="T535" i="2"/>
  <c r="S535" i="2"/>
  <c r="R535" i="2"/>
  <c r="Q535" i="2"/>
  <c r="P535" i="2"/>
  <c r="X534" i="2"/>
  <c r="W534" i="2"/>
  <c r="V534" i="2"/>
  <c r="U534" i="2"/>
  <c r="T534" i="2"/>
  <c r="S534" i="2"/>
  <c r="R534" i="2"/>
  <c r="Q534" i="2"/>
  <c r="P534" i="2"/>
  <c r="X533" i="2"/>
  <c r="W533" i="2"/>
  <c r="V533" i="2"/>
  <c r="U533" i="2"/>
  <c r="S533" i="2"/>
  <c r="R533" i="2"/>
  <c r="Q533" i="2"/>
  <c r="P533" i="2"/>
  <c r="T533" i="2" s="1"/>
  <c r="X532" i="2"/>
  <c r="W532" i="2"/>
  <c r="V532" i="2"/>
  <c r="U532" i="2"/>
  <c r="S532" i="2"/>
  <c r="R532" i="2"/>
  <c r="Q532" i="2"/>
  <c r="P532" i="2"/>
  <c r="T532" i="2" s="1"/>
  <c r="X531" i="2"/>
  <c r="W531" i="2"/>
  <c r="V531" i="2"/>
  <c r="U531" i="2"/>
  <c r="S531" i="2"/>
  <c r="R531" i="2"/>
  <c r="Q531" i="2"/>
  <c r="P531" i="2"/>
  <c r="T531" i="2" s="1"/>
  <c r="X530" i="2"/>
  <c r="W530" i="2"/>
  <c r="V530" i="2"/>
  <c r="U530" i="2"/>
  <c r="S530" i="2"/>
  <c r="R530" i="2"/>
  <c r="Q530" i="2"/>
  <c r="P530" i="2"/>
  <c r="T530" i="2" s="1"/>
  <c r="X529" i="2"/>
  <c r="W529" i="2"/>
  <c r="V529" i="2"/>
  <c r="U529" i="2"/>
  <c r="S529" i="2"/>
  <c r="R529" i="2"/>
  <c r="Q529" i="2"/>
  <c r="P529" i="2"/>
  <c r="T529" i="2" s="1"/>
  <c r="X528" i="2"/>
  <c r="W528" i="2"/>
  <c r="V528" i="2"/>
  <c r="U528" i="2"/>
  <c r="T528" i="2"/>
  <c r="S528" i="2"/>
  <c r="R528" i="2"/>
  <c r="Q528" i="2"/>
  <c r="P528" i="2"/>
  <c r="X527" i="2"/>
  <c r="W527" i="2"/>
  <c r="V527" i="2"/>
  <c r="U527" i="2"/>
  <c r="T527" i="2"/>
  <c r="S527" i="2"/>
  <c r="R527" i="2"/>
  <c r="Q527" i="2"/>
  <c r="P527" i="2"/>
  <c r="X526" i="2"/>
  <c r="W526" i="2"/>
  <c r="V526" i="2"/>
  <c r="U526" i="2"/>
  <c r="T526" i="2"/>
  <c r="S526" i="2"/>
  <c r="R526" i="2"/>
  <c r="Q526" i="2"/>
  <c r="P526" i="2"/>
  <c r="X525" i="2"/>
  <c r="W525" i="2"/>
  <c r="V525" i="2"/>
  <c r="U525" i="2"/>
  <c r="S525" i="2"/>
  <c r="R525" i="2"/>
  <c r="Q525" i="2"/>
  <c r="P525" i="2"/>
  <c r="T525" i="2" s="1"/>
  <c r="X524" i="2"/>
  <c r="W524" i="2"/>
  <c r="V524" i="2"/>
  <c r="U524" i="2"/>
  <c r="S524" i="2"/>
  <c r="R524" i="2"/>
  <c r="Q524" i="2"/>
  <c r="P524" i="2"/>
  <c r="T524" i="2" s="1"/>
  <c r="X523" i="2"/>
  <c r="W523" i="2"/>
  <c r="V523" i="2"/>
  <c r="U523" i="2"/>
  <c r="S523" i="2"/>
  <c r="R523" i="2"/>
  <c r="Q523" i="2"/>
  <c r="P523" i="2"/>
  <c r="T523" i="2" s="1"/>
  <c r="X522" i="2"/>
  <c r="W522" i="2"/>
  <c r="V522" i="2"/>
  <c r="U522" i="2"/>
  <c r="S522" i="2"/>
  <c r="R522" i="2"/>
  <c r="Q522" i="2"/>
  <c r="P522" i="2"/>
  <c r="T522" i="2" s="1"/>
  <c r="X521" i="2"/>
  <c r="W521" i="2"/>
  <c r="V521" i="2"/>
  <c r="U521" i="2"/>
  <c r="S521" i="2"/>
  <c r="R521" i="2"/>
  <c r="Q521" i="2"/>
  <c r="P521" i="2"/>
  <c r="T521" i="2" s="1"/>
  <c r="X520" i="2"/>
  <c r="W520" i="2"/>
  <c r="V520" i="2"/>
  <c r="U520" i="2"/>
  <c r="T520" i="2"/>
  <c r="S520" i="2"/>
  <c r="R520" i="2"/>
  <c r="Q520" i="2"/>
  <c r="P520" i="2"/>
  <c r="X519" i="2"/>
  <c r="W519" i="2"/>
  <c r="V519" i="2"/>
  <c r="U519" i="2"/>
  <c r="T519" i="2"/>
  <c r="S519" i="2"/>
  <c r="R519" i="2"/>
  <c r="Q519" i="2"/>
  <c r="P519" i="2"/>
  <c r="X518" i="2"/>
  <c r="W518" i="2"/>
  <c r="V518" i="2"/>
  <c r="U518" i="2"/>
  <c r="T518" i="2"/>
  <c r="S518" i="2"/>
  <c r="R518" i="2"/>
  <c r="Q518" i="2"/>
  <c r="P518" i="2"/>
  <c r="X517" i="2"/>
  <c r="W517" i="2"/>
  <c r="V517" i="2"/>
  <c r="U517" i="2"/>
  <c r="S517" i="2"/>
  <c r="R517" i="2"/>
  <c r="Q517" i="2"/>
  <c r="P517" i="2"/>
  <c r="T517" i="2" s="1"/>
  <c r="X516" i="2"/>
  <c r="W516" i="2"/>
  <c r="V516" i="2"/>
  <c r="U516" i="2"/>
  <c r="S516" i="2"/>
  <c r="R516" i="2"/>
  <c r="Q516" i="2"/>
  <c r="P516" i="2"/>
  <c r="T516" i="2" s="1"/>
  <c r="X515" i="2"/>
  <c r="W515" i="2"/>
  <c r="V515" i="2"/>
  <c r="U515" i="2"/>
  <c r="S515" i="2"/>
  <c r="R515" i="2"/>
  <c r="Q515" i="2"/>
  <c r="P515" i="2"/>
  <c r="T515" i="2" s="1"/>
  <c r="X514" i="2"/>
  <c r="W514" i="2"/>
  <c r="V514" i="2"/>
  <c r="U514" i="2"/>
  <c r="S514" i="2"/>
  <c r="R514" i="2"/>
  <c r="Q514" i="2"/>
  <c r="P514" i="2"/>
  <c r="T514" i="2" s="1"/>
  <c r="X513" i="2"/>
  <c r="W513" i="2"/>
  <c r="V513" i="2"/>
  <c r="U513" i="2"/>
  <c r="S513" i="2"/>
  <c r="R513" i="2"/>
  <c r="Q513" i="2"/>
  <c r="P513" i="2"/>
  <c r="T513" i="2" s="1"/>
  <c r="X512" i="2"/>
  <c r="W512" i="2"/>
  <c r="V512" i="2"/>
  <c r="U512" i="2"/>
  <c r="T512" i="2"/>
  <c r="S512" i="2"/>
  <c r="R512" i="2"/>
  <c r="Q512" i="2"/>
  <c r="P512" i="2"/>
  <c r="X511" i="2"/>
  <c r="W511" i="2"/>
  <c r="V511" i="2"/>
  <c r="U511" i="2"/>
  <c r="T511" i="2"/>
  <c r="S511" i="2"/>
  <c r="R511" i="2"/>
  <c r="Q511" i="2"/>
  <c r="P511" i="2"/>
  <c r="X510" i="2"/>
  <c r="W510" i="2"/>
  <c r="V510" i="2"/>
  <c r="U510" i="2"/>
  <c r="T510" i="2"/>
  <c r="S510" i="2"/>
  <c r="R510" i="2"/>
  <c r="Q510" i="2"/>
  <c r="P510" i="2"/>
  <c r="X509" i="2"/>
  <c r="W509" i="2"/>
  <c r="V509" i="2"/>
  <c r="U509" i="2"/>
  <c r="S509" i="2"/>
  <c r="R509" i="2"/>
  <c r="Q509" i="2"/>
  <c r="P509" i="2"/>
  <c r="T509" i="2" s="1"/>
  <c r="X508" i="2"/>
  <c r="W508" i="2"/>
  <c r="V508" i="2"/>
  <c r="U508" i="2"/>
  <c r="S508" i="2"/>
  <c r="R508" i="2"/>
  <c r="Q508" i="2"/>
  <c r="P508" i="2"/>
  <c r="T508" i="2" s="1"/>
  <c r="X507" i="2"/>
  <c r="W507" i="2"/>
  <c r="V507" i="2"/>
  <c r="U507" i="2"/>
  <c r="S507" i="2"/>
  <c r="R507" i="2"/>
  <c r="Q507" i="2"/>
  <c r="P507" i="2"/>
  <c r="T507" i="2" s="1"/>
  <c r="X506" i="2"/>
  <c r="W506" i="2"/>
  <c r="V506" i="2"/>
  <c r="U506" i="2"/>
  <c r="S506" i="2"/>
  <c r="R506" i="2"/>
  <c r="Q506" i="2"/>
  <c r="P506" i="2"/>
  <c r="T506" i="2" s="1"/>
  <c r="X505" i="2"/>
  <c r="W505" i="2"/>
  <c r="V505" i="2"/>
  <c r="U505" i="2"/>
  <c r="S505" i="2"/>
  <c r="R505" i="2"/>
  <c r="Q505" i="2"/>
  <c r="P505" i="2"/>
  <c r="T505" i="2" s="1"/>
  <c r="X504" i="2"/>
  <c r="W504" i="2"/>
  <c r="V504" i="2"/>
  <c r="U504" i="2"/>
  <c r="T504" i="2"/>
  <c r="S504" i="2"/>
  <c r="R504" i="2"/>
  <c r="Q504" i="2"/>
  <c r="P504" i="2"/>
  <c r="X503" i="2"/>
  <c r="W503" i="2"/>
  <c r="V503" i="2"/>
  <c r="U503" i="2"/>
  <c r="T503" i="2"/>
  <c r="S503" i="2"/>
  <c r="R503" i="2"/>
  <c r="Q503" i="2"/>
  <c r="P503" i="2"/>
  <c r="X502" i="2"/>
  <c r="W502" i="2"/>
  <c r="V502" i="2"/>
  <c r="U502" i="2"/>
  <c r="T502" i="2"/>
  <c r="S502" i="2"/>
  <c r="R502" i="2"/>
  <c r="Q502" i="2"/>
  <c r="P502" i="2"/>
  <c r="X501" i="2"/>
  <c r="W501" i="2"/>
  <c r="V501" i="2"/>
  <c r="U501" i="2"/>
  <c r="S501" i="2"/>
  <c r="R501" i="2"/>
  <c r="Q501" i="2"/>
  <c r="P501" i="2"/>
  <c r="T501" i="2" s="1"/>
  <c r="X500" i="2"/>
  <c r="W500" i="2"/>
  <c r="V500" i="2"/>
  <c r="U500" i="2"/>
  <c r="S500" i="2"/>
  <c r="R500" i="2"/>
  <c r="Q500" i="2"/>
  <c r="P500" i="2"/>
  <c r="T500" i="2" s="1"/>
  <c r="X499" i="2"/>
  <c r="W499" i="2"/>
  <c r="V499" i="2"/>
  <c r="U499" i="2"/>
  <c r="S499" i="2"/>
  <c r="R499" i="2"/>
  <c r="Q499" i="2"/>
  <c r="P499" i="2"/>
  <c r="T499" i="2" s="1"/>
  <c r="X498" i="2"/>
  <c r="W498" i="2"/>
  <c r="V498" i="2"/>
  <c r="U498" i="2"/>
  <c r="S498" i="2"/>
  <c r="R498" i="2"/>
  <c r="Q498" i="2"/>
  <c r="P498" i="2"/>
  <c r="T498" i="2" s="1"/>
  <c r="X497" i="2"/>
  <c r="W497" i="2"/>
  <c r="V497" i="2"/>
  <c r="U497" i="2"/>
  <c r="S497" i="2"/>
  <c r="R497" i="2"/>
  <c r="Q497" i="2"/>
  <c r="P497" i="2"/>
  <c r="T497" i="2" s="1"/>
  <c r="X496" i="2"/>
  <c r="W496" i="2"/>
  <c r="V496" i="2"/>
  <c r="U496" i="2"/>
  <c r="T496" i="2"/>
  <c r="S496" i="2"/>
  <c r="R496" i="2"/>
  <c r="Q496" i="2"/>
  <c r="P496" i="2"/>
  <c r="X495" i="2"/>
  <c r="W495" i="2"/>
  <c r="V495" i="2"/>
  <c r="U495" i="2"/>
  <c r="T495" i="2"/>
  <c r="S495" i="2"/>
  <c r="R495" i="2"/>
  <c r="Q495" i="2"/>
  <c r="P495" i="2"/>
  <c r="X494" i="2"/>
  <c r="W494" i="2"/>
  <c r="V494" i="2"/>
  <c r="U494" i="2"/>
  <c r="T494" i="2"/>
  <c r="S494" i="2"/>
  <c r="R494" i="2"/>
  <c r="Q494" i="2"/>
  <c r="P494" i="2"/>
  <c r="X493" i="2"/>
  <c r="W493" i="2"/>
  <c r="V493" i="2"/>
  <c r="U493" i="2"/>
  <c r="T493" i="2"/>
  <c r="S493" i="2"/>
  <c r="R493" i="2"/>
  <c r="Q493" i="2"/>
  <c r="P493" i="2"/>
  <c r="X492" i="2"/>
  <c r="W492" i="2"/>
  <c r="V492" i="2"/>
  <c r="U492" i="2"/>
  <c r="S492" i="2"/>
  <c r="R492" i="2"/>
  <c r="Q492" i="2"/>
  <c r="P492" i="2"/>
  <c r="T492" i="2" s="1"/>
  <c r="X491" i="2"/>
  <c r="W491" i="2"/>
  <c r="V491" i="2"/>
  <c r="U491" i="2"/>
  <c r="S491" i="2"/>
  <c r="R491" i="2"/>
  <c r="Q491" i="2"/>
  <c r="P491" i="2"/>
  <c r="T491" i="2" s="1"/>
  <c r="X490" i="2"/>
  <c r="W490" i="2"/>
  <c r="V490" i="2"/>
  <c r="U490" i="2"/>
  <c r="S490" i="2"/>
  <c r="R490" i="2"/>
  <c r="Q490" i="2"/>
  <c r="P490" i="2"/>
  <c r="T490" i="2" s="1"/>
  <c r="X489" i="2"/>
  <c r="W489" i="2"/>
  <c r="V489" i="2"/>
  <c r="U489" i="2"/>
  <c r="S489" i="2"/>
  <c r="R489" i="2"/>
  <c r="Q489" i="2"/>
  <c r="P489" i="2"/>
  <c r="T489" i="2" s="1"/>
  <c r="X488" i="2"/>
  <c r="W488" i="2"/>
  <c r="V488" i="2"/>
  <c r="U488" i="2"/>
  <c r="T488" i="2"/>
  <c r="S488" i="2"/>
  <c r="R488" i="2"/>
  <c r="Q488" i="2"/>
  <c r="P488" i="2"/>
  <c r="X487" i="2"/>
  <c r="W487" i="2"/>
  <c r="V487" i="2"/>
  <c r="U487" i="2"/>
  <c r="T487" i="2"/>
  <c r="S487" i="2"/>
  <c r="R487" i="2"/>
  <c r="Q487" i="2"/>
  <c r="P487" i="2"/>
  <c r="X486" i="2"/>
  <c r="W486" i="2"/>
  <c r="V486" i="2"/>
  <c r="U486" i="2"/>
  <c r="T486" i="2"/>
  <c r="S486" i="2"/>
  <c r="R486" i="2"/>
  <c r="Q486" i="2"/>
  <c r="P486" i="2"/>
  <c r="X485" i="2"/>
  <c r="W485" i="2"/>
  <c r="V485" i="2"/>
  <c r="U485" i="2"/>
  <c r="T485" i="2"/>
  <c r="S485" i="2"/>
  <c r="R485" i="2"/>
  <c r="Q485" i="2"/>
  <c r="P485" i="2"/>
  <c r="X484" i="2"/>
  <c r="W484" i="2"/>
  <c r="V484" i="2"/>
  <c r="U484" i="2"/>
  <c r="S484" i="2"/>
  <c r="R484" i="2"/>
  <c r="Q484" i="2"/>
  <c r="P484" i="2"/>
  <c r="T484" i="2" s="1"/>
  <c r="X483" i="2"/>
  <c r="W483" i="2"/>
  <c r="V483" i="2"/>
  <c r="U483" i="2"/>
  <c r="S483" i="2"/>
  <c r="R483" i="2"/>
  <c r="Q483" i="2"/>
  <c r="P483" i="2"/>
  <c r="T483" i="2" s="1"/>
  <c r="X482" i="2"/>
  <c r="W482" i="2"/>
  <c r="V482" i="2"/>
  <c r="U482" i="2"/>
  <c r="S482" i="2"/>
  <c r="R482" i="2"/>
  <c r="Q482" i="2"/>
  <c r="P482" i="2"/>
  <c r="T482" i="2" s="1"/>
  <c r="X481" i="2"/>
  <c r="W481" i="2"/>
  <c r="V481" i="2"/>
  <c r="U481" i="2"/>
  <c r="S481" i="2"/>
  <c r="R481" i="2"/>
  <c r="Q481" i="2"/>
  <c r="P481" i="2"/>
  <c r="T481" i="2" s="1"/>
  <c r="X480" i="2"/>
  <c r="W480" i="2"/>
  <c r="V480" i="2"/>
  <c r="U480" i="2"/>
  <c r="T480" i="2"/>
  <c r="S480" i="2"/>
  <c r="R480" i="2"/>
  <c r="Q480" i="2"/>
  <c r="P480" i="2"/>
  <c r="X479" i="2"/>
  <c r="W479" i="2"/>
  <c r="V479" i="2"/>
  <c r="U479" i="2"/>
  <c r="T479" i="2"/>
  <c r="S479" i="2"/>
  <c r="R479" i="2"/>
  <c r="Q479" i="2"/>
  <c r="P479" i="2"/>
  <c r="X478" i="2"/>
  <c r="W478" i="2"/>
  <c r="V478" i="2"/>
  <c r="U478" i="2"/>
  <c r="T478" i="2"/>
  <c r="S478" i="2"/>
  <c r="R478" i="2"/>
  <c r="Q478" i="2"/>
  <c r="P478" i="2"/>
  <c r="X477" i="2"/>
  <c r="W477" i="2"/>
  <c r="V477" i="2"/>
  <c r="U477" i="2"/>
  <c r="T477" i="2"/>
  <c r="S477" i="2"/>
  <c r="R477" i="2"/>
  <c r="Q477" i="2"/>
  <c r="P477" i="2"/>
  <c r="X476" i="2"/>
  <c r="W476" i="2"/>
  <c r="V476" i="2"/>
  <c r="U476" i="2"/>
  <c r="S476" i="2"/>
  <c r="R476" i="2"/>
  <c r="Q476" i="2"/>
  <c r="P476" i="2"/>
  <c r="T476" i="2" s="1"/>
  <c r="X475" i="2"/>
  <c r="W475" i="2"/>
  <c r="V475" i="2"/>
  <c r="U475" i="2"/>
  <c r="S475" i="2"/>
  <c r="R475" i="2"/>
  <c r="Q475" i="2"/>
  <c r="P475" i="2"/>
  <c r="T475" i="2" s="1"/>
  <c r="X474" i="2"/>
  <c r="W474" i="2"/>
  <c r="V474" i="2"/>
  <c r="U474" i="2"/>
  <c r="S474" i="2"/>
  <c r="R474" i="2"/>
  <c r="Q474" i="2"/>
  <c r="P474" i="2"/>
  <c r="T474" i="2" s="1"/>
  <c r="X473" i="2"/>
  <c r="W473" i="2"/>
  <c r="V473" i="2"/>
  <c r="U473" i="2"/>
  <c r="S473" i="2"/>
  <c r="R473" i="2"/>
  <c r="Q473" i="2"/>
  <c r="P473" i="2"/>
  <c r="T473" i="2" s="1"/>
  <c r="X472" i="2"/>
  <c r="W472" i="2"/>
  <c r="V472" i="2"/>
  <c r="U472" i="2"/>
  <c r="T472" i="2"/>
  <c r="S472" i="2"/>
  <c r="R472" i="2"/>
  <c r="Q472" i="2"/>
  <c r="P472" i="2"/>
  <c r="X471" i="2"/>
  <c r="W471" i="2"/>
  <c r="V471" i="2"/>
  <c r="U471" i="2"/>
  <c r="T471" i="2"/>
  <c r="S471" i="2"/>
  <c r="R471" i="2"/>
  <c r="Q471" i="2"/>
  <c r="P471" i="2"/>
  <c r="X470" i="2"/>
  <c r="W470" i="2"/>
  <c r="V470" i="2"/>
  <c r="U470" i="2"/>
  <c r="T470" i="2"/>
  <c r="S470" i="2"/>
  <c r="R470" i="2"/>
  <c r="Q470" i="2"/>
  <c r="P470" i="2"/>
  <c r="X469" i="2"/>
  <c r="W469" i="2"/>
  <c r="V469" i="2"/>
  <c r="U469" i="2"/>
  <c r="T469" i="2"/>
  <c r="S469" i="2"/>
  <c r="R469" i="2"/>
  <c r="Q469" i="2"/>
  <c r="P469" i="2"/>
  <c r="X468" i="2"/>
  <c r="W468" i="2"/>
  <c r="V468" i="2"/>
  <c r="U468" i="2"/>
  <c r="S468" i="2"/>
  <c r="R468" i="2"/>
  <c r="Q468" i="2"/>
  <c r="P468" i="2"/>
  <c r="T468" i="2" s="1"/>
  <c r="X467" i="2"/>
  <c r="W467" i="2"/>
  <c r="V467" i="2"/>
  <c r="U467" i="2"/>
  <c r="S467" i="2"/>
  <c r="R467" i="2"/>
  <c r="Q467" i="2"/>
  <c r="P467" i="2"/>
  <c r="T467" i="2" s="1"/>
  <c r="X466" i="2"/>
  <c r="W466" i="2"/>
  <c r="V466" i="2"/>
  <c r="U466" i="2"/>
  <c r="S466" i="2"/>
  <c r="R466" i="2"/>
  <c r="Q466" i="2"/>
  <c r="P466" i="2"/>
  <c r="T466" i="2" s="1"/>
  <c r="X465" i="2"/>
  <c r="W465" i="2"/>
  <c r="V465" i="2"/>
  <c r="U465" i="2"/>
  <c r="S465" i="2"/>
  <c r="R465" i="2"/>
  <c r="Q465" i="2"/>
  <c r="P465" i="2"/>
  <c r="T465" i="2" s="1"/>
  <c r="X464" i="2"/>
  <c r="W464" i="2"/>
  <c r="V464" i="2"/>
  <c r="U464" i="2"/>
  <c r="T464" i="2"/>
  <c r="S464" i="2"/>
  <c r="R464" i="2"/>
  <c r="Q464" i="2"/>
  <c r="P464" i="2"/>
  <c r="X463" i="2"/>
  <c r="W463" i="2"/>
  <c r="V463" i="2"/>
  <c r="U463" i="2"/>
  <c r="T463" i="2"/>
  <c r="S463" i="2"/>
  <c r="R463" i="2"/>
  <c r="Q463" i="2"/>
  <c r="P463" i="2"/>
  <c r="X462" i="2"/>
  <c r="W462" i="2"/>
  <c r="V462" i="2"/>
  <c r="U462" i="2"/>
  <c r="T462" i="2"/>
  <c r="S462" i="2"/>
  <c r="R462" i="2"/>
  <c r="Q462" i="2"/>
  <c r="P462" i="2"/>
  <c r="X461" i="2"/>
  <c r="W461" i="2"/>
  <c r="V461" i="2"/>
  <c r="U461" i="2"/>
  <c r="T461" i="2"/>
  <c r="S461" i="2"/>
  <c r="R461" i="2"/>
  <c r="Q461" i="2"/>
  <c r="P461" i="2"/>
  <c r="X460" i="2"/>
  <c r="W460" i="2"/>
  <c r="V460" i="2"/>
  <c r="U460" i="2"/>
  <c r="S460" i="2"/>
  <c r="R460" i="2"/>
  <c r="Q460" i="2"/>
  <c r="P460" i="2"/>
  <c r="T460" i="2" s="1"/>
  <c r="X459" i="2"/>
  <c r="W459" i="2"/>
  <c r="V459" i="2"/>
  <c r="U459" i="2"/>
  <c r="S459" i="2"/>
  <c r="R459" i="2"/>
  <c r="Q459" i="2"/>
  <c r="P459" i="2"/>
  <c r="T459" i="2" s="1"/>
  <c r="X458" i="2"/>
  <c r="W458" i="2"/>
  <c r="V458" i="2"/>
  <c r="U458" i="2"/>
  <c r="S458" i="2"/>
  <c r="R458" i="2"/>
  <c r="Q458" i="2"/>
  <c r="P458" i="2"/>
  <c r="T458" i="2" s="1"/>
  <c r="X457" i="2"/>
  <c r="W457" i="2"/>
  <c r="V457" i="2"/>
  <c r="U457" i="2"/>
  <c r="S457" i="2"/>
  <c r="R457" i="2"/>
  <c r="Q457" i="2"/>
  <c r="P457" i="2"/>
  <c r="T457" i="2" s="1"/>
  <c r="X456" i="2"/>
  <c r="W456" i="2"/>
  <c r="V456" i="2"/>
  <c r="U456" i="2"/>
  <c r="T456" i="2"/>
  <c r="S456" i="2"/>
  <c r="R456" i="2"/>
  <c r="Q456" i="2"/>
  <c r="P456" i="2"/>
  <c r="X455" i="2"/>
  <c r="W455" i="2"/>
  <c r="V455" i="2"/>
  <c r="U455" i="2"/>
  <c r="T455" i="2"/>
  <c r="S455" i="2"/>
  <c r="R455" i="2"/>
  <c r="Q455" i="2"/>
  <c r="P455" i="2"/>
  <c r="X454" i="2"/>
  <c r="W454" i="2"/>
  <c r="V454" i="2"/>
  <c r="U454" i="2"/>
  <c r="T454" i="2"/>
  <c r="S454" i="2"/>
  <c r="R454" i="2"/>
  <c r="Q454" i="2"/>
  <c r="P454" i="2"/>
  <c r="X453" i="2"/>
  <c r="W453" i="2"/>
  <c r="V453" i="2"/>
  <c r="U453" i="2"/>
  <c r="T453" i="2"/>
  <c r="S453" i="2"/>
  <c r="R453" i="2"/>
  <c r="Q453" i="2"/>
  <c r="P453" i="2"/>
  <c r="X452" i="2"/>
  <c r="W452" i="2"/>
  <c r="V452" i="2"/>
  <c r="U452" i="2"/>
  <c r="S452" i="2"/>
  <c r="R452" i="2"/>
  <c r="Q452" i="2"/>
  <c r="P452" i="2"/>
  <c r="T452" i="2" s="1"/>
  <c r="X451" i="2"/>
  <c r="W451" i="2"/>
  <c r="V451" i="2"/>
  <c r="U451" i="2"/>
  <c r="S451" i="2"/>
  <c r="R451" i="2"/>
  <c r="Q451" i="2"/>
  <c r="P451" i="2"/>
  <c r="T451" i="2" s="1"/>
  <c r="X450" i="2"/>
  <c r="W450" i="2"/>
  <c r="V450" i="2"/>
  <c r="U450" i="2"/>
  <c r="S450" i="2"/>
  <c r="R450" i="2"/>
  <c r="Q450" i="2"/>
  <c r="P450" i="2"/>
  <c r="T450" i="2" s="1"/>
  <c r="X449" i="2"/>
  <c r="W449" i="2"/>
  <c r="V449" i="2"/>
  <c r="U449" i="2"/>
  <c r="S449" i="2"/>
  <c r="R449" i="2"/>
  <c r="Q449" i="2"/>
  <c r="P449" i="2"/>
  <c r="T449" i="2" s="1"/>
  <c r="X448" i="2"/>
  <c r="W448" i="2"/>
  <c r="V448" i="2"/>
  <c r="U448" i="2"/>
  <c r="T448" i="2"/>
  <c r="S448" i="2"/>
  <c r="R448" i="2"/>
  <c r="Q448" i="2"/>
  <c r="P448" i="2"/>
  <c r="X447" i="2"/>
  <c r="W447" i="2"/>
  <c r="V447" i="2"/>
  <c r="U447" i="2"/>
  <c r="T447" i="2"/>
  <c r="S447" i="2"/>
  <c r="R447" i="2"/>
  <c r="Q447" i="2"/>
  <c r="P447" i="2"/>
  <c r="X446" i="2"/>
  <c r="W446" i="2"/>
  <c r="V446" i="2"/>
  <c r="U446" i="2"/>
  <c r="T446" i="2"/>
  <c r="S446" i="2"/>
  <c r="R446" i="2"/>
  <c r="Q446" i="2"/>
  <c r="P446" i="2"/>
  <c r="X445" i="2"/>
  <c r="W445" i="2"/>
  <c r="V445" i="2"/>
  <c r="U445" i="2"/>
  <c r="T445" i="2"/>
  <c r="S445" i="2"/>
  <c r="R445" i="2"/>
  <c r="Q445" i="2"/>
  <c r="P445" i="2"/>
  <c r="X444" i="2"/>
  <c r="W444" i="2"/>
  <c r="V444" i="2"/>
  <c r="U444" i="2"/>
  <c r="S444" i="2"/>
  <c r="R444" i="2"/>
  <c r="Q444" i="2"/>
  <c r="P444" i="2"/>
  <c r="T444" i="2" s="1"/>
  <c r="X443" i="2"/>
  <c r="W443" i="2"/>
  <c r="V443" i="2"/>
  <c r="U443" i="2"/>
  <c r="S443" i="2"/>
  <c r="R443" i="2"/>
  <c r="Q443" i="2"/>
  <c r="P443" i="2"/>
  <c r="T443" i="2" s="1"/>
  <c r="X442" i="2"/>
  <c r="W442" i="2"/>
  <c r="V442" i="2"/>
  <c r="U442" i="2"/>
  <c r="S442" i="2"/>
  <c r="R442" i="2"/>
  <c r="Q442" i="2"/>
  <c r="P442" i="2"/>
  <c r="T442" i="2" s="1"/>
  <c r="X441" i="2"/>
  <c r="W441" i="2"/>
  <c r="V441" i="2"/>
  <c r="U441" i="2"/>
  <c r="S441" i="2"/>
  <c r="R441" i="2"/>
  <c r="Q441" i="2"/>
  <c r="P441" i="2"/>
  <c r="T441" i="2" s="1"/>
  <c r="X440" i="2"/>
  <c r="W440" i="2"/>
  <c r="V440" i="2"/>
  <c r="U440" i="2"/>
  <c r="T440" i="2"/>
  <c r="S440" i="2"/>
  <c r="R440" i="2"/>
  <c r="Q440" i="2"/>
  <c r="P440" i="2"/>
  <c r="X439" i="2"/>
  <c r="W439" i="2"/>
  <c r="V439" i="2"/>
  <c r="U439" i="2"/>
  <c r="T439" i="2"/>
  <c r="S439" i="2"/>
  <c r="R439" i="2"/>
  <c r="Q439" i="2"/>
  <c r="P439" i="2"/>
  <c r="X438" i="2"/>
  <c r="W438" i="2"/>
  <c r="V438" i="2"/>
  <c r="U438" i="2"/>
  <c r="T438" i="2"/>
  <c r="S438" i="2"/>
  <c r="R438" i="2"/>
  <c r="Q438" i="2"/>
  <c r="P438" i="2"/>
  <c r="X437" i="2"/>
  <c r="W437" i="2"/>
  <c r="V437" i="2"/>
  <c r="U437" i="2"/>
  <c r="T437" i="2"/>
  <c r="S437" i="2"/>
  <c r="R437" i="2"/>
  <c r="Q437" i="2"/>
  <c r="P437" i="2"/>
  <c r="X436" i="2"/>
  <c r="W436" i="2"/>
  <c r="V436" i="2"/>
  <c r="U436" i="2"/>
  <c r="S436" i="2"/>
  <c r="R436" i="2"/>
  <c r="Q436" i="2"/>
  <c r="P436" i="2"/>
  <c r="T436" i="2" s="1"/>
  <c r="X435" i="2"/>
  <c r="W435" i="2"/>
  <c r="V435" i="2"/>
  <c r="U435" i="2"/>
  <c r="S435" i="2"/>
  <c r="R435" i="2"/>
  <c r="Q435" i="2"/>
  <c r="P435" i="2"/>
  <c r="T435" i="2" s="1"/>
  <c r="X434" i="2"/>
  <c r="W434" i="2"/>
  <c r="V434" i="2"/>
  <c r="U434" i="2"/>
  <c r="S434" i="2"/>
  <c r="R434" i="2"/>
  <c r="Q434" i="2"/>
  <c r="P434" i="2"/>
  <c r="T434" i="2" s="1"/>
  <c r="X433" i="2"/>
  <c r="W433" i="2"/>
  <c r="V433" i="2"/>
  <c r="U433" i="2"/>
  <c r="S433" i="2"/>
  <c r="R433" i="2"/>
  <c r="Q433" i="2"/>
  <c r="P433" i="2"/>
  <c r="T433" i="2" s="1"/>
  <c r="X432" i="2"/>
  <c r="W432" i="2"/>
  <c r="V432" i="2"/>
  <c r="U432" i="2"/>
  <c r="T432" i="2"/>
  <c r="S432" i="2"/>
  <c r="R432" i="2"/>
  <c r="Q432" i="2"/>
  <c r="P432" i="2"/>
  <c r="X431" i="2"/>
  <c r="W431" i="2"/>
  <c r="V431" i="2"/>
  <c r="U431" i="2"/>
  <c r="T431" i="2"/>
  <c r="S431" i="2"/>
  <c r="R431" i="2"/>
  <c r="Q431" i="2"/>
  <c r="P431" i="2"/>
  <c r="X430" i="2"/>
  <c r="W430" i="2"/>
  <c r="V430" i="2"/>
  <c r="U430" i="2"/>
  <c r="T430" i="2"/>
  <c r="S430" i="2"/>
  <c r="R430" i="2"/>
  <c r="Q430" i="2"/>
  <c r="P430" i="2"/>
  <c r="X429" i="2"/>
  <c r="W429" i="2"/>
  <c r="V429" i="2"/>
  <c r="U429" i="2"/>
  <c r="T429" i="2"/>
  <c r="S429" i="2"/>
  <c r="R429" i="2"/>
  <c r="Q429" i="2"/>
  <c r="P429" i="2"/>
  <c r="X428" i="2"/>
  <c r="W428" i="2"/>
  <c r="V428" i="2"/>
  <c r="U428" i="2"/>
  <c r="S428" i="2"/>
  <c r="R428" i="2"/>
  <c r="Q428" i="2"/>
  <c r="P428" i="2"/>
  <c r="T428" i="2" s="1"/>
  <c r="X427" i="2"/>
  <c r="W427" i="2"/>
  <c r="V427" i="2"/>
  <c r="U427" i="2"/>
  <c r="S427" i="2"/>
  <c r="R427" i="2"/>
  <c r="Q427" i="2"/>
  <c r="P427" i="2"/>
  <c r="T427" i="2" s="1"/>
  <c r="X426" i="2"/>
  <c r="W426" i="2"/>
  <c r="V426" i="2"/>
  <c r="U426" i="2"/>
  <c r="S426" i="2"/>
  <c r="R426" i="2"/>
  <c r="Q426" i="2"/>
  <c r="P426" i="2"/>
  <c r="T426" i="2" s="1"/>
  <c r="X425" i="2"/>
  <c r="W425" i="2"/>
  <c r="V425" i="2"/>
  <c r="U425" i="2"/>
  <c r="S425" i="2"/>
  <c r="R425" i="2"/>
  <c r="Q425" i="2"/>
  <c r="P425" i="2"/>
  <c r="T425" i="2" s="1"/>
  <c r="X424" i="2"/>
  <c r="W424" i="2"/>
  <c r="V424" i="2"/>
  <c r="U424" i="2"/>
  <c r="T424" i="2"/>
  <c r="S424" i="2"/>
  <c r="R424" i="2"/>
  <c r="Q424" i="2"/>
  <c r="P424" i="2"/>
  <c r="X423" i="2"/>
  <c r="W423" i="2"/>
  <c r="V423" i="2"/>
  <c r="U423" i="2"/>
  <c r="T423" i="2"/>
  <c r="S423" i="2"/>
  <c r="R423" i="2"/>
  <c r="Q423" i="2"/>
  <c r="P423" i="2"/>
  <c r="X422" i="2"/>
  <c r="W422" i="2"/>
  <c r="V422" i="2"/>
  <c r="U422" i="2"/>
  <c r="T422" i="2"/>
  <c r="S422" i="2"/>
  <c r="R422" i="2"/>
  <c r="Q422" i="2"/>
  <c r="P422" i="2"/>
  <c r="X421" i="2"/>
  <c r="W421" i="2"/>
  <c r="V421" i="2"/>
  <c r="U421" i="2"/>
  <c r="T421" i="2"/>
  <c r="S421" i="2"/>
  <c r="R421" i="2"/>
  <c r="Q421" i="2"/>
  <c r="P421" i="2"/>
  <c r="X420" i="2"/>
  <c r="W420" i="2"/>
  <c r="V420" i="2"/>
  <c r="U420" i="2"/>
  <c r="S420" i="2"/>
  <c r="R420" i="2"/>
  <c r="Q420" i="2"/>
  <c r="P420" i="2"/>
  <c r="T420" i="2" s="1"/>
  <c r="X419" i="2"/>
  <c r="W419" i="2"/>
  <c r="V419" i="2"/>
  <c r="U419" i="2"/>
  <c r="S419" i="2"/>
  <c r="R419" i="2"/>
  <c r="Q419" i="2"/>
  <c r="P419" i="2"/>
  <c r="T419" i="2" s="1"/>
  <c r="X418" i="2"/>
  <c r="W418" i="2"/>
  <c r="V418" i="2"/>
  <c r="U418" i="2"/>
  <c r="S418" i="2"/>
  <c r="R418" i="2"/>
  <c r="Q418" i="2"/>
  <c r="P418" i="2"/>
  <c r="T418" i="2" s="1"/>
  <c r="X417" i="2"/>
  <c r="W417" i="2"/>
  <c r="V417" i="2"/>
  <c r="U417" i="2"/>
  <c r="S417" i="2"/>
  <c r="R417" i="2"/>
  <c r="Q417" i="2"/>
  <c r="P417" i="2"/>
  <c r="T417" i="2" s="1"/>
  <c r="X416" i="2"/>
  <c r="W416" i="2"/>
  <c r="V416" i="2"/>
  <c r="U416" i="2"/>
  <c r="T416" i="2"/>
  <c r="S416" i="2"/>
  <c r="R416" i="2"/>
  <c r="Q416" i="2"/>
  <c r="P416" i="2"/>
  <c r="X415" i="2"/>
  <c r="W415" i="2"/>
  <c r="V415" i="2"/>
  <c r="U415" i="2"/>
  <c r="T415" i="2"/>
  <c r="S415" i="2"/>
  <c r="R415" i="2"/>
  <c r="Q415" i="2"/>
  <c r="P415" i="2"/>
  <c r="X414" i="2"/>
  <c r="W414" i="2"/>
  <c r="V414" i="2"/>
  <c r="U414" i="2"/>
  <c r="T414" i="2"/>
  <c r="S414" i="2"/>
  <c r="R414" i="2"/>
  <c r="Q414" i="2"/>
  <c r="P414" i="2"/>
  <c r="X413" i="2"/>
  <c r="W413" i="2"/>
  <c r="V413" i="2"/>
  <c r="U413" i="2"/>
  <c r="T413" i="2"/>
  <c r="S413" i="2"/>
  <c r="R413" i="2"/>
  <c r="Q413" i="2"/>
  <c r="P413" i="2"/>
  <c r="X412" i="2"/>
  <c r="W412" i="2"/>
  <c r="V412" i="2"/>
  <c r="U412" i="2"/>
  <c r="S412" i="2"/>
  <c r="R412" i="2"/>
  <c r="Q412" i="2"/>
  <c r="P412" i="2"/>
  <c r="T412" i="2" s="1"/>
  <c r="X411" i="2"/>
  <c r="W411" i="2"/>
  <c r="V411" i="2"/>
  <c r="U411" i="2"/>
  <c r="S411" i="2"/>
  <c r="R411" i="2"/>
  <c r="Q411" i="2"/>
  <c r="P411" i="2"/>
  <c r="T411" i="2" s="1"/>
  <c r="X410" i="2"/>
  <c r="W410" i="2"/>
  <c r="V410" i="2"/>
  <c r="U410" i="2"/>
  <c r="S410" i="2"/>
  <c r="R410" i="2"/>
  <c r="Q410" i="2"/>
  <c r="P410" i="2"/>
  <c r="T410" i="2" s="1"/>
  <c r="X409" i="2"/>
  <c r="W409" i="2"/>
  <c r="V409" i="2"/>
  <c r="U409" i="2"/>
  <c r="S409" i="2"/>
  <c r="R409" i="2"/>
  <c r="Q409" i="2"/>
  <c r="P409" i="2"/>
  <c r="T409" i="2" s="1"/>
  <c r="X408" i="2"/>
  <c r="W408" i="2"/>
  <c r="V408" i="2"/>
  <c r="U408" i="2"/>
  <c r="T408" i="2"/>
  <c r="S408" i="2"/>
  <c r="R408" i="2"/>
  <c r="Q408" i="2"/>
  <c r="P408" i="2"/>
  <c r="X407" i="2"/>
  <c r="W407" i="2"/>
  <c r="V407" i="2"/>
  <c r="U407" i="2"/>
  <c r="T407" i="2"/>
  <c r="S407" i="2"/>
  <c r="R407" i="2"/>
  <c r="Q407" i="2"/>
  <c r="P407" i="2"/>
  <c r="X406" i="2"/>
  <c r="W406" i="2"/>
  <c r="V406" i="2"/>
  <c r="U406" i="2"/>
  <c r="T406" i="2"/>
  <c r="S406" i="2"/>
  <c r="R406" i="2"/>
  <c r="Q406" i="2"/>
  <c r="P406" i="2"/>
  <c r="X405" i="2"/>
  <c r="W405" i="2"/>
  <c r="V405" i="2"/>
  <c r="U405" i="2"/>
  <c r="T405" i="2"/>
  <c r="S405" i="2"/>
  <c r="R405" i="2"/>
  <c r="Q405" i="2"/>
  <c r="P405" i="2"/>
  <c r="X404" i="2"/>
  <c r="W404" i="2"/>
  <c r="V404" i="2"/>
  <c r="U404" i="2"/>
  <c r="S404" i="2"/>
  <c r="R404" i="2"/>
  <c r="Q404" i="2"/>
  <c r="P404" i="2"/>
  <c r="T404" i="2" s="1"/>
  <c r="X403" i="2"/>
  <c r="W403" i="2"/>
  <c r="V403" i="2"/>
  <c r="U403" i="2"/>
  <c r="S403" i="2"/>
  <c r="R403" i="2"/>
  <c r="Q403" i="2"/>
  <c r="P403" i="2"/>
  <c r="T403" i="2" s="1"/>
  <c r="X402" i="2"/>
  <c r="W402" i="2"/>
  <c r="V402" i="2"/>
  <c r="U402" i="2"/>
  <c r="S402" i="2"/>
  <c r="R402" i="2"/>
  <c r="Q402" i="2"/>
  <c r="P402" i="2"/>
  <c r="T402" i="2" s="1"/>
  <c r="X401" i="2"/>
  <c r="W401" i="2"/>
  <c r="V401" i="2"/>
  <c r="U401" i="2"/>
  <c r="S401" i="2"/>
  <c r="R401" i="2"/>
  <c r="Q401" i="2"/>
  <c r="P401" i="2"/>
  <c r="T401" i="2" s="1"/>
  <c r="X400" i="2"/>
  <c r="W400" i="2"/>
  <c r="V400" i="2"/>
  <c r="U400" i="2"/>
  <c r="T400" i="2"/>
  <c r="S400" i="2"/>
  <c r="R400" i="2"/>
  <c r="Q400" i="2"/>
  <c r="P400" i="2"/>
  <c r="X399" i="2"/>
  <c r="W399" i="2"/>
  <c r="V399" i="2"/>
  <c r="U399" i="2"/>
  <c r="T399" i="2"/>
  <c r="S399" i="2"/>
  <c r="R399" i="2"/>
  <c r="Q399" i="2"/>
  <c r="P399" i="2"/>
  <c r="X398" i="2"/>
  <c r="W398" i="2"/>
  <c r="V398" i="2"/>
  <c r="U398" i="2"/>
  <c r="T398" i="2"/>
  <c r="S398" i="2"/>
  <c r="R398" i="2"/>
  <c r="Q398" i="2"/>
  <c r="P398" i="2"/>
  <c r="X397" i="2"/>
  <c r="W397" i="2"/>
  <c r="V397" i="2"/>
  <c r="U397" i="2"/>
  <c r="S397" i="2"/>
  <c r="R397" i="2"/>
  <c r="Q397" i="2"/>
  <c r="P397" i="2"/>
  <c r="T397" i="2" s="1"/>
  <c r="X396" i="2"/>
  <c r="W396" i="2"/>
  <c r="V396" i="2"/>
  <c r="U396" i="2"/>
  <c r="S396" i="2"/>
  <c r="R396" i="2"/>
  <c r="Q396" i="2"/>
  <c r="P396" i="2"/>
  <c r="T396" i="2" s="1"/>
  <c r="X395" i="2"/>
  <c r="W395" i="2"/>
  <c r="V395" i="2"/>
  <c r="U395" i="2"/>
  <c r="S395" i="2"/>
  <c r="R395" i="2"/>
  <c r="Q395" i="2"/>
  <c r="P395" i="2"/>
  <c r="T395" i="2" s="1"/>
  <c r="X394" i="2"/>
  <c r="W394" i="2"/>
  <c r="V394" i="2"/>
  <c r="U394" i="2"/>
  <c r="S394" i="2"/>
  <c r="R394" i="2"/>
  <c r="Q394" i="2"/>
  <c r="P394" i="2"/>
  <c r="T394" i="2" s="1"/>
  <c r="X393" i="2"/>
  <c r="W393" i="2"/>
  <c r="V393" i="2"/>
  <c r="U393" i="2"/>
  <c r="S393" i="2"/>
  <c r="R393" i="2"/>
  <c r="Q393" i="2"/>
  <c r="P393" i="2"/>
  <c r="T393" i="2" s="1"/>
  <c r="X392" i="2"/>
  <c r="W392" i="2"/>
  <c r="V392" i="2"/>
  <c r="U392" i="2"/>
  <c r="T392" i="2"/>
  <c r="S392" i="2"/>
  <c r="R392" i="2"/>
  <c r="Q392" i="2"/>
  <c r="P392" i="2"/>
  <c r="X391" i="2"/>
  <c r="W391" i="2"/>
  <c r="V391" i="2"/>
  <c r="U391" i="2"/>
  <c r="S391" i="2"/>
  <c r="R391" i="2"/>
  <c r="Q391" i="2"/>
  <c r="P391" i="2"/>
  <c r="T391" i="2" s="1"/>
  <c r="X390" i="2"/>
  <c r="W390" i="2"/>
  <c r="V390" i="2"/>
  <c r="U390" i="2"/>
  <c r="T390" i="2"/>
  <c r="S390" i="2"/>
  <c r="R390" i="2"/>
  <c r="Q390" i="2"/>
  <c r="P390" i="2"/>
  <c r="X389" i="2"/>
  <c r="W389" i="2"/>
  <c r="V389" i="2"/>
  <c r="U389" i="2"/>
  <c r="S389" i="2"/>
  <c r="R389" i="2"/>
  <c r="Q389" i="2"/>
  <c r="P389" i="2"/>
  <c r="T389" i="2" s="1"/>
  <c r="X388" i="2"/>
  <c r="W388" i="2"/>
  <c r="V388" i="2"/>
  <c r="U388" i="2"/>
  <c r="S388" i="2"/>
  <c r="R388" i="2"/>
  <c r="Q388" i="2"/>
  <c r="P388" i="2"/>
  <c r="T388" i="2" s="1"/>
  <c r="X387" i="2"/>
  <c r="W387" i="2"/>
  <c r="V387" i="2"/>
  <c r="U387" i="2"/>
  <c r="T387" i="2"/>
  <c r="S387" i="2"/>
  <c r="R387" i="2"/>
  <c r="Q387" i="2"/>
  <c r="P387" i="2"/>
  <c r="X386" i="2"/>
  <c r="W386" i="2"/>
  <c r="V386" i="2"/>
  <c r="U386" i="2"/>
  <c r="S386" i="2"/>
  <c r="R386" i="2"/>
  <c r="Q386" i="2"/>
  <c r="P386" i="2"/>
  <c r="T386" i="2" s="1"/>
  <c r="X385" i="2"/>
  <c r="W385" i="2"/>
  <c r="V385" i="2"/>
  <c r="U385" i="2"/>
  <c r="S385" i="2"/>
  <c r="R385" i="2"/>
  <c r="Q385" i="2"/>
  <c r="P385" i="2"/>
  <c r="T385" i="2" s="1"/>
  <c r="X384" i="2"/>
  <c r="W384" i="2"/>
  <c r="V384" i="2"/>
  <c r="U384" i="2"/>
  <c r="T384" i="2"/>
  <c r="S384" i="2"/>
  <c r="R384" i="2"/>
  <c r="Q384" i="2"/>
  <c r="P384" i="2"/>
  <c r="X383" i="2"/>
  <c r="W383" i="2"/>
  <c r="V383" i="2"/>
  <c r="U383" i="2"/>
  <c r="T383" i="2"/>
  <c r="S383" i="2"/>
  <c r="R383" i="2"/>
  <c r="Q383" i="2"/>
  <c r="P383" i="2"/>
  <c r="X382" i="2"/>
  <c r="W382" i="2"/>
  <c r="V382" i="2"/>
  <c r="U382" i="2"/>
  <c r="T382" i="2"/>
  <c r="S382" i="2"/>
  <c r="R382" i="2"/>
  <c r="Q382" i="2"/>
  <c r="P382" i="2"/>
  <c r="X381" i="2"/>
  <c r="W381" i="2"/>
  <c r="V381" i="2"/>
  <c r="U381" i="2"/>
  <c r="S381" i="2"/>
  <c r="R381" i="2"/>
  <c r="Q381" i="2"/>
  <c r="P381" i="2"/>
  <c r="T381" i="2" s="1"/>
  <c r="X380" i="2"/>
  <c r="W380" i="2"/>
  <c r="V380" i="2"/>
  <c r="U380" i="2"/>
  <c r="S380" i="2"/>
  <c r="R380" i="2"/>
  <c r="Q380" i="2"/>
  <c r="P380" i="2"/>
  <c r="T380" i="2" s="1"/>
  <c r="X379" i="2"/>
  <c r="W379" i="2"/>
  <c r="V379" i="2"/>
  <c r="U379" i="2"/>
  <c r="S379" i="2"/>
  <c r="R379" i="2"/>
  <c r="Q379" i="2"/>
  <c r="P379" i="2"/>
  <c r="T379" i="2" s="1"/>
  <c r="X378" i="2"/>
  <c r="W378" i="2"/>
  <c r="V378" i="2"/>
  <c r="U378" i="2"/>
  <c r="S378" i="2"/>
  <c r="R378" i="2"/>
  <c r="Q378" i="2"/>
  <c r="P378" i="2"/>
  <c r="T378" i="2" s="1"/>
  <c r="X377" i="2"/>
  <c r="W377" i="2"/>
  <c r="V377" i="2"/>
  <c r="U377" i="2"/>
  <c r="T377" i="2"/>
  <c r="S377" i="2"/>
  <c r="R377" i="2"/>
  <c r="Q377" i="2"/>
  <c r="P377" i="2"/>
  <c r="X376" i="2"/>
  <c r="W376" i="2"/>
  <c r="V376" i="2"/>
  <c r="U376" i="2"/>
  <c r="T376" i="2"/>
  <c r="S376" i="2"/>
  <c r="R376" i="2"/>
  <c r="Q376" i="2"/>
  <c r="P376" i="2"/>
  <c r="X375" i="2"/>
  <c r="W375" i="2"/>
  <c r="V375" i="2"/>
  <c r="U375" i="2"/>
  <c r="S375" i="2"/>
  <c r="R375" i="2"/>
  <c r="Q375" i="2"/>
  <c r="P375" i="2"/>
  <c r="T375" i="2" s="1"/>
  <c r="X374" i="2"/>
  <c r="W374" i="2"/>
  <c r="V374" i="2"/>
  <c r="U374" i="2"/>
  <c r="T374" i="2"/>
  <c r="S374" i="2"/>
  <c r="R374" i="2"/>
  <c r="Q374" i="2"/>
  <c r="P374" i="2"/>
  <c r="X373" i="2"/>
  <c r="W373" i="2"/>
  <c r="V373" i="2"/>
  <c r="U373" i="2"/>
  <c r="S373" i="2"/>
  <c r="R373" i="2"/>
  <c r="Q373" i="2"/>
  <c r="P373" i="2"/>
  <c r="T373" i="2" s="1"/>
  <c r="X372" i="2"/>
  <c r="W372" i="2"/>
  <c r="V372" i="2"/>
  <c r="U372" i="2"/>
  <c r="S372" i="2"/>
  <c r="R372" i="2"/>
  <c r="Q372" i="2"/>
  <c r="P372" i="2"/>
  <c r="T372" i="2" s="1"/>
  <c r="X371" i="2"/>
  <c r="W371" i="2"/>
  <c r="V371" i="2"/>
  <c r="U371" i="2"/>
  <c r="T371" i="2"/>
  <c r="S371" i="2"/>
  <c r="R371" i="2"/>
  <c r="Q371" i="2"/>
  <c r="P371" i="2"/>
  <c r="X370" i="2"/>
  <c r="W370" i="2"/>
  <c r="V370" i="2"/>
  <c r="U370" i="2"/>
  <c r="S370" i="2"/>
  <c r="R370" i="2"/>
  <c r="Q370" i="2"/>
  <c r="P370" i="2"/>
  <c r="T370" i="2" s="1"/>
  <c r="X369" i="2"/>
  <c r="W369" i="2"/>
  <c r="V369" i="2"/>
  <c r="U369" i="2"/>
  <c r="T369" i="2"/>
  <c r="S369" i="2"/>
  <c r="R369" i="2"/>
  <c r="Q369" i="2"/>
  <c r="P369" i="2"/>
  <c r="X368" i="2"/>
  <c r="W368" i="2"/>
  <c r="V368" i="2"/>
  <c r="U368" i="2"/>
  <c r="T368" i="2"/>
  <c r="S368" i="2"/>
  <c r="R368" i="2"/>
  <c r="Q368" i="2"/>
  <c r="P368" i="2"/>
  <c r="X367" i="2"/>
  <c r="W367" i="2"/>
  <c r="V367" i="2"/>
  <c r="U367" i="2"/>
  <c r="S367" i="2"/>
  <c r="R367" i="2"/>
  <c r="Q367" i="2"/>
  <c r="P367" i="2"/>
  <c r="T367" i="2" s="1"/>
  <c r="X366" i="2"/>
  <c r="W366" i="2"/>
  <c r="V366" i="2"/>
  <c r="U366" i="2"/>
  <c r="T366" i="2"/>
  <c r="S366" i="2"/>
  <c r="R366" i="2"/>
  <c r="Q366" i="2"/>
  <c r="P366" i="2"/>
  <c r="X365" i="2"/>
  <c r="W365" i="2"/>
  <c r="V365" i="2"/>
  <c r="U365" i="2"/>
  <c r="S365" i="2"/>
  <c r="R365" i="2"/>
  <c r="Q365" i="2"/>
  <c r="P365" i="2"/>
  <c r="T365" i="2" s="1"/>
  <c r="X364" i="2"/>
  <c r="W364" i="2"/>
  <c r="V364" i="2"/>
  <c r="U364" i="2"/>
  <c r="S364" i="2"/>
  <c r="R364" i="2"/>
  <c r="Q364" i="2"/>
  <c r="P364" i="2"/>
  <c r="T364" i="2" s="1"/>
  <c r="X363" i="2"/>
  <c r="W363" i="2"/>
  <c r="V363" i="2"/>
  <c r="U363" i="2"/>
  <c r="S363" i="2"/>
  <c r="R363" i="2"/>
  <c r="Q363" i="2"/>
  <c r="P363" i="2"/>
  <c r="T363" i="2" s="1"/>
  <c r="X362" i="2"/>
  <c r="W362" i="2"/>
  <c r="V362" i="2"/>
  <c r="U362" i="2"/>
  <c r="S362" i="2"/>
  <c r="R362" i="2"/>
  <c r="Q362" i="2"/>
  <c r="P362" i="2"/>
  <c r="T362" i="2" s="1"/>
  <c r="X361" i="2"/>
  <c r="W361" i="2"/>
  <c r="V361" i="2"/>
  <c r="U361" i="2"/>
  <c r="T361" i="2"/>
  <c r="S361" i="2"/>
  <c r="R361" i="2"/>
  <c r="Q361" i="2"/>
  <c r="P361" i="2"/>
  <c r="X360" i="2"/>
  <c r="W360" i="2"/>
  <c r="V360" i="2"/>
  <c r="U360" i="2"/>
  <c r="T360" i="2"/>
  <c r="S360" i="2"/>
  <c r="R360" i="2"/>
  <c r="Q360" i="2"/>
  <c r="P360" i="2"/>
  <c r="X359" i="2"/>
  <c r="W359" i="2"/>
  <c r="V359" i="2"/>
  <c r="U359" i="2"/>
  <c r="T359" i="2"/>
  <c r="S359" i="2"/>
  <c r="R359" i="2"/>
  <c r="Q359" i="2"/>
  <c r="P359" i="2"/>
  <c r="X358" i="2"/>
  <c r="W358" i="2"/>
  <c r="V358" i="2"/>
  <c r="U358" i="2"/>
  <c r="T358" i="2"/>
  <c r="S358" i="2"/>
  <c r="R358" i="2"/>
  <c r="Q358" i="2"/>
  <c r="P358" i="2"/>
  <c r="X357" i="2"/>
  <c r="W357" i="2"/>
  <c r="V357" i="2"/>
  <c r="U357" i="2"/>
  <c r="S357" i="2"/>
  <c r="R357" i="2"/>
  <c r="Q357" i="2"/>
  <c r="P357" i="2"/>
  <c r="T357" i="2" s="1"/>
  <c r="X356" i="2"/>
  <c r="W356" i="2"/>
  <c r="V356" i="2"/>
  <c r="U356" i="2"/>
  <c r="S356" i="2"/>
  <c r="R356" i="2"/>
  <c r="Q356" i="2"/>
  <c r="P356" i="2"/>
  <c r="T356" i="2" s="1"/>
  <c r="X355" i="2"/>
  <c r="W355" i="2"/>
  <c r="V355" i="2"/>
  <c r="U355" i="2"/>
  <c r="T355" i="2"/>
  <c r="S355" i="2"/>
  <c r="R355" i="2"/>
  <c r="Q355" i="2"/>
  <c r="P355" i="2"/>
  <c r="X354" i="2"/>
  <c r="W354" i="2"/>
  <c r="V354" i="2"/>
  <c r="U354" i="2"/>
  <c r="S354" i="2"/>
  <c r="R354" i="2"/>
  <c r="Q354" i="2"/>
  <c r="P354" i="2"/>
  <c r="T354" i="2" s="1"/>
  <c r="X353" i="2"/>
  <c r="W353" i="2"/>
  <c r="V353" i="2"/>
  <c r="U353" i="2"/>
  <c r="T353" i="2"/>
  <c r="S353" i="2"/>
  <c r="R353" i="2"/>
  <c r="Q353" i="2"/>
  <c r="P353" i="2"/>
  <c r="X352" i="2"/>
  <c r="W352" i="2"/>
  <c r="V352" i="2"/>
  <c r="U352" i="2"/>
  <c r="T352" i="2"/>
  <c r="S352" i="2"/>
  <c r="R352" i="2"/>
  <c r="Q352" i="2"/>
  <c r="P352" i="2"/>
  <c r="X351" i="2"/>
  <c r="W351" i="2"/>
  <c r="V351" i="2"/>
  <c r="U351" i="2"/>
  <c r="S351" i="2"/>
  <c r="R351" i="2"/>
  <c r="Q351" i="2"/>
  <c r="P351" i="2"/>
  <c r="T351" i="2" s="1"/>
  <c r="X350" i="2"/>
  <c r="W350" i="2"/>
  <c r="V350" i="2"/>
  <c r="U350" i="2"/>
  <c r="T350" i="2"/>
  <c r="S350" i="2"/>
  <c r="R350" i="2"/>
  <c r="Q350" i="2"/>
  <c r="P350" i="2"/>
  <c r="X349" i="2"/>
  <c r="W349" i="2"/>
  <c r="V349" i="2"/>
  <c r="U349" i="2"/>
  <c r="S349" i="2"/>
  <c r="R349" i="2"/>
  <c r="Q349" i="2"/>
  <c r="P349" i="2"/>
  <c r="T349" i="2" s="1"/>
  <c r="X348" i="2"/>
  <c r="W348" i="2"/>
  <c r="V348" i="2"/>
  <c r="U348" i="2"/>
  <c r="S348" i="2"/>
  <c r="R348" i="2"/>
  <c r="Q348" i="2"/>
  <c r="P348" i="2"/>
  <c r="T348" i="2" s="1"/>
  <c r="X347" i="2"/>
  <c r="W347" i="2"/>
  <c r="V347" i="2"/>
  <c r="U347" i="2"/>
  <c r="T347" i="2"/>
  <c r="S347" i="2"/>
  <c r="R347" i="2"/>
  <c r="Q347" i="2"/>
  <c r="P347" i="2"/>
  <c r="X346" i="2"/>
  <c r="W346" i="2"/>
  <c r="V346" i="2"/>
  <c r="U346" i="2"/>
  <c r="S346" i="2"/>
  <c r="R346" i="2"/>
  <c r="Q346" i="2"/>
  <c r="P346" i="2"/>
  <c r="T346" i="2" s="1"/>
  <c r="X345" i="2"/>
  <c r="W345" i="2"/>
  <c r="V345" i="2"/>
  <c r="U345" i="2"/>
  <c r="T345" i="2"/>
  <c r="S345" i="2"/>
  <c r="R345" i="2"/>
  <c r="Q345" i="2"/>
  <c r="P345" i="2"/>
  <c r="X344" i="2"/>
  <c r="W344" i="2"/>
  <c r="V344" i="2"/>
  <c r="U344" i="2"/>
  <c r="T344" i="2"/>
  <c r="S344" i="2"/>
  <c r="R344" i="2"/>
  <c r="Q344" i="2"/>
  <c r="P344" i="2"/>
  <c r="X343" i="2"/>
  <c r="W343" i="2"/>
  <c r="V343" i="2"/>
  <c r="U343" i="2"/>
  <c r="T343" i="2"/>
  <c r="S343" i="2"/>
  <c r="R343" i="2"/>
  <c r="Q343" i="2"/>
  <c r="P343" i="2"/>
  <c r="X342" i="2"/>
  <c r="W342" i="2"/>
  <c r="V342" i="2"/>
  <c r="U342" i="2"/>
  <c r="T342" i="2"/>
  <c r="S342" i="2"/>
  <c r="R342" i="2"/>
  <c r="Q342" i="2"/>
  <c r="P342" i="2"/>
  <c r="X341" i="2"/>
  <c r="W341" i="2"/>
  <c r="V341" i="2"/>
  <c r="U341" i="2"/>
  <c r="S341" i="2"/>
  <c r="R341" i="2"/>
  <c r="Q341" i="2"/>
  <c r="P341" i="2"/>
  <c r="T341" i="2" s="1"/>
  <c r="X340" i="2"/>
  <c r="W340" i="2"/>
  <c r="V340" i="2"/>
  <c r="U340" i="2"/>
  <c r="S340" i="2"/>
  <c r="R340" i="2"/>
  <c r="Q340" i="2"/>
  <c r="P340" i="2"/>
  <c r="T340" i="2" s="1"/>
  <c r="X339" i="2"/>
  <c r="W339" i="2"/>
  <c r="V339" i="2"/>
  <c r="U339" i="2"/>
  <c r="S339" i="2"/>
  <c r="R339" i="2"/>
  <c r="Q339" i="2"/>
  <c r="P339" i="2"/>
  <c r="T339" i="2" s="1"/>
  <c r="X338" i="2"/>
  <c r="W338" i="2"/>
  <c r="V338" i="2"/>
  <c r="U338" i="2"/>
  <c r="S338" i="2"/>
  <c r="R338" i="2"/>
  <c r="Q338" i="2"/>
  <c r="P338" i="2"/>
  <c r="T338" i="2" s="1"/>
  <c r="X337" i="2"/>
  <c r="W337" i="2"/>
  <c r="V337" i="2"/>
  <c r="U337" i="2"/>
  <c r="T337" i="2"/>
  <c r="S337" i="2"/>
  <c r="R337" i="2"/>
  <c r="Q337" i="2"/>
  <c r="P337" i="2"/>
  <c r="X336" i="2"/>
  <c r="W336" i="2"/>
  <c r="V336" i="2"/>
  <c r="U336" i="2"/>
  <c r="S336" i="2"/>
  <c r="R336" i="2"/>
  <c r="Q336" i="2"/>
  <c r="P336" i="2"/>
  <c r="T336" i="2" s="1"/>
  <c r="X335" i="2"/>
  <c r="W335" i="2"/>
  <c r="V335" i="2"/>
  <c r="U335" i="2"/>
  <c r="T335" i="2"/>
  <c r="S335" i="2"/>
  <c r="R335" i="2"/>
  <c r="Q335" i="2"/>
  <c r="P335" i="2"/>
  <c r="X334" i="2"/>
  <c r="W334" i="2"/>
  <c r="V334" i="2"/>
  <c r="U334" i="2"/>
  <c r="T334" i="2"/>
  <c r="S334" i="2"/>
  <c r="R334" i="2"/>
  <c r="Q334" i="2"/>
  <c r="P334" i="2"/>
  <c r="X333" i="2"/>
  <c r="W333" i="2"/>
  <c r="V333" i="2"/>
  <c r="U333" i="2"/>
  <c r="S333" i="2"/>
  <c r="R333" i="2"/>
  <c r="Q333" i="2"/>
  <c r="P333" i="2"/>
  <c r="T333" i="2" s="1"/>
  <c r="X332" i="2"/>
  <c r="W332" i="2"/>
  <c r="V332" i="2"/>
  <c r="U332" i="2"/>
  <c r="S332" i="2"/>
  <c r="R332" i="2"/>
  <c r="Q332" i="2"/>
  <c r="P332" i="2"/>
  <c r="T332" i="2" s="1"/>
  <c r="X331" i="2"/>
  <c r="W331" i="2"/>
  <c r="V331" i="2"/>
  <c r="U331" i="2"/>
  <c r="S331" i="2"/>
  <c r="R331" i="2"/>
  <c r="Q331" i="2"/>
  <c r="P331" i="2"/>
  <c r="T331" i="2" s="1"/>
  <c r="X330" i="2"/>
  <c r="W330" i="2"/>
  <c r="V330" i="2"/>
  <c r="U330" i="2"/>
  <c r="S330" i="2"/>
  <c r="R330" i="2"/>
  <c r="Q330" i="2"/>
  <c r="P330" i="2"/>
  <c r="T330" i="2" s="1"/>
  <c r="X329" i="2"/>
  <c r="W329" i="2"/>
  <c r="V329" i="2"/>
  <c r="U329" i="2"/>
  <c r="S329" i="2"/>
  <c r="R329" i="2"/>
  <c r="Q329" i="2"/>
  <c r="P329" i="2"/>
  <c r="T329" i="2" s="1"/>
  <c r="X328" i="2"/>
  <c r="W328" i="2"/>
  <c r="V328" i="2"/>
  <c r="U328" i="2"/>
  <c r="T328" i="2"/>
  <c r="S328" i="2"/>
  <c r="R328" i="2"/>
  <c r="Q328" i="2"/>
  <c r="P328" i="2"/>
  <c r="X327" i="2"/>
  <c r="W327" i="2"/>
  <c r="V327" i="2"/>
  <c r="U327" i="2"/>
  <c r="T327" i="2"/>
  <c r="S327" i="2"/>
  <c r="R327" i="2"/>
  <c r="Q327" i="2"/>
  <c r="P327" i="2"/>
  <c r="X326" i="2"/>
  <c r="W326" i="2"/>
  <c r="V326" i="2"/>
  <c r="U326" i="2"/>
  <c r="T326" i="2"/>
  <c r="S326" i="2"/>
  <c r="R326" i="2"/>
  <c r="Q326" i="2"/>
  <c r="P326" i="2"/>
  <c r="X325" i="2"/>
  <c r="W325" i="2"/>
  <c r="V325" i="2"/>
  <c r="U325" i="2"/>
  <c r="T325" i="2"/>
  <c r="S325" i="2"/>
  <c r="R325" i="2"/>
  <c r="Q325" i="2"/>
  <c r="P325" i="2"/>
  <c r="X324" i="2"/>
  <c r="W324" i="2"/>
  <c r="V324" i="2"/>
  <c r="U324" i="2"/>
  <c r="S324" i="2"/>
  <c r="R324" i="2"/>
  <c r="Q324" i="2"/>
  <c r="P324" i="2"/>
  <c r="T324" i="2" s="1"/>
  <c r="X323" i="2"/>
  <c r="W323" i="2"/>
  <c r="V323" i="2"/>
  <c r="U323" i="2"/>
  <c r="S323" i="2"/>
  <c r="R323" i="2"/>
  <c r="Q323" i="2"/>
  <c r="P323" i="2"/>
  <c r="T323" i="2" s="1"/>
  <c r="X322" i="2"/>
  <c r="W322" i="2"/>
  <c r="V322" i="2"/>
  <c r="U322" i="2"/>
  <c r="S322" i="2"/>
  <c r="R322" i="2"/>
  <c r="Q322" i="2"/>
  <c r="P322" i="2"/>
  <c r="T322" i="2" s="1"/>
  <c r="X321" i="2"/>
  <c r="W321" i="2"/>
  <c r="V321" i="2"/>
  <c r="U321" i="2"/>
  <c r="S321" i="2"/>
  <c r="R321" i="2"/>
  <c r="Q321" i="2"/>
  <c r="P321" i="2"/>
  <c r="T321" i="2" s="1"/>
  <c r="X320" i="2"/>
  <c r="W320" i="2"/>
  <c r="V320" i="2"/>
  <c r="U320" i="2"/>
  <c r="S320" i="2"/>
  <c r="R320" i="2"/>
  <c r="Q320" i="2"/>
  <c r="P320" i="2"/>
  <c r="T320" i="2" s="1"/>
  <c r="X319" i="2"/>
  <c r="W319" i="2"/>
  <c r="V319" i="2"/>
  <c r="U319" i="2"/>
  <c r="T319" i="2"/>
  <c r="S319" i="2"/>
  <c r="R319" i="2"/>
  <c r="Q319" i="2"/>
  <c r="P319" i="2"/>
  <c r="X318" i="2"/>
  <c r="W318" i="2"/>
  <c r="V318" i="2"/>
  <c r="U318" i="2"/>
  <c r="T318" i="2"/>
  <c r="S318" i="2"/>
  <c r="R318" i="2"/>
  <c r="Q318" i="2"/>
  <c r="P318" i="2"/>
  <c r="X317" i="2"/>
  <c r="W317" i="2"/>
  <c r="V317" i="2"/>
  <c r="U317" i="2"/>
  <c r="T317" i="2"/>
  <c r="S317" i="2"/>
  <c r="R317" i="2"/>
  <c r="Q317" i="2"/>
  <c r="P317" i="2"/>
  <c r="X316" i="2"/>
  <c r="W316" i="2"/>
  <c r="V316" i="2"/>
  <c r="U316" i="2"/>
  <c r="T316" i="2"/>
  <c r="S316" i="2"/>
  <c r="R316" i="2"/>
  <c r="Q316" i="2"/>
  <c r="P316" i="2"/>
  <c r="X315" i="2"/>
  <c r="W315" i="2"/>
  <c r="V315" i="2"/>
  <c r="U315" i="2"/>
  <c r="S315" i="2"/>
  <c r="R315" i="2"/>
  <c r="Q315" i="2"/>
  <c r="P315" i="2"/>
  <c r="T315" i="2" s="1"/>
  <c r="X314" i="2"/>
  <c r="W314" i="2"/>
  <c r="V314" i="2"/>
  <c r="U314" i="2"/>
  <c r="S314" i="2"/>
  <c r="R314" i="2"/>
  <c r="Q314" i="2"/>
  <c r="P314" i="2"/>
  <c r="T314" i="2" s="1"/>
  <c r="X313" i="2"/>
  <c r="W313" i="2"/>
  <c r="V313" i="2"/>
  <c r="U313" i="2"/>
  <c r="S313" i="2"/>
  <c r="R313" i="2"/>
  <c r="Q313" i="2"/>
  <c r="P313" i="2"/>
  <c r="T313" i="2" s="1"/>
  <c r="X312" i="2"/>
  <c r="W312" i="2"/>
  <c r="V312" i="2"/>
  <c r="U312" i="2"/>
  <c r="S312" i="2"/>
  <c r="R312" i="2"/>
  <c r="Q312" i="2"/>
  <c r="P312" i="2"/>
  <c r="T312" i="2" s="1"/>
  <c r="X311" i="2"/>
  <c r="W311" i="2"/>
  <c r="V311" i="2"/>
  <c r="U311" i="2"/>
  <c r="T311" i="2"/>
  <c r="S311" i="2"/>
  <c r="R311" i="2"/>
  <c r="Q311" i="2"/>
  <c r="P311" i="2"/>
  <c r="X310" i="2"/>
  <c r="W310" i="2"/>
  <c r="V310" i="2"/>
  <c r="U310" i="2"/>
  <c r="T310" i="2"/>
  <c r="S310" i="2"/>
  <c r="R310" i="2"/>
  <c r="Q310" i="2"/>
  <c r="P310" i="2"/>
  <c r="X309" i="2"/>
  <c r="W309" i="2"/>
  <c r="V309" i="2"/>
  <c r="U309" i="2"/>
  <c r="T309" i="2"/>
  <c r="S309" i="2"/>
  <c r="R309" i="2"/>
  <c r="Q309" i="2"/>
  <c r="P309" i="2"/>
  <c r="X308" i="2"/>
  <c r="W308" i="2"/>
  <c r="V308" i="2"/>
  <c r="U308" i="2"/>
  <c r="T308" i="2"/>
  <c r="S308" i="2"/>
  <c r="R308" i="2"/>
  <c r="Q308" i="2"/>
  <c r="P308" i="2"/>
  <c r="X307" i="2"/>
  <c r="W307" i="2"/>
  <c r="V307" i="2"/>
  <c r="U307" i="2"/>
  <c r="S307" i="2"/>
  <c r="R307" i="2"/>
  <c r="Q307" i="2"/>
  <c r="P307" i="2"/>
  <c r="T307" i="2" s="1"/>
  <c r="X306" i="2"/>
  <c r="W306" i="2"/>
  <c r="V306" i="2"/>
  <c r="U306" i="2"/>
  <c r="S306" i="2"/>
  <c r="R306" i="2"/>
  <c r="Q306" i="2"/>
  <c r="P306" i="2"/>
  <c r="T306" i="2" s="1"/>
  <c r="X305" i="2"/>
  <c r="W305" i="2"/>
  <c r="V305" i="2"/>
  <c r="U305" i="2"/>
  <c r="S305" i="2"/>
  <c r="R305" i="2"/>
  <c r="Q305" i="2"/>
  <c r="P305" i="2"/>
  <c r="T305" i="2" s="1"/>
  <c r="X304" i="2"/>
  <c r="W304" i="2"/>
  <c r="V304" i="2"/>
  <c r="U304" i="2"/>
  <c r="S304" i="2"/>
  <c r="R304" i="2"/>
  <c r="Q304" i="2"/>
  <c r="P304" i="2"/>
  <c r="T304" i="2" s="1"/>
  <c r="X303" i="2"/>
  <c r="W303" i="2"/>
  <c r="V303" i="2"/>
  <c r="U303" i="2"/>
  <c r="T303" i="2"/>
  <c r="S303" i="2"/>
  <c r="R303" i="2"/>
  <c r="Q303" i="2"/>
  <c r="P303" i="2"/>
  <c r="X302" i="2"/>
  <c r="W302" i="2"/>
  <c r="V302" i="2"/>
  <c r="U302" i="2"/>
  <c r="T302" i="2"/>
  <c r="S302" i="2"/>
  <c r="R302" i="2"/>
  <c r="Q302" i="2"/>
  <c r="P302" i="2"/>
  <c r="X301" i="2"/>
  <c r="W301" i="2"/>
  <c r="V301" i="2"/>
  <c r="U301" i="2"/>
  <c r="T301" i="2"/>
  <c r="S301" i="2"/>
  <c r="R301" i="2"/>
  <c r="Q301" i="2"/>
  <c r="P301" i="2"/>
  <c r="X300" i="2"/>
  <c r="W300" i="2"/>
  <c r="V300" i="2"/>
  <c r="U300" i="2"/>
  <c r="T300" i="2"/>
  <c r="S300" i="2"/>
  <c r="R300" i="2"/>
  <c r="Q300" i="2"/>
  <c r="P300" i="2"/>
  <c r="X299" i="2"/>
  <c r="W299" i="2"/>
  <c r="V299" i="2"/>
  <c r="U299" i="2"/>
  <c r="S299" i="2"/>
  <c r="R299" i="2"/>
  <c r="Q299" i="2"/>
  <c r="P299" i="2"/>
  <c r="T299" i="2" s="1"/>
  <c r="X298" i="2"/>
  <c r="W298" i="2"/>
  <c r="V298" i="2"/>
  <c r="U298" i="2"/>
  <c r="S298" i="2"/>
  <c r="R298" i="2"/>
  <c r="Q298" i="2"/>
  <c r="P298" i="2"/>
  <c r="T298" i="2" s="1"/>
  <c r="X297" i="2"/>
  <c r="W297" i="2"/>
  <c r="V297" i="2"/>
  <c r="U297" i="2"/>
  <c r="S297" i="2"/>
  <c r="R297" i="2"/>
  <c r="Q297" i="2"/>
  <c r="P297" i="2"/>
  <c r="T297" i="2" s="1"/>
  <c r="X296" i="2"/>
  <c r="W296" i="2"/>
  <c r="V296" i="2"/>
  <c r="U296" i="2"/>
  <c r="S296" i="2"/>
  <c r="R296" i="2"/>
  <c r="Q296" i="2"/>
  <c r="P296" i="2"/>
  <c r="T296" i="2" s="1"/>
  <c r="X295" i="2"/>
  <c r="W295" i="2"/>
  <c r="V295" i="2"/>
  <c r="U295" i="2"/>
  <c r="T295" i="2"/>
  <c r="S295" i="2"/>
  <c r="R295" i="2"/>
  <c r="Q295" i="2"/>
  <c r="P295" i="2"/>
  <c r="X294" i="2"/>
  <c r="W294" i="2"/>
  <c r="V294" i="2"/>
  <c r="U294" i="2"/>
  <c r="T294" i="2"/>
  <c r="S294" i="2"/>
  <c r="R294" i="2"/>
  <c r="Q294" i="2"/>
  <c r="P294" i="2"/>
  <c r="X293" i="2"/>
  <c r="W293" i="2"/>
  <c r="V293" i="2"/>
  <c r="U293" i="2"/>
  <c r="T293" i="2"/>
  <c r="S293" i="2"/>
  <c r="R293" i="2"/>
  <c r="Q293" i="2"/>
  <c r="P293" i="2"/>
  <c r="X292" i="2"/>
  <c r="W292" i="2"/>
  <c r="V292" i="2"/>
  <c r="U292" i="2"/>
  <c r="T292" i="2"/>
  <c r="S292" i="2"/>
  <c r="R292" i="2"/>
  <c r="Q292" i="2"/>
  <c r="P292" i="2"/>
  <c r="X291" i="2"/>
  <c r="W291" i="2"/>
  <c r="V291" i="2"/>
  <c r="U291" i="2"/>
  <c r="S291" i="2"/>
  <c r="R291" i="2"/>
  <c r="Q291" i="2"/>
  <c r="P291" i="2"/>
  <c r="T291" i="2" s="1"/>
  <c r="X290" i="2"/>
  <c r="W290" i="2"/>
  <c r="V290" i="2"/>
  <c r="U290" i="2"/>
  <c r="S290" i="2"/>
  <c r="R290" i="2"/>
  <c r="Q290" i="2"/>
  <c r="P290" i="2"/>
  <c r="T290" i="2" s="1"/>
  <c r="X289" i="2"/>
  <c r="W289" i="2"/>
  <c r="V289" i="2"/>
  <c r="U289" i="2"/>
  <c r="S289" i="2"/>
  <c r="R289" i="2"/>
  <c r="Q289" i="2"/>
  <c r="P289" i="2"/>
  <c r="T289" i="2" s="1"/>
  <c r="X288" i="2"/>
  <c r="W288" i="2"/>
  <c r="V288" i="2"/>
  <c r="U288" i="2"/>
  <c r="S288" i="2"/>
  <c r="R288" i="2"/>
  <c r="Q288" i="2"/>
  <c r="P288" i="2"/>
  <c r="T288" i="2" s="1"/>
  <c r="X287" i="2"/>
  <c r="W287" i="2"/>
  <c r="V287" i="2"/>
  <c r="U287" i="2"/>
  <c r="T287" i="2"/>
  <c r="S287" i="2"/>
  <c r="R287" i="2"/>
  <c r="Q287" i="2"/>
  <c r="P287" i="2"/>
  <c r="X286" i="2"/>
  <c r="W286" i="2"/>
  <c r="V286" i="2"/>
  <c r="U286" i="2"/>
  <c r="T286" i="2"/>
  <c r="S286" i="2"/>
  <c r="R286" i="2"/>
  <c r="Q286" i="2"/>
  <c r="P286" i="2"/>
  <c r="X285" i="2"/>
  <c r="W285" i="2"/>
  <c r="V285" i="2"/>
  <c r="U285" i="2"/>
  <c r="T285" i="2"/>
  <c r="S285" i="2"/>
  <c r="R285" i="2"/>
  <c r="Q285" i="2"/>
  <c r="P285" i="2"/>
  <c r="X284" i="2"/>
  <c r="W284" i="2"/>
  <c r="V284" i="2"/>
  <c r="U284" i="2"/>
  <c r="T284" i="2"/>
  <c r="S284" i="2"/>
  <c r="R284" i="2"/>
  <c r="Q284" i="2"/>
  <c r="P284" i="2"/>
  <c r="X283" i="2"/>
  <c r="W283" i="2"/>
  <c r="V283" i="2"/>
  <c r="U283" i="2"/>
  <c r="S283" i="2"/>
  <c r="R283" i="2"/>
  <c r="Q283" i="2"/>
  <c r="P283" i="2"/>
  <c r="T283" i="2" s="1"/>
  <c r="X282" i="2"/>
  <c r="W282" i="2"/>
  <c r="V282" i="2"/>
  <c r="U282" i="2"/>
  <c r="S282" i="2"/>
  <c r="R282" i="2"/>
  <c r="Q282" i="2"/>
  <c r="P282" i="2"/>
  <c r="T282" i="2" s="1"/>
  <c r="X281" i="2"/>
  <c r="W281" i="2"/>
  <c r="V281" i="2"/>
  <c r="U281" i="2"/>
  <c r="S281" i="2"/>
  <c r="R281" i="2"/>
  <c r="Q281" i="2"/>
  <c r="P281" i="2"/>
  <c r="T281" i="2" s="1"/>
  <c r="X280" i="2"/>
  <c r="W280" i="2"/>
  <c r="V280" i="2"/>
  <c r="U280" i="2"/>
  <c r="S280" i="2"/>
  <c r="R280" i="2"/>
  <c r="Q280" i="2"/>
  <c r="P280" i="2"/>
  <c r="T280" i="2" s="1"/>
  <c r="X279" i="2"/>
  <c r="W279" i="2"/>
  <c r="V279" i="2"/>
  <c r="U279" i="2"/>
  <c r="T279" i="2"/>
  <c r="S279" i="2"/>
  <c r="R279" i="2"/>
  <c r="Q279" i="2"/>
  <c r="P279" i="2"/>
  <c r="X278" i="2"/>
  <c r="W278" i="2"/>
  <c r="V278" i="2"/>
  <c r="U278" i="2"/>
  <c r="T278" i="2"/>
  <c r="S278" i="2"/>
  <c r="R278" i="2"/>
  <c r="Q278" i="2"/>
  <c r="P278" i="2"/>
  <c r="X277" i="2"/>
  <c r="W277" i="2"/>
  <c r="V277" i="2"/>
  <c r="U277" i="2"/>
  <c r="T277" i="2"/>
  <c r="S277" i="2"/>
  <c r="R277" i="2"/>
  <c r="Q277" i="2"/>
  <c r="P277" i="2"/>
  <c r="X276" i="2"/>
  <c r="W276" i="2"/>
  <c r="V276" i="2"/>
  <c r="U276" i="2"/>
  <c r="T276" i="2"/>
  <c r="S276" i="2"/>
  <c r="R276" i="2"/>
  <c r="Q276" i="2"/>
  <c r="P276" i="2"/>
  <c r="X275" i="2"/>
  <c r="W275" i="2"/>
  <c r="V275" i="2"/>
  <c r="U275" i="2"/>
  <c r="S275" i="2"/>
  <c r="R275" i="2"/>
  <c r="Q275" i="2"/>
  <c r="P275" i="2"/>
  <c r="T275" i="2" s="1"/>
  <c r="X274" i="2"/>
  <c r="W274" i="2"/>
  <c r="V274" i="2"/>
  <c r="U274" i="2"/>
  <c r="S274" i="2"/>
  <c r="R274" i="2"/>
  <c r="Q274" i="2"/>
  <c r="P274" i="2"/>
  <c r="T274" i="2" s="1"/>
  <c r="X273" i="2"/>
  <c r="W273" i="2"/>
  <c r="V273" i="2"/>
  <c r="U273" i="2"/>
  <c r="S273" i="2"/>
  <c r="R273" i="2"/>
  <c r="Q273" i="2"/>
  <c r="P273" i="2"/>
  <c r="T273" i="2" s="1"/>
  <c r="X272" i="2"/>
  <c r="W272" i="2"/>
  <c r="V272" i="2"/>
  <c r="U272" i="2"/>
  <c r="S272" i="2"/>
  <c r="R272" i="2"/>
  <c r="Q272" i="2"/>
  <c r="P272" i="2"/>
  <c r="T272" i="2" s="1"/>
  <c r="X271" i="2"/>
  <c r="W271" i="2"/>
  <c r="V271" i="2"/>
  <c r="U271" i="2"/>
  <c r="T271" i="2"/>
  <c r="S271" i="2"/>
  <c r="R271" i="2"/>
  <c r="Q271" i="2"/>
  <c r="P271" i="2"/>
  <c r="X270" i="2"/>
  <c r="W270" i="2"/>
  <c r="V270" i="2"/>
  <c r="U270" i="2"/>
  <c r="T270" i="2"/>
  <c r="S270" i="2"/>
  <c r="R270" i="2"/>
  <c r="Q270" i="2"/>
  <c r="P270" i="2"/>
  <c r="X269" i="2"/>
  <c r="W269" i="2"/>
  <c r="V269" i="2"/>
  <c r="U269" i="2"/>
  <c r="T269" i="2"/>
  <c r="S269" i="2"/>
  <c r="R269" i="2"/>
  <c r="Q269" i="2"/>
  <c r="P269" i="2"/>
  <c r="X268" i="2"/>
  <c r="W268" i="2"/>
  <c r="V268" i="2"/>
  <c r="U268" i="2"/>
  <c r="T268" i="2"/>
  <c r="S268" i="2"/>
  <c r="R268" i="2"/>
  <c r="Q268" i="2"/>
  <c r="P268" i="2"/>
  <c r="X267" i="2"/>
  <c r="W267" i="2"/>
  <c r="V267" i="2"/>
  <c r="U267" i="2"/>
  <c r="S267" i="2"/>
  <c r="R267" i="2"/>
  <c r="Q267" i="2"/>
  <c r="P267" i="2"/>
  <c r="T267" i="2" s="1"/>
  <c r="X266" i="2"/>
  <c r="W266" i="2"/>
  <c r="V266" i="2"/>
  <c r="U266" i="2"/>
  <c r="S266" i="2"/>
  <c r="R266" i="2"/>
  <c r="Q266" i="2"/>
  <c r="P266" i="2"/>
  <c r="T266" i="2" s="1"/>
  <c r="X265" i="2"/>
  <c r="W265" i="2"/>
  <c r="V265" i="2"/>
  <c r="U265" i="2"/>
  <c r="S265" i="2"/>
  <c r="R265" i="2"/>
  <c r="Q265" i="2"/>
  <c r="P265" i="2"/>
  <c r="T265" i="2" s="1"/>
  <c r="X264" i="2"/>
  <c r="W264" i="2"/>
  <c r="V264" i="2"/>
  <c r="U264" i="2"/>
  <c r="S264" i="2"/>
  <c r="R264" i="2"/>
  <c r="Q264" i="2"/>
  <c r="P264" i="2"/>
  <c r="T264" i="2" s="1"/>
  <c r="X263" i="2"/>
  <c r="W263" i="2"/>
  <c r="V263" i="2"/>
  <c r="U263" i="2"/>
  <c r="T263" i="2"/>
  <c r="S263" i="2"/>
  <c r="R263" i="2"/>
  <c r="Q263" i="2"/>
  <c r="P263" i="2"/>
  <c r="X262" i="2"/>
  <c r="W262" i="2"/>
  <c r="V262" i="2"/>
  <c r="U262" i="2"/>
  <c r="T262" i="2"/>
  <c r="S262" i="2"/>
  <c r="R262" i="2"/>
  <c r="Q262" i="2"/>
  <c r="P262" i="2"/>
  <c r="X261" i="2"/>
  <c r="W261" i="2"/>
  <c r="V261" i="2"/>
  <c r="U261" i="2"/>
  <c r="T261" i="2"/>
  <c r="S261" i="2"/>
  <c r="R261" i="2"/>
  <c r="Q261" i="2"/>
  <c r="P261" i="2"/>
  <c r="X260" i="2"/>
  <c r="W260" i="2"/>
  <c r="V260" i="2"/>
  <c r="U260" i="2"/>
  <c r="T260" i="2"/>
  <c r="S260" i="2"/>
  <c r="R260" i="2"/>
  <c r="Q260" i="2"/>
  <c r="P260" i="2"/>
  <c r="X259" i="2"/>
  <c r="W259" i="2"/>
  <c r="V259" i="2"/>
  <c r="U259" i="2"/>
  <c r="S259" i="2"/>
  <c r="R259" i="2"/>
  <c r="Q259" i="2"/>
  <c r="P259" i="2"/>
  <c r="T259" i="2" s="1"/>
  <c r="X258" i="2"/>
  <c r="W258" i="2"/>
  <c r="V258" i="2"/>
  <c r="U258" i="2"/>
  <c r="S258" i="2"/>
  <c r="R258" i="2"/>
  <c r="Q258" i="2"/>
  <c r="P258" i="2"/>
  <c r="T258" i="2" s="1"/>
  <c r="X257" i="2"/>
  <c r="W257" i="2"/>
  <c r="V257" i="2"/>
  <c r="U257" i="2"/>
  <c r="S257" i="2"/>
  <c r="R257" i="2"/>
  <c r="Q257" i="2"/>
  <c r="P257" i="2"/>
  <c r="T257" i="2" s="1"/>
  <c r="X256" i="2"/>
  <c r="W256" i="2"/>
  <c r="V256" i="2"/>
  <c r="U256" i="2"/>
  <c r="S256" i="2"/>
  <c r="R256" i="2"/>
  <c r="Q256" i="2"/>
  <c r="P256" i="2"/>
  <c r="T256" i="2" s="1"/>
  <c r="X255" i="2"/>
  <c r="W255" i="2"/>
  <c r="V255" i="2"/>
  <c r="U255" i="2"/>
  <c r="T255" i="2"/>
  <c r="S255" i="2"/>
  <c r="R255" i="2"/>
  <c r="Q255" i="2"/>
  <c r="P255" i="2"/>
  <c r="X254" i="2"/>
  <c r="W254" i="2"/>
  <c r="V254" i="2"/>
  <c r="U254" i="2"/>
  <c r="T254" i="2"/>
  <c r="S254" i="2"/>
  <c r="R254" i="2"/>
  <c r="Q254" i="2"/>
  <c r="P254" i="2"/>
  <c r="X253" i="2"/>
  <c r="W253" i="2"/>
  <c r="V253" i="2"/>
  <c r="U253" i="2"/>
  <c r="T253" i="2"/>
  <c r="S253" i="2"/>
  <c r="R253" i="2"/>
  <c r="Q253" i="2"/>
  <c r="P253" i="2"/>
  <c r="X252" i="2"/>
  <c r="W252" i="2"/>
  <c r="V252" i="2"/>
  <c r="U252" i="2"/>
  <c r="T252" i="2"/>
  <c r="S252" i="2"/>
  <c r="R252" i="2"/>
  <c r="Q252" i="2"/>
  <c r="P252" i="2"/>
  <c r="X251" i="2"/>
  <c r="W251" i="2"/>
  <c r="V251" i="2"/>
  <c r="U251" i="2"/>
  <c r="S251" i="2"/>
  <c r="R251" i="2"/>
  <c r="Q251" i="2"/>
  <c r="P251" i="2"/>
  <c r="T251" i="2" s="1"/>
  <c r="X250" i="2"/>
  <c r="W250" i="2"/>
  <c r="V250" i="2"/>
  <c r="U250" i="2"/>
  <c r="S250" i="2"/>
  <c r="R250" i="2"/>
  <c r="Q250" i="2"/>
  <c r="P250" i="2"/>
  <c r="T250" i="2" s="1"/>
  <c r="X249" i="2"/>
  <c r="W249" i="2"/>
  <c r="V249" i="2"/>
  <c r="U249" i="2"/>
  <c r="S249" i="2"/>
  <c r="R249" i="2"/>
  <c r="Q249" i="2"/>
  <c r="P249" i="2"/>
  <c r="T249" i="2" s="1"/>
  <c r="X248" i="2"/>
  <c r="W248" i="2"/>
  <c r="V248" i="2"/>
  <c r="U248" i="2"/>
  <c r="S248" i="2"/>
  <c r="R248" i="2"/>
  <c r="Q248" i="2"/>
  <c r="P248" i="2"/>
  <c r="T248" i="2" s="1"/>
  <c r="X247" i="2"/>
  <c r="W247" i="2"/>
  <c r="V247" i="2"/>
  <c r="U247" i="2"/>
  <c r="T247" i="2"/>
  <c r="S247" i="2"/>
  <c r="R247" i="2"/>
  <c r="Q247" i="2"/>
  <c r="P247" i="2"/>
  <c r="X246" i="2"/>
  <c r="W246" i="2"/>
  <c r="V246" i="2"/>
  <c r="U246" i="2"/>
  <c r="T246" i="2"/>
  <c r="S246" i="2"/>
  <c r="R246" i="2"/>
  <c r="Q246" i="2"/>
  <c r="P246" i="2"/>
  <c r="X245" i="2"/>
  <c r="W245" i="2"/>
  <c r="V245" i="2"/>
  <c r="U245" i="2"/>
  <c r="T245" i="2"/>
  <c r="S245" i="2"/>
  <c r="R245" i="2"/>
  <c r="Q245" i="2"/>
  <c r="P245" i="2"/>
  <c r="X244" i="2"/>
  <c r="W244" i="2"/>
  <c r="V244" i="2"/>
  <c r="U244" i="2"/>
  <c r="T244" i="2"/>
  <c r="S244" i="2"/>
  <c r="R244" i="2"/>
  <c r="Q244" i="2"/>
  <c r="P244" i="2"/>
  <c r="X243" i="2"/>
  <c r="W243" i="2"/>
  <c r="V243" i="2"/>
  <c r="U243" i="2"/>
  <c r="S243" i="2"/>
  <c r="R243" i="2"/>
  <c r="Q243" i="2"/>
  <c r="P243" i="2"/>
  <c r="T243" i="2" s="1"/>
  <c r="X242" i="2"/>
  <c r="W242" i="2"/>
  <c r="V242" i="2"/>
  <c r="U242" i="2"/>
  <c r="S242" i="2"/>
  <c r="R242" i="2"/>
  <c r="Q242" i="2"/>
  <c r="P242" i="2"/>
  <c r="T242" i="2" s="1"/>
  <c r="X241" i="2"/>
  <c r="W241" i="2"/>
  <c r="V241" i="2"/>
  <c r="U241" i="2"/>
  <c r="S241" i="2"/>
  <c r="R241" i="2"/>
  <c r="Q241" i="2"/>
  <c r="P241" i="2"/>
  <c r="T241" i="2" s="1"/>
  <c r="X240" i="2"/>
  <c r="W240" i="2"/>
  <c r="V240" i="2"/>
  <c r="U240" i="2"/>
  <c r="S240" i="2"/>
  <c r="R240" i="2"/>
  <c r="Q240" i="2"/>
  <c r="P240" i="2"/>
  <c r="T240" i="2" s="1"/>
  <c r="X239" i="2"/>
  <c r="W239" i="2"/>
  <c r="V239" i="2"/>
  <c r="U239" i="2"/>
  <c r="T239" i="2"/>
  <c r="S239" i="2"/>
  <c r="R239" i="2"/>
  <c r="Q239" i="2"/>
  <c r="P239" i="2"/>
  <c r="X238" i="2"/>
  <c r="W238" i="2"/>
  <c r="V238" i="2"/>
  <c r="U238" i="2"/>
  <c r="T238" i="2"/>
  <c r="S238" i="2"/>
  <c r="R238" i="2"/>
  <c r="Q238" i="2"/>
  <c r="P238" i="2"/>
  <c r="X237" i="2"/>
  <c r="W237" i="2"/>
  <c r="V237" i="2"/>
  <c r="U237" i="2"/>
  <c r="T237" i="2"/>
  <c r="S237" i="2"/>
  <c r="R237" i="2"/>
  <c r="Q237" i="2"/>
  <c r="P237" i="2"/>
  <c r="X236" i="2"/>
  <c r="W236" i="2"/>
  <c r="V236" i="2"/>
  <c r="U236" i="2"/>
  <c r="T236" i="2"/>
  <c r="S236" i="2"/>
  <c r="R236" i="2"/>
  <c r="Q236" i="2"/>
  <c r="P236" i="2"/>
  <c r="X235" i="2"/>
  <c r="W235" i="2"/>
  <c r="V235" i="2"/>
  <c r="U235" i="2"/>
  <c r="S235" i="2"/>
  <c r="R235" i="2"/>
  <c r="Q235" i="2"/>
  <c r="P235" i="2"/>
  <c r="T235" i="2" s="1"/>
  <c r="X234" i="2"/>
  <c r="W234" i="2"/>
  <c r="V234" i="2"/>
  <c r="U234" i="2"/>
  <c r="S234" i="2"/>
  <c r="R234" i="2"/>
  <c r="Q234" i="2"/>
  <c r="P234" i="2"/>
  <c r="T234" i="2" s="1"/>
  <c r="X233" i="2"/>
  <c r="W233" i="2"/>
  <c r="V233" i="2"/>
  <c r="U233" i="2"/>
  <c r="S233" i="2"/>
  <c r="R233" i="2"/>
  <c r="Q233" i="2"/>
  <c r="P233" i="2"/>
  <c r="T233" i="2" s="1"/>
  <c r="X232" i="2"/>
  <c r="W232" i="2"/>
  <c r="V232" i="2"/>
  <c r="U232" i="2"/>
  <c r="S232" i="2"/>
  <c r="R232" i="2"/>
  <c r="Q232" i="2"/>
  <c r="P232" i="2"/>
  <c r="T232" i="2" s="1"/>
  <c r="X231" i="2"/>
  <c r="W231" i="2"/>
  <c r="V231" i="2"/>
  <c r="U231" i="2"/>
  <c r="T231" i="2"/>
  <c r="S231" i="2"/>
  <c r="R231" i="2"/>
  <c r="Q231" i="2"/>
  <c r="P231" i="2"/>
  <c r="X230" i="2"/>
  <c r="W230" i="2"/>
  <c r="V230" i="2"/>
  <c r="U230" i="2"/>
  <c r="T230" i="2"/>
  <c r="S230" i="2"/>
  <c r="R230" i="2"/>
  <c r="Q230" i="2"/>
  <c r="P230" i="2"/>
  <c r="X229" i="2"/>
  <c r="W229" i="2"/>
  <c r="V229" i="2"/>
  <c r="U229" i="2"/>
  <c r="T229" i="2"/>
  <c r="S229" i="2"/>
  <c r="R229" i="2"/>
  <c r="Q229" i="2"/>
  <c r="P229" i="2"/>
  <c r="X228" i="2"/>
  <c r="W228" i="2"/>
  <c r="V228" i="2"/>
  <c r="U228" i="2"/>
  <c r="T228" i="2"/>
  <c r="S228" i="2"/>
  <c r="R228" i="2"/>
  <c r="Q228" i="2"/>
  <c r="P228" i="2"/>
  <c r="X227" i="2"/>
  <c r="W227" i="2"/>
  <c r="V227" i="2"/>
  <c r="U227" i="2"/>
  <c r="S227" i="2"/>
  <c r="R227" i="2"/>
  <c r="Q227" i="2"/>
  <c r="P227" i="2"/>
  <c r="T227" i="2" s="1"/>
  <c r="X226" i="2"/>
  <c r="W226" i="2"/>
  <c r="V226" i="2"/>
  <c r="U226" i="2"/>
  <c r="S226" i="2"/>
  <c r="R226" i="2"/>
  <c r="Q226" i="2"/>
  <c r="P226" i="2"/>
  <c r="T226" i="2" s="1"/>
  <c r="X225" i="2"/>
  <c r="W225" i="2"/>
  <c r="V225" i="2"/>
  <c r="U225" i="2"/>
  <c r="S225" i="2"/>
  <c r="R225" i="2"/>
  <c r="Q225" i="2"/>
  <c r="P225" i="2"/>
  <c r="T225" i="2" s="1"/>
  <c r="X224" i="2"/>
  <c r="W224" i="2"/>
  <c r="V224" i="2"/>
  <c r="U224" i="2"/>
  <c r="S224" i="2"/>
  <c r="R224" i="2"/>
  <c r="Q224" i="2"/>
  <c r="P224" i="2"/>
  <c r="T224" i="2" s="1"/>
  <c r="X223" i="2"/>
  <c r="W223" i="2"/>
  <c r="V223" i="2"/>
  <c r="U223" i="2"/>
  <c r="T223" i="2"/>
  <c r="S223" i="2"/>
  <c r="R223" i="2"/>
  <c r="Q223" i="2"/>
  <c r="P223" i="2"/>
  <c r="X222" i="2"/>
  <c r="W222" i="2"/>
  <c r="V222" i="2"/>
  <c r="U222" i="2"/>
  <c r="T222" i="2"/>
  <c r="S222" i="2"/>
  <c r="R222" i="2"/>
  <c r="Q222" i="2"/>
  <c r="P222" i="2"/>
  <c r="X221" i="2"/>
  <c r="W221" i="2"/>
  <c r="V221" i="2"/>
  <c r="U221" i="2"/>
  <c r="T221" i="2"/>
  <c r="S221" i="2"/>
  <c r="R221" i="2"/>
  <c r="Q221" i="2"/>
  <c r="P221" i="2"/>
  <c r="X220" i="2"/>
  <c r="W220" i="2"/>
  <c r="V220" i="2"/>
  <c r="U220" i="2"/>
  <c r="T220" i="2"/>
  <c r="S220" i="2"/>
  <c r="R220" i="2"/>
  <c r="Q220" i="2"/>
  <c r="P220" i="2"/>
  <c r="X219" i="2"/>
  <c r="W219" i="2"/>
  <c r="V219" i="2"/>
  <c r="U219" i="2"/>
  <c r="S219" i="2"/>
  <c r="R219" i="2"/>
  <c r="Q219" i="2"/>
  <c r="P219" i="2"/>
  <c r="T219" i="2" s="1"/>
  <c r="X218" i="2"/>
  <c r="W218" i="2"/>
  <c r="V218" i="2"/>
  <c r="U218" i="2"/>
  <c r="S218" i="2"/>
  <c r="R218" i="2"/>
  <c r="Q218" i="2"/>
  <c r="P218" i="2"/>
  <c r="T218" i="2" s="1"/>
  <c r="X217" i="2"/>
  <c r="W217" i="2"/>
  <c r="V217" i="2"/>
  <c r="U217" i="2"/>
  <c r="S217" i="2"/>
  <c r="R217" i="2"/>
  <c r="Q217" i="2"/>
  <c r="P217" i="2"/>
  <c r="T217" i="2" s="1"/>
  <c r="X216" i="2"/>
  <c r="W216" i="2"/>
  <c r="V216" i="2"/>
  <c r="U216" i="2"/>
  <c r="S216" i="2"/>
  <c r="R216" i="2"/>
  <c r="Q216" i="2"/>
  <c r="P216" i="2"/>
  <c r="T216" i="2" s="1"/>
  <c r="X215" i="2"/>
  <c r="W215" i="2"/>
  <c r="V215" i="2"/>
  <c r="U215" i="2"/>
  <c r="T215" i="2"/>
  <c r="S215" i="2"/>
  <c r="R215" i="2"/>
  <c r="Q215" i="2"/>
  <c r="P215" i="2"/>
  <c r="X214" i="2"/>
  <c r="W214" i="2"/>
  <c r="V214" i="2"/>
  <c r="U214" i="2"/>
  <c r="T214" i="2"/>
  <c r="S214" i="2"/>
  <c r="R214" i="2"/>
  <c r="Q214" i="2"/>
  <c r="P214" i="2"/>
  <c r="X213" i="2"/>
  <c r="W213" i="2"/>
  <c r="V213" i="2"/>
  <c r="U213" i="2"/>
  <c r="T213" i="2"/>
  <c r="S213" i="2"/>
  <c r="R213" i="2"/>
  <c r="Q213" i="2"/>
  <c r="P213" i="2"/>
  <c r="X212" i="2"/>
  <c r="W212" i="2"/>
  <c r="V212" i="2"/>
  <c r="U212" i="2"/>
  <c r="T212" i="2"/>
  <c r="S212" i="2"/>
  <c r="R212" i="2"/>
  <c r="Q212" i="2"/>
  <c r="P212" i="2"/>
  <c r="X211" i="2"/>
  <c r="W211" i="2"/>
  <c r="V211" i="2"/>
  <c r="U211" i="2"/>
  <c r="S211" i="2"/>
  <c r="R211" i="2"/>
  <c r="Q211" i="2"/>
  <c r="P211" i="2"/>
  <c r="T211" i="2" s="1"/>
  <c r="X210" i="2"/>
  <c r="W210" i="2"/>
  <c r="V210" i="2"/>
  <c r="U210" i="2"/>
  <c r="S210" i="2"/>
  <c r="R210" i="2"/>
  <c r="Q210" i="2"/>
  <c r="P210" i="2"/>
  <c r="T210" i="2" s="1"/>
  <c r="X209" i="2"/>
  <c r="W209" i="2"/>
  <c r="V209" i="2"/>
  <c r="U209" i="2"/>
  <c r="S209" i="2"/>
  <c r="R209" i="2"/>
  <c r="Q209" i="2"/>
  <c r="P209" i="2"/>
  <c r="T209" i="2" s="1"/>
  <c r="X208" i="2"/>
  <c r="W208" i="2"/>
  <c r="V208" i="2"/>
  <c r="U208" i="2"/>
  <c r="S208" i="2"/>
  <c r="R208" i="2"/>
  <c r="Q208" i="2"/>
  <c r="P208" i="2"/>
  <c r="T208" i="2" s="1"/>
  <c r="X207" i="2"/>
  <c r="W207" i="2"/>
  <c r="V207" i="2"/>
  <c r="U207" i="2"/>
  <c r="T207" i="2"/>
  <c r="S207" i="2"/>
  <c r="R207" i="2"/>
  <c r="Q207" i="2"/>
  <c r="P207" i="2"/>
  <c r="X206" i="2"/>
  <c r="W206" i="2"/>
  <c r="V206" i="2"/>
  <c r="U206" i="2"/>
  <c r="T206" i="2"/>
  <c r="S206" i="2"/>
  <c r="R206" i="2"/>
  <c r="Q206" i="2"/>
  <c r="P206" i="2"/>
  <c r="X205" i="2"/>
  <c r="W205" i="2"/>
  <c r="V205" i="2"/>
  <c r="U205" i="2"/>
  <c r="T205" i="2"/>
  <c r="S205" i="2"/>
  <c r="R205" i="2"/>
  <c r="Q205" i="2"/>
  <c r="P205" i="2"/>
  <c r="X204" i="2"/>
  <c r="W204" i="2"/>
  <c r="V204" i="2"/>
  <c r="U204" i="2"/>
  <c r="T204" i="2"/>
  <c r="S204" i="2"/>
  <c r="R204" i="2"/>
  <c r="Q204" i="2"/>
  <c r="P204" i="2"/>
  <c r="X203" i="2"/>
  <c r="W203" i="2"/>
  <c r="V203" i="2"/>
  <c r="U203" i="2"/>
  <c r="S203" i="2"/>
  <c r="R203" i="2"/>
  <c r="Q203" i="2"/>
  <c r="P203" i="2"/>
  <c r="T203" i="2" s="1"/>
  <c r="X202" i="2"/>
  <c r="W202" i="2"/>
  <c r="V202" i="2"/>
  <c r="U202" i="2"/>
  <c r="S202" i="2"/>
  <c r="R202" i="2"/>
  <c r="Q202" i="2"/>
  <c r="P202" i="2"/>
  <c r="T202" i="2" s="1"/>
  <c r="X201" i="2"/>
  <c r="W201" i="2"/>
  <c r="V201" i="2"/>
  <c r="U201" i="2"/>
  <c r="S201" i="2"/>
  <c r="R201" i="2"/>
  <c r="Q201" i="2"/>
  <c r="P201" i="2"/>
  <c r="T201" i="2" s="1"/>
  <c r="X200" i="2"/>
  <c r="W200" i="2"/>
  <c r="V200" i="2"/>
  <c r="U200" i="2"/>
  <c r="S200" i="2"/>
  <c r="R200" i="2"/>
  <c r="Q200" i="2"/>
  <c r="P200" i="2"/>
  <c r="T200" i="2" s="1"/>
  <c r="X199" i="2"/>
  <c r="W199" i="2"/>
  <c r="V199" i="2"/>
  <c r="U199" i="2"/>
  <c r="T199" i="2"/>
  <c r="S199" i="2"/>
  <c r="R199" i="2"/>
  <c r="Q199" i="2"/>
  <c r="P199" i="2"/>
  <c r="X198" i="2"/>
  <c r="W198" i="2"/>
  <c r="V198" i="2"/>
  <c r="U198" i="2"/>
  <c r="T198" i="2"/>
  <c r="S198" i="2"/>
  <c r="R198" i="2"/>
  <c r="Q198" i="2"/>
  <c r="P198" i="2"/>
  <c r="X197" i="2"/>
  <c r="W197" i="2"/>
  <c r="V197" i="2"/>
  <c r="U197" i="2"/>
  <c r="T197" i="2"/>
  <c r="S197" i="2"/>
  <c r="R197" i="2"/>
  <c r="Q197" i="2"/>
  <c r="P197" i="2"/>
  <c r="X196" i="2"/>
  <c r="W196" i="2"/>
  <c r="V196" i="2"/>
  <c r="U196" i="2"/>
  <c r="T196" i="2"/>
  <c r="S196" i="2"/>
  <c r="R196" i="2"/>
  <c r="Q196" i="2"/>
  <c r="P196" i="2"/>
  <c r="X195" i="2"/>
  <c r="W195" i="2"/>
  <c r="V195" i="2"/>
  <c r="U195" i="2"/>
  <c r="S195" i="2"/>
  <c r="R195" i="2"/>
  <c r="Q195" i="2"/>
  <c r="P195" i="2"/>
  <c r="T195" i="2" s="1"/>
  <c r="X194" i="2"/>
  <c r="W194" i="2"/>
  <c r="V194" i="2"/>
  <c r="U194" i="2"/>
  <c r="S194" i="2"/>
  <c r="R194" i="2"/>
  <c r="Q194" i="2"/>
  <c r="P194" i="2"/>
  <c r="T194" i="2" s="1"/>
  <c r="X193" i="2"/>
  <c r="W193" i="2"/>
  <c r="V193" i="2"/>
  <c r="U193" i="2"/>
  <c r="S193" i="2"/>
  <c r="R193" i="2"/>
  <c r="Q193" i="2"/>
  <c r="P193" i="2"/>
  <c r="T193" i="2" s="1"/>
  <c r="X192" i="2"/>
  <c r="W192" i="2"/>
  <c r="V192" i="2"/>
  <c r="U192" i="2"/>
  <c r="S192" i="2"/>
  <c r="R192" i="2"/>
  <c r="Q192" i="2"/>
  <c r="P192" i="2"/>
  <c r="T192" i="2" s="1"/>
  <c r="X191" i="2"/>
  <c r="W191" i="2"/>
  <c r="V191" i="2"/>
  <c r="U191" i="2"/>
  <c r="T191" i="2"/>
  <c r="S191" i="2"/>
  <c r="R191" i="2"/>
  <c r="Q191" i="2"/>
  <c r="P191" i="2"/>
  <c r="X190" i="2"/>
  <c r="W190" i="2"/>
  <c r="V190" i="2"/>
  <c r="U190" i="2"/>
  <c r="T190" i="2"/>
  <c r="S190" i="2"/>
  <c r="R190" i="2"/>
  <c r="Q190" i="2"/>
  <c r="P190" i="2"/>
  <c r="X189" i="2"/>
  <c r="W189" i="2"/>
  <c r="V189" i="2"/>
  <c r="U189" i="2"/>
  <c r="T189" i="2"/>
  <c r="S189" i="2"/>
  <c r="R189" i="2"/>
  <c r="Q189" i="2"/>
  <c r="P189" i="2"/>
  <c r="X188" i="2"/>
  <c r="W188" i="2"/>
  <c r="V188" i="2"/>
  <c r="U188" i="2"/>
  <c r="T188" i="2"/>
  <c r="S188" i="2"/>
  <c r="R188" i="2"/>
  <c r="Q188" i="2"/>
  <c r="P188" i="2"/>
  <c r="X187" i="2"/>
  <c r="W187" i="2"/>
  <c r="V187" i="2"/>
  <c r="U187" i="2"/>
  <c r="S187" i="2"/>
  <c r="R187" i="2"/>
  <c r="Q187" i="2"/>
  <c r="P187" i="2"/>
  <c r="T187" i="2" s="1"/>
  <c r="X186" i="2"/>
  <c r="W186" i="2"/>
  <c r="V186" i="2"/>
  <c r="U186" i="2"/>
  <c r="S186" i="2"/>
  <c r="R186" i="2"/>
  <c r="Q186" i="2"/>
  <c r="P186" i="2"/>
  <c r="T186" i="2" s="1"/>
  <c r="X185" i="2"/>
  <c r="W185" i="2"/>
  <c r="V185" i="2"/>
  <c r="U185" i="2"/>
  <c r="S185" i="2"/>
  <c r="R185" i="2"/>
  <c r="Q185" i="2"/>
  <c r="P185" i="2"/>
  <c r="T185" i="2" s="1"/>
  <c r="X184" i="2"/>
  <c r="W184" i="2"/>
  <c r="V184" i="2"/>
  <c r="U184" i="2"/>
  <c r="S184" i="2"/>
  <c r="R184" i="2"/>
  <c r="Q184" i="2"/>
  <c r="P184" i="2"/>
  <c r="T184" i="2" s="1"/>
  <c r="X183" i="2"/>
  <c r="W183" i="2"/>
  <c r="V183" i="2"/>
  <c r="U183" i="2"/>
  <c r="T183" i="2"/>
  <c r="S183" i="2"/>
  <c r="R183" i="2"/>
  <c r="Q183" i="2"/>
  <c r="P183" i="2"/>
  <c r="X182" i="2"/>
  <c r="W182" i="2"/>
  <c r="V182" i="2"/>
  <c r="U182" i="2"/>
  <c r="S182" i="2"/>
  <c r="R182" i="2"/>
  <c r="Q182" i="2"/>
  <c r="P182" i="2"/>
  <c r="T182" i="2" s="1"/>
  <c r="X181" i="2"/>
  <c r="W181" i="2"/>
  <c r="V181" i="2"/>
  <c r="U181" i="2"/>
  <c r="T181" i="2"/>
  <c r="S181" i="2"/>
  <c r="R181" i="2"/>
  <c r="Q181" i="2"/>
  <c r="P181" i="2"/>
  <c r="X180" i="2"/>
  <c r="W180" i="2"/>
  <c r="V180" i="2"/>
  <c r="U180" i="2"/>
  <c r="T180" i="2"/>
  <c r="S180" i="2"/>
  <c r="R180" i="2"/>
  <c r="Q180" i="2"/>
  <c r="P180" i="2"/>
  <c r="X179" i="2"/>
  <c r="W179" i="2"/>
  <c r="V179" i="2"/>
  <c r="U179" i="2"/>
  <c r="S179" i="2"/>
  <c r="R179" i="2"/>
  <c r="Q179" i="2"/>
  <c r="P179" i="2"/>
  <c r="T179" i="2" s="1"/>
  <c r="X178" i="2"/>
  <c r="W178" i="2"/>
  <c r="V178" i="2"/>
  <c r="U178" i="2"/>
  <c r="S178" i="2"/>
  <c r="R178" i="2"/>
  <c r="Q178" i="2"/>
  <c r="P178" i="2"/>
  <c r="T178" i="2" s="1"/>
  <c r="X177" i="2"/>
  <c r="W177" i="2"/>
  <c r="V177" i="2"/>
  <c r="U177" i="2"/>
  <c r="S177" i="2"/>
  <c r="R177" i="2"/>
  <c r="Q177" i="2"/>
  <c r="P177" i="2"/>
  <c r="T177" i="2" s="1"/>
  <c r="X176" i="2"/>
  <c r="W176" i="2"/>
  <c r="V176" i="2"/>
  <c r="U176" i="2"/>
  <c r="S176" i="2"/>
  <c r="R176" i="2"/>
  <c r="Q176" i="2"/>
  <c r="P176" i="2"/>
  <c r="T176" i="2" s="1"/>
  <c r="X175" i="2"/>
  <c r="W175" i="2"/>
  <c r="V175" i="2"/>
  <c r="U175" i="2"/>
  <c r="T175" i="2"/>
  <c r="S175" i="2"/>
  <c r="R175" i="2"/>
  <c r="Q175" i="2"/>
  <c r="P175" i="2"/>
  <c r="X174" i="2"/>
  <c r="W174" i="2"/>
  <c r="V174" i="2"/>
  <c r="U174" i="2"/>
  <c r="S174" i="2"/>
  <c r="R174" i="2"/>
  <c r="Q174" i="2"/>
  <c r="P174" i="2"/>
  <c r="T174" i="2" s="1"/>
  <c r="X173" i="2"/>
  <c r="W173" i="2"/>
  <c r="V173" i="2"/>
  <c r="U173" i="2"/>
  <c r="T173" i="2"/>
  <c r="S173" i="2"/>
  <c r="R173" i="2"/>
  <c r="Q173" i="2"/>
  <c r="P173" i="2"/>
  <c r="X172" i="2"/>
  <c r="W172" i="2"/>
  <c r="V172" i="2"/>
  <c r="U172" i="2"/>
  <c r="T172" i="2"/>
  <c r="S172" i="2"/>
  <c r="R172" i="2"/>
  <c r="Q172" i="2"/>
  <c r="P172" i="2"/>
  <c r="X171" i="2"/>
  <c r="W171" i="2"/>
  <c r="V171" i="2"/>
  <c r="U171" i="2"/>
  <c r="S171" i="2"/>
  <c r="R171" i="2"/>
  <c r="Q171" i="2"/>
  <c r="P171" i="2"/>
  <c r="T171" i="2" s="1"/>
  <c r="X170" i="2"/>
  <c r="W170" i="2"/>
  <c r="V170" i="2"/>
  <c r="U170" i="2"/>
  <c r="S170" i="2"/>
  <c r="R170" i="2"/>
  <c r="Q170" i="2"/>
  <c r="P170" i="2"/>
  <c r="T170" i="2" s="1"/>
  <c r="X169" i="2"/>
  <c r="W169" i="2"/>
  <c r="V169" i="2"/>
  <c r="U169" i="2"/>
  <c r="S169" i="2"/>
  <c r="R169" i="2"/>
  <c r="Q169" i="2"/>
  <c r="P169" i="2"/>
  <c r="T169" i="2" s="1"/>
  <c r="X168" i="2"/>
  <c r="W168" i="2"/>
  <c r="V168" i="2"/>
  <c r="U168" i="2"/>
  <c r="S168" i="2"/>
  <c r="R168" i="2"/>
  <c r="Q168" i="2"/>
  <c r="P168" i="2"/>
  <c r="T168" i="2" s="1"/>
  <c r="X167" i="2"/>
  <c r="W167" i="2"/>
  <c r="V167" i="2"/>
  <c r="U167" i="2"/>
  <c r="T167" i="2"/>
  <c r="S167" i="2"/>
  <c r="R167" i="2"/>
  <c r="Q167" i="2"/>
  <c r="P167" i="2"/>
  <c r="X166" i="2"/>
  <c r="W166" i="2"/>
  <c r="V166" i="2"/>
  <c r="U166" i="2"/>
  <c r="S166" i="2"/>
  <c r="R166" i="2"/>
  <c r="Q166" i="2"/>
  <c r="P166" i="2"/>
  <c r="T166" i="2" s="1"/>
  <c r="X165" i="2"/>
  <c r="W165" i="2"/>
  <c r="V165" i="2"/>
  <c r="U165" i="2"/>
  <c r="T165" i="2"/>
  <c r="S165" i="2"/>
  <c r="R165" i="2"/>
  <c r="Q165" i="2"/>
  <c r="P165" i="2"/>
  <c r="X164" i="2"/>
  <c r="W164" i="2"/>
  <c r="V164" i="2"/>
  <c r="U164" i="2"/>
  <c r="T164" i="2"/>
  <c r="S164" i="2"/>
  <c r="R164" i="2"/>
  <c r="Q164" i="2"/>
  <c r="P164" i="2"/>
  <c r="X163" i="2"/>
  <c r="W163" i="2"/>
  <c r="V163" i="2"/>
  <c r="U163" i="2"/>
  <c r="S163" i="2"/>
  <c r="R163" i="2"/>
  <c r="Q163" i="2"/>
  <c r="P163" i="2"/>
  <c r="T163" i="2" s="1"/>
  <c r="X162" i="2"/>
  <c r="W162" i="2"/>
  <c r="V162" i="2"/>
  <c r="U162" i="2"/>
  <c r="S162" i="2"/>
  <c r="R162" i="2"/>
  <c r="Q162" i="2"/>
  <c r="P162" i="2"/>
  <c r="T162" i="2" s="1"/>
  <c r="X161" i="2"/>
  <c r="W161" i="2"/>
  <c r="V161" i="2"/>
  <c r="U161" i="2"/>
  <c r="S161" i="2"/>
  <c r="R161" i="2"/>
  <c r="Q161" i="2"/>
  <c r="P161" i="2"/>
  <c r="T161" i="2" s="1"/>
  <c r="X160" i="2"/>
  <c r="W160" i="2"/>
  <c r="V160" i="2"/>
  <c r="U160" i="2"/>
  <c r="S160" i="2"/>
  <c r="R160" i="2"/>
  <c r="Q160" i="2"/>
  <c r="P160" i="2"/>
  <c r="T160" i="2" s="1"/>
  <c r="X159" i="2"/>
  <c r="W159" i="2"/>
  <c r="V159" i="2"/>
  <c r="U159" i="2"/>
  <c r="T159" i="2"/>
  <c r="S159" i="2"/>
  <c r="R159" i="2"/>
  <c r="Q159" i="2"/>
  <c r="P159" i="2"/>
  <c r="X158" i="2"/>
  <c r="W158" i="2"/>
  <c r="V158" i="2"/>
  <c r="U158" i="2"/>
  <c r="S158" i="2"/>
  <c r="R158" i="2"/>
  <c r="Q158" i="2"/>
  <c r="P158" i="2"/>
  <c r="T158" i="2" s="1"/>
  <c r="X157" i="2"/>
  <c r="W157" i="2"/>
  <c r="V157" i="2"/>
  <c r="U157" i="2"/>
  <c r="T157" i="2"/>
  <c r="S157" i="2"/>
  <c r="R157" i="2"/>
  <c r="Q157" i="2"/>
  <c r="P157" i="2"/>
  <c r="X156" i="2"/>
  <c r="W156" i="2"/>
  <c r="V156" i="2"/>
  <c r="U156" i="2"/>
  <c r="T156" i="2"/>
  <c r="S156" i="2"/>
  <c r="R156" i="2"/>
  <c r="Q156" i="2"/>
  <c r="P156" i="2"/>
  <c r="X155" i="2"/>
  <c r="W155" i="2"/>
  <c r="V155" i="2"/>
  <c r="U155" i="2"/>
  <c r="S155" i="2"/>
  <c r="R155" i="2"/>
  <c r="Q155" i="2"/>
  <c r="P155" i="2"/>
  <c r="T155" i="2" s="1"/>
  <c r="X154" i="2"/>
  <c r="W154" i="2"/>
  <c r="V154" i="2"/>
  <c r="U154" i="2"/>
  <c r="S154" i="2"/>
  <c r="R154" i="2"/>
  <c r="Q154" i="2"/>
  <c r="P154" i="2"/>
  <c r="T154" i="2" s="1"/>
  <c r="X153" i="2"/>
  <c r="W153" i="2"/>
  <c r="V153" i="2"/>
  <c r="U153" i="2"/>
  <c r="S153" i="2"/>
  <c r="R153" i="2"/>
  <c r="Q153" i="2"/>
  <c r="P153" i="2"/>
  <c r="T153" i="2" s="1"/>
  <c r="X152" i="2"/>
  <c r="W152" i="2"/>
  <c r="V152" i="2"/>
  <c r="U152" i="2"/>
  <c r="S152" i="2"/>
  <c r="R152" i="2"/>
  <c r="Q152" i="2"/>
  <c r="P152" i="2"/>
  <c r="T152" i="2" s="1"/>
  <c r="X151" i="2"/>
  <c r="W151" i="2"/>
  <c r="V151" i="2"/>
  <c r="U151" i="2"/>
  <c r="T151" i="2"/>
  <c r="S151" i="2"/>
  <c r="R151" i="2"/>
  <c r="Q151" i="2"/>
  <c r="P151" i="2"/>
  <c r="X150" i="2"/>
  <c r="W150" i="2"/>
  <c r="V150" i="2"/>
  <c r="U150" i="2"/>
  <c r="S150" i="2"/>
  <c r="R150" i="2"/>
  <c r="Q150" i="2"/>
  <c r="P150" i="2"/>
  <c r="T150" i="2" s="1"/>
  <c r="X149" i="2"/>
  <c r="W149" i="2"/>
  <c r="V149" i="2"/>
  <c r="U149" i="2"/>
  <c r="T149" i="2"/>
  <c r="S149" i="2"/>
  <c r="R149" i="2"/>
  <c r="Q149" i="2"/>
  <c r="P149" i="2"/>
  <c r="X148" i="2"/>
  <c r="W148" i="2"/>
  <c r="V148" i="2"/>
  <c r="U148" i="2"/>
  <c r="T148" i="2"/>
  <c r="S148" i="2"/>
  <c r="R148" i="2"/>
  <c r="Q148" i="2"/>
  <c r="P148" i="2"/>
  <c r="X147" i="2"/>
  <c r="W147" i="2"/>
  <c r="V147" i="2"/>
  <c r="U147" i="2"/>
  <c r="S147" i="2"/>
  <c r="R147" i="2"/>
  <c r="Q147" i="2"/>
  <c r="P147" i="2"/>
  <c r="T147" i="2" s="1"/>
  <c r="X146" i="2"/>
  <c r="W146" i="2"/>
  <c r="V146" i="2"/>
  <c r="U146" i="2"/>
  <c r="S146" i="2"/>
  <c r="R146" i="2"/>
  <c r="Q146" i="2"/>
  <c r="P146" i="2"/>
  <c r="T146" i="2" s="1"/>
  <c r="X145" i="2"/>
  <c r="W145" i="2"/>
  <c r="V145" i="2"/>
  <c r="U145" i="2"/>
  <c r="S145" i="2"/>
  <c r="R145" i="2"/>
  <c r="Q145" i="2"/>
  <c r="P145" i="2"/>
  <c r="T145" i="2" s="1"/>
  <c r="X144" i="2"/>
  <c r="W144" i="2"/>
  <c r="V144" i="2"/>
  <c r="U144" i="2"/>
  <c r="S144" i="2"/>
  <c r="R144" i="2"/>
  <c r="Q144" i="2"/>
  <c r="P144" i="2"/>
  <c r="T144" i="2" s="1"/>
  <c r="X143" i="2"/>
  <c r="W143" i="2"/>
  <c r="V143" i="2"/>
  <c r="U143" i="2"/>
  <c r="T143" i="2"/>
  <c r="S143" i="2"/>
  <c r="R143" i="2"/>
  <c r="Q143" i="2"/>
  <c r="P143" i="2"/>
  <c r="X142" i="2"/>
  <c r="W142" i="2"/>
  <c r="V142" i="2"/>
  <c r="U142" i="2"/>
  <c r="S142" i="2"/>
  <c r="R142" i="2"/>
  <c r="Q142" i="2"/>
  <c r="P142" i="2"/>
  <c r="T142" i="2" s="1"/>
  <c r="X141" i="2"/>
  <c r="W141" i="2"/>
  <c r="V141" i="2"/>
  <c r="U141" i="2"/>
  <c r="T141" i="2"/>
  <c r="S141" i="2"/>
  <c r="R141" i="2"/>
  <c r="Q141" i="2"/>
  <c r="P141" i="2"/>
  <c r="X140" i="2"/>
  <c r="W140" i="2"/>
  <c r="V140" i="2"/>
  <c r="U140" i="2"/>
  <c r="T140" i="2"/>
  <c r="S140" i="2"/>
  <c r="R140" i="2"/>
  <c r="Q140" i="2"/>
  <c r="P140" i="2"/>
  <c r="X139" i="2"/>
  <c r="W139" i="2"/>
  <c r="V139" i="2"/>
  <c r="U139" i="2"/>
  <c r="S139" i="2"/>
  <c r="R139" i="2"/>
  <c r="Q139" i="2"/>
  <c r="P139" i="2"/>
  <c r="T139" i="2" s="1"/>
  <c r="X138" i="2"/>
  <c r="W138" i="2"/>
  <c r="V138" i="2"/>
  <c r="U138" i="2"/>
  <c r="S138" i="2"/>
  <c r="R138" i="2"/>
  <c r="Q138" i="2"/>
  <c r="P138" i="2"/>
  <c r="T138" i="2" s="1"/>
  <c r="X137" i="2"/>
  <c r="W137" i="2"/>
  <c r="V137" i="2"/>
  <c r="U137" i="2"/>
  <c r="S137" i="2"/>
  <c r="R137" i="2"/>
  <c r="Q137" i="2"/>
  <c r="P137" i="2"/>
  <c r="T137" i="2" s="1"/>
  <c r="X136" i="2"/>
  <c r="W136" i="2"/>
  <c r="V136" i="2"/>
  <c r="U136" i="2"/>
  <c r="S136" i="2"/>
  <c r="R136" i="2"/>
  <c r="Q136" i="2"/>
  <c r="P136" i="2"/>
  <c r="T136" i="2" s="1"/>
  <c r="X135" i="2"/>
  <c r="W135" i="2"/>
  <c r="V135" i="2"/>
  <c r="U135" i="2"/>
  <c r="T135" i="2"/>
  <c r="S135" i="2"/>
  <c r="R135" i="2"/>
  <c r="Q135" i="2"/>
  <c r="P135" i="2"/>
  <c r="X134" i="2"/>
  <c r="W134" i="2"/>
  <c r="V134" i="2"/>
  <c r="U134" i="2"/>
  <c r="S134" i="2"/>
  <c r="R134" i="2"/>
  <c r="Q134" i="2"/>
  <c r="P134" i="2"/>
  <c r="T134" i="2" s="1"/>
  <c r="X133" i="2"/>
  <c r="W133" i="2"/>
  <c r="V133" i="2"/>
  <c r="U133" i="2"/>
  <c r="T133" i="2"/>
  <c r="S133" i="2"/>
  <c r="R133" i="2"/>
  <c r="Q133" i="2"/>
  <c r="P133" i="2"/>
  <c r="X132" i="2"/>
  <c r="W132" i="2"/>
  <c r="V132" i="2"/>
  <c r="U132" i="2"/>
  <c r="T132" i="2"/>
  <c r="S132" i="2"/>
  <c r="R132" i="2"/>
  <c r="Q132" i="2"/>
  <c r="P132" i="2"/>
  <c r="X131" i="2"/>
  <c r="W131" i="2"/>
  <c r="V131" i="2"/>
  <c r="U131" i="2"/>
  <c r="S131" i="2"/>
  <c r="R131" i="2"/>
  <c r="Q131" i="2"/>
  <c r="P131" i="2"/>
  <c r="T131" i="2" s="1"/>
  <c r="X130" i="2"/>
  <c r="W130" i="2"/>
  <c r="V130" i="2"/>
  <c r="U130" i="2"/>
  <c r="S130" i="2"/>
  <c r="R130" i="2"/>
  <c r="Q130" i="2"/>
  <c r="P130" i="2"/>
  <c r="T130" i="2" s="1"/>
  <c r="X129" i="2"/>
  <c r="W129" i="2"/>
  <c r="V129" i="2"/>
  <c r="U129" i="2"/>
  <c r="S129" i="2"/>
  <c r="R129" i="2"/>
  <c r="Q129" i="2"/>
  <c r="P129" i="2"/>
  <c r="T129" i="2" s="1"/>
  <c r="X128" i="2"/>
  <c r="W128" i="2"/>
  <c r="V128" i="2"/>
  <c r="U128" i="2"/>
  <c r="S128" i="2"/>
  <c r="R128" i="2"/>
  <c r="Q128" i="2"/>
  <c r="P128" i="2"/>
  <c r="T128" i="2" s="1"/>
  <c r="X127" i="2"/>
  <c r="W127" i="2"/>
  <c r="V127" i="2"/>
  <c r="U127" i="2"/>
  <c r="T127" i="2"/>
  <c r="S127" i="2"/>
  <c r="R127" i="2"/>
  <c r="Q127" i="2"/>
  <c r="P127" i="2"/>
  <c r="X126" i="2"/>
  <c r="W126" i="2"/>
  <c r="V126" i="2"/>
  <c r="U126" i="2"/>
  <c r="S126" i="2"/>
  <c r="R126" i="2"/>
  <c r="Q126" i="2"/>
  <c r="P126" i="2"/>
  <c r="T126" i="2" s="1"/>
  <c r="X125" i="2"/>
  <c r="W125" i="2"/>
  <c r="V125" i="2"/>
  <c r="U125" i="2"/>
  <c r="T125" i="2"/>
  <c r="S125" i="2"/>
  <c r="R125" i="2"/>
  <c r="Q125" i="2"/>
  <c r="P125" i="2"/>
  <c r="X124" i="2"/>
  <c r="W124" i="2"/>
  <c r="V124" i="2"/>
  <c r="U124" i="2"/>
  <c r="T124" i="2"/>
  <c r="S124" i="2"/>
  <c r="R124" i="2"/>
  <c r="Q124" i="2"/>
  <c r="P124" i="2"/>
  <c r="X123" i="2"/>
  <c r="W123" i="2"/>
  <c r="V123" i="2"/>
  <c r="U123" i="2"/>
  <c r="S123" i="2"/>
  <c r="R123" i="2"/>
  <c r="Q123" i="2"/>
  <c r="P123" i="2"/>
  <c r="T123" i="2" s="1"/>
  <c r="X122" i="2"/>
  <c r="W122" i="2"/>
  <c r="V122" i="2"/>
  <c r="U122" i="2"/>
  <c r="S122" i="2"/>
  <c r="R122" i="2"/>
  <c r="Q122" i="2"/>
  <c r="P122" i="2"/>
  <c r="T122" i="2" s="1"/>
  <c r="X121" i="2"/>
  <c r="W121" i="2"/>
  <c r="V121" i="2"/>
  <c r="U121" i="2"/>
  <c r="S121" i="2"/>
  <c r="R121" i="2"/>
  <c r="Q121" i="2"/>
  <c r="P121" i="2"/>
  <c r="T121" i="2" s="1"/>
  <c r="X120" i="2"/>
  <c r="W120" i="2"/>
  <c r="V120" i="2"/>
  <c r="U120" i="2"/>
  <c r="S120" i="2"/>
  <c r="R120" i="2"/>
  <c r="Q120" i="2"/>
  <c r="P120" i="2"/>
  <c r="T120" i="2" s="1"/>
  <c r="X119" i="2"/>
  <c r="W119" i="2"/>
  <c r="V119" i="2"/>
  <c r="U119" i="2"/>
  <c r="T119" i="2"/>
  <c r="S119" i="2"/>
  <c r="R119" i="2"/>
  <c r="Q119" i="2"/>
  <c r="P119" i="2"/>
  <c r="X118" i="2"/>
  <c r="W118" i="2"/>
  <c r="V118" i="2"/>
  <c r="U118" i="2"/>
  <c r="S118" i="2"/>
  <c r="R118" i="2"/>
  <c r="Q118" i="2"/>
  <c r="P118" i="2"/>
  <c r="T118" i="2" s="1"/>
  <c r="X117" i="2"/>
  <c r="W117" i="2"/>
  <c r="V117" i="2"/>
  <c r="U117" i="2"/>
  <c r="T117" i="2"/>
  <c r="S117" i="2"/>
  <c r="R117" i="2"/>
  <c r="Q117" i="2"/>
  <c r="P117" i="2"/>
  <c r="X116" i="2"/>
  <c r="W116" i="2"/>
  <c r="V116" i="2"/>
  <c r="U116" i="2"/>
  <c r="T116" i="2"/>
  <c r="S116" i="2"/>
  <c r="R116" i="2"/>
  <c r="Q116" i="2"/>
  <c r="P116" i="2"/>
  <c r="X115" i="2"/>
  <c r="W115" i="2"/>
  <c r="V115" i="2"/>
  <c r="U115" i="2"/>
  <c r="S115" i="2"/>
  <c r="R115" i="2"/>
  <c r="Q115" i="2"/>
  <c r="P115" i="2"/>
  <c r="T115" i="2" s="1"/>
  <c r="X114" i="2"/>
  <c r="W114" i="2"/>
  <c r="V114" i="2"/>
  <c r="U114" i="2"/>
  <c r="S114" i="2"/>
  <c r="R114" i="2"/>
  <c r="Q114" i="2"/>
  <c r="P114" i="2"/>
  <c r="T114" i="2" s="1"/>
  <c r="X113" i="2"/>
  <c r="W113" i="2"/>
  <c r="V113" i="2"/>
  <c r="U113" i="2"/>
  <c r="S113" i="2"/>
  <c r="R113" i="2"/>
  <c r="Q113" i="2"/>
  <c r="P113" i="2"/>
  <c r="T113" i="2" s="1"/>
  <c r="X112" i="2"/>
  <c r="W112" i="2"/>
  <c r="V112" i="2"/>
  <c r="U112" i="2"/>
  <c r="S112" i="2"/>
  <c r="R112" i="2"/>
  <c r="Q112" i="2"/>
  <c r="P112" i="2"/>
  <c r="T112" i="2" s="1"/>
  <c r="X111" i="2"/>
  <c r="W111" i="2"/>
  <c r="V111" i="2"/>
  <c r="U111" i="2"/>
  <c r="T111" i="2"/>
  <c r="S111" i="2"/>
  <c r="R111" i="2"/>
  <c r="Q111" i="2"/>
  <c r="P111" i="2"/>
  <c r="X110" i="2"/>
  <c r="W110" i="2"/>
  <c r="V110" i="2"/>
  <c r="U110" i="2"/>
  <c r="S110" i="2"/>
  <c r="R110" i="2"/>
  <c r="Q110" i="2"/>
  <c r="P110" i="2"/>
  <c r="T110" i="2" s="1"/>
  <c r="X109" i="2"/>
  <c r="W109" i="2"/>
  <c r="V109" i="2"/>
  <c r="U109" i="2"/>
  <c r="T109" i="2"/>
  <c r="S109" i="2"/>
  <c r="R109" i="2"/>
  <c r="Q109" i="2"/>
  <c r="P109" i="2"/>
  <c r="X108" i="2"/>
  <c r="W108" i="2"/>
  <c r="V108" i="2"/>
  <c r="U108" i="2"/>
  <c r="T108" i="2"/>
  <c r="S108" i="2"/>
  <c r="R108" i="2"/>
  <c r="Q108" i="2"/>
  <c r="P108" i="2"/>
  <c r="X107" i="2"/>
  <c r="W107" i="2"/>
  <c r="V107" i="2"/>
  <c r="U107" i="2"/>
  <c r="S107" i="2"/>
  <c r="R107" i="2"/>
  <c r="Q107" i="2"/>
  <c r="P107" i="2"/>
  <c r="T107" i="2" s="1"/>
  <c r="X106" i="2"/>
  <c r="W106" i="2"/>
  <c r="V106" i="2"/>
  <c r="U106" i="2"/>
  <c r="S106" i="2"/>
  <c r="R106" i="2"/>
  <c r="Q106" i="2"/>
  <c r="P106" i="2"/>
  <c r="T106" i="2" s="1"/>
  <c r="X105" i="2"/>
  <c r="W105" i="2"/>
  <c r="V105" i="2"/>
  <c r="U105" i="2"/>
  <c r="S105" i="2"/>
  <c r="R105" i="2"/>
  <c r="Q105" i="2"/>
  <c r="P105" i="2"/>
  <c r="T105" i="2" s="1"/>
  <c r="X104" i="2"/>
  <c r="W104" i="2"/>
  <c r="V104" i="2"/>
  <c r="U104" i="2"/>
  <c r="S104" i="2"/>
  <c r="R104" i="2"/>
  <c r="Q104" i="2"/>
  <c r="P104" i="2"/>
  <c r="T104" i="2" s="1"/>
  <c r="X103" i="2"/>
  <c r="W103" i="2"/>
  <c r="V103" i="2"/>
  <c r="U103" i="2"/>
  <c r="T103" i="2"/>
  <c r="S103" i="2"/>
  <c r="R103" i="2"/>
  <c r="Q103" i="2"/>
  <c r="P103" i="2"/>
  <c r="X102" i="2"/>
  <c r="W102" i="2"/>
  <c r="V102" i="2"/>
  <c r="U102" i="2"/>
  <c r="T102" i="2"/>
  <c r="S102" i="2"/>
  <c r="R102" i="2"/>
  <c r="Q102" i="2"/>
  <c r="P102" i="2"/>
  <c r="X101" i="2"/>
  <c r="W101" i="2"/>
  <c r="V101" i="2"/>
  <c r="U101" i="2"/>
  <c r="T101" i="2"/>
  <c r="S101" i="2"/>
  <c r="R101" i="2"/>
  <c r="Q101" i="2"/>
  <c r="P101" i="2"/>
  <c r="X100" i="2"/>
  <c r="W100" i="2"/>
  <c r="V100" i="2"/>
  <c r="U100" i="2"/>
  <c r="T100" i="2"/>
  <c r="S100" i="2"/>
  <c r="R100" i="2"/>
  <c r="Q100" i="2"/>
  <c r="P100" i="2"/>
  <c r="X99" i="2"/>
  <c r="W99" i="2"/>
  <c r="V99" i="2"/>
  <c r="U99" i="2"/>
  <c r="S99" i="2"/>
  <c r="R99" i="2"/>
  <c r="Q99" i="2"/>
  <c r="P99" i="2"/>
  <c r="T99" i="2" s="1"/>
  <c r="X98" i="2"/>
  <c r="W98" i="2"/>
  <c r="V98" i="2"/>
  <c r="U98" i="2"/>
  <c r="S98" i="2"/>
  <c r="R98" i="2"/>
  <c r="Q98" i="2"/>
  <c r="P98" i="2"/>
  <c r="T98" i="2" s="1"/>
  <c r="X97" i="2"/>
  <c r="W97" i="2"/>
  <c r="V97" i="2"/>
  <c r="U97" i="2"/>
  <c r="S97" i="2"/>
  <c r="R97" i="2"/>
  <c r="Q97" i="2"/>
  <c r="P97" i="2"/>
  <c r="T97" i="2" s="1"/>
  <c r="X96" i="2"/>
  <c r="W96" i="2"/>
  <c r="V96" i="2"/>
  <c r="U96" i="2"/>
  <c r="S96" i="2"/>
  <c r="R96" i="2"/>
  <c r="Q96" i="2"/>
  <c r="P96" i="2"/>
  <c r="T96" i="2" s="1"/>
  <c r="X95" i="2"/>
  <c r="W95" i="2"/>
  <c r="V95" i="2"/>
  <c r="U95" i="2"/>
  <c r="T95" i="2"/>
  <c r="S95" i="2"/>
  <c r="R95" i="2"/>
  <c r="Q95" i="2"/>
  <c r="P95" i="2"/>
  <c r="X94" i="2"/>
  <c r="W94" i="2"/>
  <c r="V94" i="2"/>
  <c r="U94" i="2"/>
  <c r="T94" i="2"/>
  <c r="S94" i="2"/>
  <c r="R94" i="2"/>
  <c r="Q94" i="2"/>
  <c r="P94" i="2"/>
  <c r="X93" i="2"/>
  <c r="W93" i="2"/>
  <c r="V93" i="2"/>
  <c r="U93" i="2"/>
  <c r="T93" i="2"/>
  <c r="S93" i="2"/>
  <c r="R93" i="2"/>
  <c r="Q93" i="2"/>
  <c r="P93" i="2"/>
  <c r="X92" i="2"/>
  <c r="W92" i="2"/>
  <c r="V92" i="2"/>
  <c r="U92" i="2"/>
  <c r="T92" i="2"/>
  <c r="S92" i="2"/>
  <c r="R92" i="2"/>
  <c r="Q92" i="2"/>
  <c r="P92" i="2"/>
  <c r="X91" i="2"/>
  <c r="W91" i="2"/>
  <c r="V91" i="2"/>
  <c r="U91" i="2"/>
  <c r="S91" i="2"/>
  <c r="R91" i="2"/>
  <c r="Q91" i="2"/>
  <c r="P91" i="2"/>
  <c r="T91" i="2" s="1"/>
  <c r="X90" i="2"/>
  <c r="W90" i="2"/>
  <c r="V90" i="2"/>
  <c r="U90" i="2"/>
  <c r="S90" i="2"/>
  <c r="R90" i="2"/>
  <c r="Q90" i="2"/>
  <c r="P90" i="2"/>
  <c r="T90" i="2" s="1"/>
  <c r="X89" i="2"/>
  <c r="W89" i="2"/>
  <c r="V89" i="2"/>
  <c r="U89" i="2"/>
  <c r="S89" i="2"/>
  <c r="R89" i="2"/>
  <c r="Q89" i="2"/>
  <c r="P89" i="2"/>
  <c r="T89" i="2" s="1"/>
  <c r="X88" i="2"/>
  <c r="W88" i="2"/>
  <c r="V88" i="2"/>
  <c r="U88" i="2"/>
  <c r="S88" i="2"/>
  <c r="R88" i="2"/>
  <c r="Q88" i="2"/>
  <c r="P88" i="2"/>
  <c r="T88" i="2" s="1"/>
  <c r="X87" i="2"/>
  <c r="W87" i="2"/>
  <c r="V87" i="2"/>
  <c r="U87" i="2"/>
  <c r="T87" i="2"/>
  <c r="S87" i="2"/>
  <c r="R87" i="2"/>
  <c r="Q87" i="2"/>
  <c r="P87" i="2"/>
  <c r="X86" i="2"/>
  <c r="W86" i="2"/>
  <c r="V86" i="2"/>
  <c r="U86" i="2"/>
  <c r="T86" i="2"/>
  <c r="S86" i="2"/>
  <c r="R86" i="2"/>
  <c r="Q86" i="2"/>
  <c r="P86" i="2"/>
  <c r="X85" i="2"/>
  <c r="W85" i="2"/>
  <c r="V85" i="2"/>
  <c r="U85" i="2"/>
  <c r="T85" i="2"/>
  <c r="S85" i="2"/>
  <c r="R85" i="2"/>
  <c r="Q85" i="2"/>
  <c r="P85" i="2"/>
  <c r="X84" i="2"/>
  <c r="W84" i="2"/>
  <c r="V84" i="2"/>
  <c r="U84" i="2"/>
  <c r="T84" i="2"/>
  <c r="S84" i="2"/>
  <c r="R84" i="2"/>
  <c r="Q84" i="2"/>
  <c r="P84" i="2"/>
  <c r="X83" i="2"/>
  <c r="W83" i="2"/>
  <c r="V83" i="2"/>
  <c r="U83" i="2"/>
  <c r="S83" i="2"/>
  <c r="R83" i="2"/>
  <c r="Q83" i="2"/>
  <c r="P83" i="2"/>
  <c r="T83" i="2" s="1"/>
  <c r="X82" i="2"/>
  <c r="W82" i="2"/>
  <c r="V82" i="2"/>
  <c r="U82" i="2"/>
  <c r="S82" i="2"/>
  <c r="R82" i="2"/>
  <c r="Q82" i="2"/>
  <c r="P82" i="2"/>
  <c r="T82" i="2" s="1"/>
  <c r="X81" i="2"/>
  <c r="W81" i="2"/>
  <c r="V81" i="2"/>
  <c r="U81" i="2"/>
  <c r="S81" i="2"/>
  <c r="R81" i="2"/>
  <c r="Q81" i="2"/>
  <c r="P81" i="2"/>
  <c r="T81" i="2" s="1"/>
  <c r="X80" i="2"/>
  <c r="W80" i="2"/>
  <c r="V80" i="2"/>
  <c r="U80" i="2"/>
  <c r="S80" i="2"/>
  <c r="R80" i="2"/>
  <c r="Q80" i="2"/>
  <c r="P80" i="2"/>
  <c r="T80" i="2" s="1"/>
  <c r="X79" i="2"/>
  <c r="W79" i="2"/>
  <c r="V79" i="2"/>
  <c r="U79" i="2"/>
  <c r="T79" i="2"/>
  <c r="S79" i="2"/>
  <c r="R79" i="2"/>
  <c r="Q79" i="2"/>
  <c r="P79" i="2"/>
  <c r="X78" i="2"/>
  <c r="W78" i="2"/>
  <c r="V78" i="2"/>
  <c r="U78" i="2"/>
  <c r="T78" i="2"/>
  <c r="S78" i="2"/>
  <c r="R78" i="2"/>
  <c r="Q78" i="2"/>
  <c r="P78" i="2"/>
  <c r="X77" i="2"/>
  <c r="W77" i="2"/>
  <c r="V77" i="2"/>
  <c r="U77" i="2"/>
  <c r="T77" i="2"/>
  <c r="S77" i="2"/>
  <c r="R77" i="2"/>
  <c r="Q77" i="2"/>
  <c r="P77" i="2"/>
  <c r="X76" i="2"/>
  <c r="W76" i="2"/>
  <c r="V76" i="2"/>
  <c r="U76" i="2"/>
  <c r="T76" i="2"/>
  <c r="S76" i="2"/>
  <c r="R76" i="2"/>
  <c r="Q76" i="2"/>
  <c r="P76" i="2"/>
  <c r="X75" i="2"/>
  <c r="W75" i="2"/>
  <c r="V75" i="2"/>
  <c r="U75" i="2"/>
  <c r="S75" i="2"/>
  <c r="R75" i="2"/>
  <c r="Q75" i="2"/>
  <c r="P75" i="2"/>
  <c r="T75" i="2" s="1"/>
  <c r="X74" i="2"/>
  <c r="W74" i="2"/>
  <c r="V74" i="2"/>
  <c r="U74" i="2"/>
  <c r="S74" i="2"/>
  <c r="R74" i="2"/>
  <c r="Q74" i="2"/>
  <c r="P74" i="2"/>
  <c r="T74" i="2" s="1"/>
  <c r="X73" i="2"/>
  <c r="W73" i="2"/>
  <c r="V73" i="2"/>
  <c r="U73" i="2"/>
  <c r="S73" i="2"/>
  <c r="R73" i="2"/>
  <c r="Q73" i="2"/>
  <c r="P73" i="2"/>
  <c r="T73" i="2" s="1"/>
  <c r="X72" i="2"/>
  <c r="W72" i="2"/>
  <c r="V72" i="2"/>
  <c r="U72" i="2"/>
  <c r="S72" i="2"/>
  <c r="R72" i="2"/>
  <c r="Q72" i="2"/>
  <c r="P72" i="2"/>
  <c r="T72" i="2" s="1"/>
  <c r="X71" i="2"/>
  <c r="W71" i="2"/>
  <c r="V71" i="2"/>
  <c r="U71" i="2"/>
  <c r="T71" i="2"/>
  <c r="S71" i="2"/>
  <c r="R71" i="2"/>
  <c r="Q71" i="2"/>
  <c r="P71" i="2"/>
  <c r="X70" i="2"/>
  <c r="W70" i="2"/>
  <c r="V70" i="2"/>
  <c r="U70" i="2"/>
  <c r="T70" i="2"/>
  <c r="S70" i="2"/>
  <c r="R70" i="2"/>
  <c r="Q70" i="2"/>
  <c r="P70" i="2"/>
  <c r="X69" i="2"/>
  <c r="W69" i="2"/>
  <c r="V69" i="2"/>
  <c r="U69" i="2"/>
  <c r="T69" i="2"/>
  <c r="S69" i="2"/>
  <c r="R69" i="2"/>
  <c r="Q69" i="2"/>
  <c r="P69" i="2"/>
  <c r="X68" i="2"/>
  <c r="W68" i="2"/>
  <c r="V68" i="2"/>
  <c r="U68" i="2"/>
  <c r="T68" i="2"/>
  <c r="S68" i="2"/>
  <c r="R68" i="2"/>
  <c r="Q68" i="2"/>
  <c r="P68" i="2"/>
  <c r="X67" i="2"/>
  <c r="W67" i="2"/>
  <c r="V67" i="2"/>
  <c r="U67" i="2"/>
  <c r="S67" i="2"/>
  <c r="R67" i="2"/>
  <c r="Q67" i="2"/>
  <c r="P67" i="2"/>
  <c r="T67" i="2" s="1"/>
  <c r="X66" i="2"/>
  <c r="W66" i="2"/>
  <c r="V66" i="2"/>
  <c r="U66" i="2"/>
  <c r="S66" i="2"/>
  <c r="R66" i="2"/>
  <c r="Q66" i="2"/>
  <c r="P66" i="2"/>
  <c r="T66" i="2" s="1"/>
  <c r="X65" i="2"/>
  <c r="W65" i="2"/>
  <c r="V65" i="2"/>
  <c r="U65" i="2"/>
  <c r="S65" i="2"/>
  <c r="R65" i="2"/>
  <c r="Q65" i="2"/>
  <c r="P65" i="2"/>
  <c r="T65" i="2" s="1"/>
  <c r="X64" i="2"/>
  <c r="W64" i="2"/>
  <c r="V64" i="2"/>
  <c r="U64" i="2"/>
  <c r="S64" i="2"/>
  <c r="R64" i="2"/>
  <c r="Q64" i="2"/>
  <c r="P64" i="2"/>
  <c r="T64" i="2" s="1"/>
  <c r="X63" i="2"/>
  <c r="W63" i="2"/>
  <c r="V63" i="2"/>
  <c r="U63" i="2"/>
  <c r="T63" i="2"/>
  <c r="S63" i="2"/>
  <c r="R63" i="2"/>
  <c r="Q63" i="2"/>
  <c r="P63" i="2"/>
  <c r="X62" i="2"/>
  <c r="W62" i="2"/>
  <c r="V62" i="2"/>
  <c r="U62" i="2"/>
  <c r="T62" i="2"/>
  <c r="S62" i="2"/>
  <c r="R62" i="2"/>
  <c r="Q62" i="2"/>
  <c r="P62" i="2"/>
  <c r="X61" i="2"/>
  <c r="W61" i="2"/>
  <c r="V61" i="2"/>
  <c r="U61" i="2"/>
  <c r="T61" i="2"/>
  <c r="S61" i="2"/>
  <c r="R61" i="2"/>
  <c r="Q61" i="2"/>
  <c r="P61" i="2"/>
  <c r="X60" i="2"/>
  <c r="W60" i="2"/>
  <c r="V60" i="2"/>
  <c r="U60" i="2"/>
  <c r="T60" i="2"/>
  <c r="S60" i="2"/>
  <c r="R60" i="2"/>
  <c r="Q60" i="2"/>
  <c r="P60" i="2"/>
  <c r="X59" i="2"/>
  <c r="W59" i="2"/>
  <c r="V59" i="2"/>
  <c r="U59" i="2"/>
  <c r="S59" i="2"/>
  <c r="R59" i="2"/>
  <c r="Q59" i="2"/>
  <c r="P59" i="2"/>
  <c r="T59" i="2" s="1"/>
  <c r="X58" i="2"/>
  <c r="W58" i="2"/>
  <c r="V58" i="2"/>
  <c r="U58" i="2"/>
  <c r="S58" i="2"/>
  <c r="R58" i="2"/>
  <c r="Q58" i="2"/>
  <c r="P58" i="2"/>
  <c r="T58" i="2" s="1"/>
  <c r="X57" i="2"/>
  <c r="W57" i="2"/>
  <c r="V57" i="2"/>
  <c r="U57" i="2"/>
  <c r="S57" i="2"/>
  <c r="R57" i="2"/>
  <c r="Q57" i="2"/>
  <c r="P57" i="2"/>
  <c r="T57" i="2" s="1"/>
  <c r="X56" i="2"/>
  <c r="W56" i="2"/>
  <c r="V56" i="2"/>
  <c r="U56" i="2"/>
  <c r="S56" i="2"/>
  <c r="R56" i="2"/>
  <c r="Q56" i="2"/>
  <c r="P56" i="2"/>
  <c r="T56" i="2" s="1"/>
  <c r="X55" i="2"/>
  <c r="W55" i="2"/>
  <c r="V55" i="2"/>
  <c r="U55" i="2"/>
  <c r="T55" i="2"/>
  <c r="S55" i="2"/>
  <c r="R55" i="2"/>
  <c r="Q55" i="2"/>
  <c r="P55" i="2"/>
  <c r="X54" i="2"/>
  <c r="W54" i="2"/>
  <c r="V54" i="2"/>
  <c r="U54" i="2"/>
  <c r="T54" i="2"/>
  <c r="S54" i="2"/>
  <c r="R54" i="2"/>
  <c r="Q54" i="2"/>
  <c r="P54" i="2"/>
  <c r="X53" i="2"/>
  <c r="W53" i="2"/>
  <c r="V53" i="2"/>
  <c r="U53" i="2"/>
  <c r="T53" i="2"/>
  <c r="S53" i="2"/>
  <c r="R53" i="2"/>
  <c r="Q53" i="2"/>
  <c r="P53" i="2"/>
  <c r="X52" i="2"/>
  <c r="W52" i="2"/>
  <c r="V52" i="2"/>
  <c r="U52" i="2"/>
  <c r="T52" i="2"/>
  <c r="S52" i="2"/>
  <c r="R52" i="2"/>
  <c r="Q52" i="2"/>
  <c r="P52" i="2"/>
  <c r="X51" i="2"/>
  <c r="W51" i="2"/>
  <c r="V51" i="2"/>
  <c r="U51" i="2"/>
  <c r="S51" i="2"/>
  <c r="R51" i="2"/>
  <c r="Q51" i="2"/>
  <c r="P51" i="2"/>
  <c r="T51" i="2" s="1"/>
  <c r="X50" i="2"/>
  <c r="W50" i="2"/>
  <c r="V50" i="2"/>
  <c r="U50" i="2"/>
  <c r="S50" i="2"/>
  <c r="R50" i="2"/>
  <c r="Q50" i="2"/>
  <c r="P50" i="2"/>
  <c r="T50" i="2" s="1"/>
  <c r="X49" i="2"/>
  <c r="W49" i="2"/>
  <c r="V49" i="2"/>
  <c r="U49" i="2"/>
  <c r="S49" i="2"/>
  <c r="R49" i="2"/>
  <c r="Q49" i="2"/>
  <c r="P49" i="2"/>
  <c r="T49" i="2" s="1"/>
  <c r="X48" i="2"/>
  <c r="W48" i="2"/>
  <c r="V48" i="2"/>
  <c r="U48" i="2"/>
  <c r="S48" i="2"/>
  <c r="R48" i="2"/>
  <c r="Q48" i="2"/>
  <c r="P48" i="2"/>
  <c r="T48" i="2" s="1"/>
  <c r="X47" i="2"/>
  <c r="W47" i="2"/>
  <c r="V47" i="2"/>
  <c r="U47" i="2"/>
  <c r="T47" i="2"/>
  <c r="S47" i="2"/>
  <c r="R47" i="2"/>
  <c r="Q47" i="2"/>
  <c r="P47" i="2"/>
  <c r="X46" i="2"/>
  <c r="W46" i="2"/>
  <c r="V46" i="2"/>
  <c r="U46" i="2"/>
  <c r="T46" i="2"/>
  <c r="S46" i="2"/>
  <c r="R46" i="2"/>
  <c r="Q46" i="2"/>
  <c r="P46" i="2"/>
  <c r="X45" i="2"/>
  <c r="W45" i="2"/>
  <c r="V45" i="2"/>
  <c r="U45" i="2"/>
  <c r="T45" i="2"/>
  <c r="S45" i="2"/>
  <c r="R45" i="2"/>
  <c r="Q45" i="2"/>
  <c r="P45" i="2"/>
  <c r="X44" i="2"/>
  <c r="W44" i="2"/>
  <c r="V44" i="2"/>
  <c r="U44" i="2"/>
  <c r="T44" i="2"/>
  <c r="S44" i="2"/>
  <c r="R44" i="2"/>
  <c r="Q44" i="2"/>
  <c r="P44" i="2"/>
  <c r="X43" i="2"/>
  <c r="W43" i="2"/>
  <c r="V43" i="2"/>
  <c r="U43" i="2"/>
  <c r="S43" i="2"/>
  <c r="R43" i="2"/>
  <c r="Q43" i="2"/>
  <c r="P43" i="2"/>
  <c r="T43" i="2" s="1"/>
  <c r="X42" i="2"/>
  <c r="W42" i="2"/>
  <c r="V42" i="2"/>
  <c r="U42" i="2"/>
  <c r="S42" i="2"/>
  <c r="R42" i="2"/>
  <c r="Q42" i="2"/>
  <c r="P42" i="2"/>
  <c r="T42" i="2" s="1"/>
  <c r="X41" i="2"/>
  <c r="W41" i="2"/>
  <c r="V41" i="2"/>
  <c r="U41" i="2"/>
  <c r="S41" i="2"/>
  <c r="R41" i="2"/>
  <c r="Q41" i="2"/>
  <c r="P41" i="2"/>
  <c r="T41" i="2" s="1"/>
  <c r="X40" i="2"/>
  <c r="W40" i="2"/>
  <c r="V40" i="2"/>
  <c r="U40" i="2"/>
  <c r="S40" i="2"/>
  <c r="R40" i="2"/>
  <c r="Q40" i="2"/>
  <c r="P40" i="2"/>
  <c r="T40" i="2" s="1"/>
  <c r="X39" i="2"/>
  <c r="W39" i="2"/>
  <c r="V39" i="2"/>
  <c r="U39" i="2"/>
  <c r="T39" i="2"/>
  <c r="S39" i="2"/>
  <c r="R39" i="2"/>
  <c r="Q39" i="2"/>
  <c r="P39" i="2"/>
  <c r="X38" i="2"/>
  <c r="W38" i="2"/>
  <c r="V38" i="2"/>
  <c r="U38" i="2"/>
  <c r="T38" i="2"/>
  <c r="S38" i="2"/>
  <c r="R38" i="2"/>
  <c r="Q38" i="2"/>
  <c r="P38" i="2"/>
  <c r="X37" i="2"/>
  <c r="W37" i="2"/>
  <c r="V37" i="2"/>
  <c r="U37" i="2"/>
  <c r="T37" i="2"/>
  <c r="S37" i="2"/>
  <c r="R37" i="2"/>
  <c r="Q37" i="2"/>
  <c r="P37" i="2"/>
  <c r="X36" i="2"/>
  <c r="W36" i="2"/>
  <c r="V36" i="2"/>
  <c r="U36" i="2"/>
  <c r="T36" i="2"/>
  <c r="S36" i="2"/>
  <c r="R36" i="2"/>
  <c r="Q36" i="2"/>
  <c r="P36" i="2"/>
  <c r="X35" i="2"/>
  <c r="W35" i="2"/>
  <c r="V35" i="2"/>
  <c r="U35" i="2"/>
  <c r="S35" i="2"/>
  <c r="R35" i="2"/>
  <c r="Q35" i="2"/>
  <c r="P35" i="2"/>
  <c r="T35" i="2" s="1"/>
  <c r="X34" i="2"/>
  <c r="W34" i="2"/>
  <c r="V34" i="2"/>
  <c r="U34" i="2"/>
  <c r="S34" i="2"/>
  <c r="R34" i="2"/>
  <c r="Q34" i="2"/>
  <c r="P34" i="2"/>
  <c r="T34" i="2" s="1"/>
  <c r="X33" i="2"/>
  <c r="W33" i="2"/>
  <c r="V33" i="2"/>
  <c r="U33" i="2"/>
  <c r="S33" i="2"/>
  <c r="R33" i="2"/>
  <c r="Q33" i="2"/>
  <c r="P33" i="2"/>
  <c r="T33" i="2" s="1"/>
  <c r="X32" i="2"/>
  <c r="W32" i="2"/>
  <c r="V32" i="2"/>
  <c r="U32" i="2"/>
  <c r="S32" i="2"/>
  <c r="R32" i="2"/>
  <c r="Q32" i="2"/>
  <c r="P32" i="2"/>
  <c r="T32" i="2" s="1"/>
  <c r="X31" i="2"/>
  <c r="W31" i="2"/>
  <c r="V31" i="2"/>
  <c r="U31" i="2"/>
  <c r="T31" i="2"/>
  <c r="S31" i="2"/>
  <c r="R31" i="2"/>
  <c r="Q31" i="2"/>
  <c r="P31" i="2"/>
  <c r="X30" i="2"/>
  <c r="W30" i="2"/>
  <c r="V30" i="2"/>
  <c r="U30" i="2"/>
  <c r="T30" i="2"/>
  <c r="S30" i="2"/>
  <c r="R30" i="2"/>
  <c r="Q30" i="2"/>
  <c r="P30" i="2"/>
  <c r="X29" i="2"/>
  <c r="W29" i="2"/>
  <c r="V29" i="2"/>
  <c r="U29" i="2"/>
  <c r="T29" i="2"/>
  <c r="S29" i="2"/>
  <c r="R29" i="2"/>
  <c r="Q29" i="2"/>
  <c r="P29" i="2"/>
  <c r="X28" i="2"/>
  <c r="W28" i="2"/>
  <c r="V28" i="2"/>
  <c r="U28" i="2"/>
  <c r="T28" i="2"/>
  <c r="S28" i="2"/>
  <c r="R28" i="2"/>
  <c r="Q28" i="2"/>
  <c r="P28" i="2"/>
  <c r="X27" i="2"/>
  <c r="W27" i="2"/>
  <c r="V27" i="2"/>
  <c r="U27" i="2"/>
  <c r="S27" i="2"/>
  <c r="R27" i="2"/>
  <c r="Q27" i="2"/>
  <c r="P27" i="2"/>
  <c r="T27" i="2" s="1"/>
  <c r="X26" i="2"/>
  <c r="W26" i="2"/>
  <c r="V26" i="2"/>
  <c r="U26" i="2"/>
  <c r="S26" i="2"/>
  <c r="R26" i="2"/>
  <c r="Q26" i="2"/>
  <c r="P26" i="2"/>
  <c r="T26" i="2" s="1"/>
  <c r="X25" i="2"/>
  <c r="W25" i="2"/>
  <c r="V25" i="2"/>
  <c r="U25" i="2"/>
  <c r="S25" i="2"/>
  <c r="R25" i="2"/>
  <c r="Q25" i="2"/>
  <c r="P25" i="2"/>
  <c r="T25" i="2" s="1"/>
  <c r="X24" i="2"/>
  <c r="W24" i="2"/>
  <c r="V24" i="2"/>
  <c r="U24" i="2"/>
  <c r="S24" i="2"/>
  <c r="R24" i="2"/>
  <c r="Q24" i="2"/>
  <c r="P24" i="2"/>
  <c r="T24" i="2" s="1"/>
  <c r="X23" i="2"/>
  <c r="W23" i="2"/>
  <c r="V23" i="2"/>
  <c r="U23" i="2"/>
  <c r="T23" i="2"/>
  <c r="S23" i="2"/>
  <c r="R23" i="2"/>
  <c r="Q23" i="2"/>
  <c r="P23" i="2"/>
  <c r="X22" i="2"/>
  <c r="W22" i="2"/>
  <c r="V22" i="2"/>
  <c r="U22" i="2"/>
  <c r="T22" i="2"/>
  <c r="S22" i="2"/>
  <c r="R22" i="2"/>
  <c r="Q22" i="2"/>
  <c r="P22" i="2"/>
  <c r="X21" i="2"/>
  <c r="W21" i="2"/>
  <c r="V21" i="2"/>
  <c r="U21" i="2"/>
  <c r="T21" i="2"/>
  <c r="S21" i="2"/>
  <c r="R21" i="2"/>
  <c r="Q21" i="2"/>
  <c r="P21" i="2"/>
  <c r="X20" i="2"/>
  <c r="W20" i="2"/>
  <c r="V20" i="2"/>
  <c r="U20" i="2"/>
  <c r="T20" i="2"/>
  <c r="S20" i="2"/>
  <c r="R20" i="2"/>
  <c r="Q20" i="2"/>
  <c r="P20" i="2"/>
  <c r="X19" i="2"/>
  <c r="W19" i="2"/>
  <c r="V19" i="2"/>
  <c r="U19" i="2"/>
  <c r="S19" i="2"/>
  <c r="R19" i="2"/>
  <c r="Q19" i="2"/>
  <c r="P19" i="2"/>
  <c r="T19" i="2" s="1"/>
  <c r="X18" i="2"/>
  <c r="W18" i="2"/>
  <c r="V18" i="2"/>
  <c r="U18" i="2"/>
  <c r="S18" i="2"/>
  <c r="R18" i="2"/>
  <c r="Q18" i="2"/>
  <c r="P18" i="2"/>
  <c r="T18" i="2" s="1"/>
  <c r="X17" i="2"/>
  <c r="W17" i="2"/>
  <c r="V17" i="2"/>
  <c r="U17" i="2"/>
  <c r="S17" i="2"/>
  <c r="R17" i="2"/>
  <c r="Q17" i="2"/>
  <c r="P17" i="2"/>
  <c r="T17" i="2" s="1"/>
  <c r="X16" i="2"/>
  <c r="W16" i="2"/>
  <c r="V16" i="2"/>
  <c r="U16" i="2"/>
  <c r="S16" i="2"/>
  <c r="R16" i="2"/>
  <c r="Q16" i="2"/>
  <c r="P16" i="2"/>
  <c r="T16" i="2" s="1"/>
  <c r="X15" i="2"/>
  <c r="W15" i="2"/>
  <c r="V15" i="2"/>
  <c r="U15" i="2"/>
  <c r="T15" i="2"/>
  <c r="S15" i="2"/>
  <c r="R15" i="2"/>
  <c r="Q15" i="2"/>
  <c r="P15" i="2"/>
  <c r="X14" i="2"/>
  <c r="W14" i="2"/>
  <c r="V14" i="2"/>
  <c r="U14" i="2"/>
  <c r="T14" i="2"/>
  <c r="S14" i="2"/>
  <c r="R14" i="2"/>
  <c r="Q14" i="2"/>
  <c r="P14" i="2"/>
  <c r="X13" i="2"/>
  <c r="W13" i="2"/>
  <c r="V13" i="2"/>
  <c r="U13" i="2"/>
  <c r="T13" i="2"/>
  <c r="S13" i="2"/>
  <c r="R13" i="2"/>
  <c r="Q13" i="2"/>
  <c r="P13" i="2"/>
  <c r="X12" i="2"/>
  <c r="W12" i="2"/>
  <c r="V12" i="2"/>
  <c r="U12" i="2"/>
  <c r="T12" i="2"/>
  <c r="S12" i="2"/>
  <c r="R12" i="2"/>
  <c r="Q12" i="2"/>
  <c r="P12" i="2"/>
  <c r="X11" i="2"/>
  <c r="W11" i="2"/>
  <c r="V11" i="2"/>
  <c r="U11" i="2"/>
  <c r="S11" i="2"/>
  <c r="R11" i="2"/>
  <c r="Q11" i="2"/>
  <c r="P11" i="2"/>
  <c r="T11" i="2" s="1"/>
  <c r="X10" i="2"/>
  <c r="W10" i="2"/>
  <c r="V10" i="2"/>
  <c r="U10" i="2"/>
  <c r="S10" i="2"/>
  <c r="R10" i="2"/>
  <c r="Q10" i="2"/>
  <c r="P10" i="2"/>
  <c r="T10" i="2" s="1"/>
  <c r="X9" i="2"/>
  <c r="W9" i="2"/>
  <c r="V9" i="2"/>
  <c r="U9" i="2"/>
  <c r="S9" i="2"/>
  <c r="R9" i="2"/>
  <c r="Q9" i="2"/>
  <c r="P9" i="2"/>
  <c r="T9" i="2" s="1"/>
  <c r="X8" i="2"/>
  <c r="W8" i="2"/>
  <c r="V8" i="2"/>
  <c r="U8" i="2"/>
  <c r="S8" i="2"/>
  <c r="R8" i="2"/>
  <c r="Q8" i="2"/>
  <c r="P8" i="2"/>
  <c r="T8" i="2" s="1"/>
  <c r="X7" i="2"/>
  <c r="W7" i="2"/>
  <c r="V7" i="2"/>
  <c r="U7" i="2"/>
  <c r="T7" i="2"/>
  <c r="S7" i="2"/>
  <c r="R7" i="2"/>
  <c r="Q7" i="2"/>
  <c r="P7" i="2"/>
  <c r="X6" i="2"/>
  <c r="W6" i="2"/>
  <c r="V6" i="2"/>
  <c r="U6" i="2"/>
  <c r="T6" i="2"/>
  <c r="S6" i="2"/>
  <c r="R6" i="2"/>
  <c r="Q6" i="2"/>
  <c r="P6" i="2"/>
  <c r="X5" i="2"/>
  <c r="W5" i="2"/>
  <c r="V5" i="2"/>
  <c r="U5" i="2"/>
  <c r="T5" i="2"/>
  <c r="S5" i="2"/>
  <c r="R5" i="2"/>
  <c r="Q5" i="2"/>
  <c r="P5" i="2"/>
  <c r="X4" i="2"/>
  <c r="W4" i="2"/>
  <c r="V4" i="2"/>
  <c r="U4" i="2"/>
  <c r="T4" i="2"/>
  <c r="S4" i="2"/>
  <c r="R4" i="2"/>
  <c r="Q4" i="2"/>
  <c r="P4" i="2"/>
  <c r="X3" i="2"/>
  <c r="W3" i="2"/>
  <c r="V3" i="2"/>
  <c r="U3" i="2"/>
  <c r="S3" i="2"/>
  <c r="R3" i="2"/>
  <c r="Q3" i="2"/>
  <c r="P3" i="2"/>
  <c r="T3" i="2" s="1"/>
  <c r="X2" i="2"/>
  <c r="W2" i="2"/>
  <c r="V2" i="2"/>
  <c r="U2" i="2"/>
  <c r="S2" i="2"/>
  <c r="R2" i="2"/>
  <c r="Q2" i="2"/>
  <c r="P2" i="2"/>
  <c r="T2" i="2"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2" i="1"/>
  <c r="V1001" i="1"/>
  <c r="U1001" i="1"/>
  <c r="S1001" i="1"/>
  <c r="R1001" i="1"/>
  <c r="Q1001" i="1"/>
  <c r="P1001" i="1"/>
  <c r="T1001" i="1" s="1"/>
  <c r="V1000" i="1"/>
  <c r="U1000" i="1"/>
  <c r="S1000" i="1"/>
  <c r="R1000" i="1"/>
  <c r="Q1000" i="1"/>
  <c r="P1000" i="1"/>
  <c r="T1000" i="1" s="1"/>
  <c r="V999" i="1"/>
  <c r="U999" i="1"/>
  <c r="S999" i="1"/>
  <c r="R999" i="1"/>
  <c r="Q999" i="1"/>
  <c r="P999" i="1"/>
  <c r="T999" i="1" s="1"/>
  <c r="V998" i="1"/>
  <c r="U998" i="1"/>
  <c r="S998" i="1"/>
  <c r="R998" i="1"/>
  <c r="Q998" i="1"/>
  <c r="P998" i="1"/>
  <c r="T998" i="1" s="1"/>
  <c r="V997" i="1"/>
  <c r="U997" i="1"/>
  <c r="T997" i="1"/>
  <c r="S997" i="1"/>
  <c r="R997" i="1"/>
  <c r="Q997" i="1"/>
  <c r="P997" i="1"/>
  <c r="V996" i="1"/>
  <c r="U996" i="1"/>
  <c r="T996" i="1"/>
  <c r="S996" i="1"/>
  <c r="R996" i="1"/>
  <c r="Q996" i="1"/>
  <c r="P996" i="1"/>
  <c r="V995" i="1"/>
  <c r="U995" i="1"/>
  <c r="S995" i="1"/>
  <c r="R995" i="1"/>
  <c r="Q995" i="1"/>
  <c r="P995" i="1"/>
  <c r="T995" i="1" s="1"/>
  <c r="V994" i="1"/>
  <c r="U994" i="1"/>
  <c r="S994" i="1"/>
  <c r="R994" i="1"/>
  <c r="Q994" i="1"/>
  <c r="P994" i="1"/>
  <c r="T994" i="1" s="1"/>
  <c r="V993" i="1"/>
  <c r="U993" i="1"/>
  <c r="S993" i="1"/>
  <c r="R993" i="1"/>
  <c r="Q993" i="1"/>
  <c r="P993" i="1"/>
  <c r="T993" i="1" s="1"/>
  <c r="V992" i="1"/>
  <c r="U992" i="1"/>
  <c r="S992" i="1"/>
  <c r="R992" i="1"/>
  <c r="Q992" i="1"/>
  <c r="P992" i="1"/>
  <c r="T992" i="1" s="1"/>
  <c r="V991" i="1"/>
  <c r="U991" i="1"/>
  <c r="S991" i="1"/>
  <c r="R991" i="1"/>
  <c r="Q991" i="1"/>
  <c r="P991" i="1"/>
  <c r="T991" i="1" s="1"/>
  <c r="V990" i="1"/>
  <c r="U990" i="1"/>
  <c r="S990" i="1"/>
  <c r="R990" i="1"/>
  <c r="Q990" i="1"/>
  <c r="P990" i="1"/>
  <c r="T990" i="1" s="1"/>
  <c r="V989" i="1"/>
  <c r="U989" i="1"/>
  <c r="S989" i="1"/>
  <c r="R989" i="1"/>
  <c r="Q989" i="1"/>
  <c r="P989" i="1"/>
  <c r="T989" i="1" s="1"/>
  <c r="V988" i="1"/>
  <c r="U988" i="1"/>
  <c r="S988" i="1"/>
  <c r="R988" i="1"/>
  <c r="Q988" i="1"/>
  <c r="P988" i="1"/>
  <c r="T988" i="1" s="1"/>
  <c r="V987" i="1"/>
  <c r="U987" i="1"/>
  <c r="T987" i="1"/>
  <c r="S987" i="1"/>
  <c r="R987" i="1"/>
  <c r="Q987" i="1"/>
  <c r="P987" i="1"/>
  <c r="V986" i="1"/>
  <c r="U986" i="1"/>
  <c r="S986" i="1"/>
  <c r="R986" i="1"/>
  <c r="Q986" i="1"/>
  <c r="P986" i="1"/>
  <c r="T986" i="1" s="1"/>
  <c r="V985" i="1"/>
  <c r="U985" i="1"/>
  <c r="S985" i="1"/>
  <c r="R985" i="1"/>
  <c r="Q985" i="1"/>
  <c r="P985" i="1"/>
  <c r="T985" i="1" s="1"/>
  <c r="V984" i="1"/>
  <c r="U984" i="1"/>
  <c r="S984" i="1"/>
  <c r="R984" i="1"/>
  <c r="Q984" i="1"/>
  <c r="P984" i="1"/>
  <c r="T984" i="1" s="1"/>
  <c r="V983" i="1"/>
  <c r="U983" i="1"/>
  <c r="S983" i="1"/>
  <c r="R983" i="1"/>
  <c r="Q983" i="1"/>
  <c r="P983" i="1"/>
  <c r="T983" i="1" s="1"/>
  <c r="V982" i="1"/>
  <c r="U982" i="1"/>
  <c r="S982" i="1"/>
  <c r="R982" i="1"/>
  <c r="Q982" i="1"/>
  <c r="P982" i="1"/>
  <c r="T982" i="1" s="1"/>
  <c r="V981" i="1"/>
  <c r="U981" i="1"/>
  <c r="T981" i="1"/>
  <c r="S981" i="1"/>
  <c r="R981" i="1"/>
  <c r="Q981" i="1"/>
  <c r="P981" i="1"/>
  <c r="V980" i="1"/>
  <c r="U980" i="1"/>
  <c r="S980" i="1"/>
  <c r="R980" i="1"/>
  <c r="Q980" i="1"/>
  <c r="P980" i="1"/>
  <c r="T980" i="1" s="1"/>
  <c r="V979" i="1"/>
  <c r="U979" i="1"/>
  <c r="S979" i="1"/>
  <c r="R979" i="1"/>
  <c r="Q979" i="1"/>
  <c r="P979" i="1"/>
  <c r="T979" i="1" s="1"/>
  <c r="V978" i="1"/>
  <c r="U978" i="1"/>
  <c r="T978" i="1"/>
  <c r="S978" i="1"/>
  <c r="R978" i="1"/>
  <c r="Q978" i="1"/>
  <c r="P978" i="1"/>
  <c r="V977" i="1"/>
  <c r="U977" i="1"/>
  <c r="S977" i="1"/>
  <c r="R977" i="1"/>
  <c r="Q977" i="1"/>
  <c r="P977" i="1"/>
  <c r="T977" i="1" s="1"/>
  <c r="V976" i="1"/>
  <c r="U976" i="1"/>
  <c r="S976" i="1"/>
  <c r="R976" i="1"/>
  <c r="Q976" i="1"/>
  <c r="P976" i="1"/>
  <c r="T976" i="1" s="1"/>
  <c r="V975" i="1"/>
  <c r="U975" i="1"/>
  <c r="S975" i="1"/>
  <c r="R975" i="1"/>
  <c r="Q975" i="1"/>
  <c r="P975" i="1"/>
  <c r="T975" i="1" s="1"/>
  <c r="V974" i="1"/>
  <c r="U974" i="1"/>
  <c r="S974" i="1"/>
  <c r="R974" i="1"/>
  <c r="Q974" i="1"/>
  <c r="P974" i="1"/>
  <c r="T974" i="1" s="1"/>
  <c r="V973" i="1"/>
  <c r="U973" i="1"/>
  <c r="S973" i="1"/>
  <c r="R973" i="1"/>
  <c r="Q973" i="1"/>
  <c r="P973" i="1"/>
  <c r="T973" i="1" s="1"/>
  <c r="V972" i="1"/>
  <c r="U972" i="1"/>
  <c r="T972" i="1"/>
  <c r="S972" i="1"/>
  <c r="R972" i="1"/>
  <c r="Q972" i="1"/>
  <c r="P972" i="1"/>
  <c r="V971" i="1"/>
  <c r="U971" i="1"/>
  <c r="T971" i="1"/>
  <c r="S971" i="1"/>
  <c r="R971" i="1"/>
  <c r="Q971" i="1"/>
  <c r="P971" i="1"/>
  <c r="V970" i="1"/>
  <c r="U970" i="1"/>
  <c r="S970" i="1"/>
  <c r="R970" i="1"/>
  <c r="Q970" i="1"/>
  <c r="P970" i="1"/>
  <c r="T970" i="1" s="1"/>
  <c r="V969" i="1"/>
  <c r="U969" i="1"/>
  <c r="S969" i="1"/>
  <c r="R969" i="1"/>
  <c r="Q969" i="1"/>
  <c r="P969" i="1"/>
  <c r="T969" i="1" s="1"/>
  <c r="V968" i="1"/>
  <c r="U968" i="1"/>
  <c r="S968" i="1"/>
  <c r="R968" i="1"/>
  <c r="Q968" i="1"/>
  <c r="P968" i="1"/>
  <c r="T968" i="1" s="1"/>
  <c r="V967" i="1"/>
  <c r="U967" i="1"/>
  <c r="S967" i="1"/>
  <c r="R967" i="1"/>
  <c r="Q967" i="1"/>
  <c r="P967" i="1"/>
  <c r="T967" i="1" s="1"/>
  <c r="V966" i="1"/>
  <c r="U966" i="1"/>
  <c r="S966" i="1"/>
  <c r="R966" i="1"/>
  <c r="Q966" i="1"/>
  <c r="P966" i="1"/>
  <c r="T966" i="1" s="1"/>
  <c r="V965" i="1"/>
  <c r="U965" i="1"/>
  <c r="T965" i="1"/>
  <c r="S965" i="1"/>
  <c r="R965" i="1"/>
  <c r="Q965" i="1"/>
  <c r="P965" i="1"/>
  <c r="V964" i="1"/>
  <c r="U964" i="1"/>
  <c r="S964" i="1"/>
  <c r="R964" i="1"/>
  <c r="Q964" i="1"/>
  <c r="P964" i="1"/>
  <c r="T964" i="1" s="1"/>
  <c r="V963" i="1"/>
  <c r="U963" i="1"/>
  <c r="S963" i="1"/>
  <c r="R963" i="1"/>
  <c r="Q963" i="1"/>
  <c r="P963" i="1"/>
  <c r="T963" i="1" s="1"/>
  <c r="V962" i="1"/>
  <c r="U962" i="1"/>
  <c r="T962" i="1"/>
  <c r="S962" i="1"/>
  <c r="R962" i="1"/>
  <c r="Q962" i="1"/>
  <c r="P962" i="1"/>
  <c r="V961" i="1"/>
  <c r="U961" i="1"/>
  <c r="S961" i="1"/>
  <c r="R961" i="1"/>
  <c r="Q961" i="1"/>
  <c r="P961" i="1"/>
  <c r="T961" i="1" s="1"/>
  <c r="V960" i="1"/>
  <c r="U960" i="1"/>
  <c r="S960" i="1"/>
  <c r="R960" i="1"/>
  <c r="Q960" i="1"/>
  <c r="P960" i="1"/>
  <c r="T960" i="1" s="1"/>
  <c r="V959" i="1"/>
  <c r="U959" i="1"/>
  <c r="S959" i="1"/>
  <c r="R959" i="1"/>
  <c r="Q959" i="1"/>
  <c r="P959" i="1"/>
  <c r="T959" i="1" s="1"/>
  <c r="V958" i="1"/>
  <c r="U958" i="1"/>
  <c r="S958" i="1"/>
  <c r="R958" i="1"/>
  <c r="Q958" i="1"/>
  <c r="P958" i="1"/>
  <c r="T958" i="1" s="1"/>
  <c r="V957" i="1"/>
  <c r="U957" i="1"/>
  <c r="S957" i="1"/>
  <c r="R957" i="1"/>
  <c r="Q957" i="1"/>
  <c r="P957" i="1"/>
  <c r="T957" i="1" s="1"/>
  <c r="V956" i="1"/>
  <c r="U956" i="1"/>
  <c r="S956" i="1"/>
  <c r="R956" i="1"/>
  <c r="Q956" i="1"/>
  <c r="P956" i="1"/>
  <c r="T956" i="1" s="1"/>
  <c r="V955" i="1"/>
  <c r="U955" i="1"/>
  <c r="T955" i="1"/>
  <c r="S955" i="1"/>
  <c r="R955" i="1"/>
  <c r="Q955" i="1"/>
  <c r="P955" i="1"/>
  <c r="V954" i="1"/>
  <c r="U954" i="1"/>
  <c r="S954" i="1"/>
  <c r="R954" i="1"/>
  <c r="Q954" i="1"/>
  <c r="P954" i="1"/>
  <c r="T954" i="1" s="1"/>
  <c r="V953" i="1"/>
  <c r="U953" i="1"/>
  <c r="S953" i="1"/>
  <c r="R953" i="1"/>
  <c r="Q953" i="1"/>
  <c r="P953" i="1"/>
  <c r="T953" i="1" s="1"/>
  <c r="V952" i="1"/>
  <c r="U952" i="1"/>
  <c r="S952" i="1"/>
  <c r="R952" i="1"/>
  <c r="Q952" i="1"/>
  <c r="P952" i="1"/>
  <c r="T952" i="1" s="1"/>
  <c r="V951" i="1"/>
  <c r="U951" i="1"/>
  <c r="S951" i="1"/>
  <c r="R951" i="1"/>
  <c r="Q951" i="1"/>
  <c r="P951" i="1"/>
  <c r="T951" i="1" s="1"/>
  <c r="V950" i="1"/>
  <c r="U950" i="1"/>
  <c r="S950" i="1"/>
  <c r="R950" i="1"/>
  <c r="Q950" i="1"/>
  <c r="P950" i="1"/>
  <c r="T950" i="1" s="1"/>
  <c r="V949" i="1"/>
  <c r="U949" i="1"/>
  <c r="T949" i="1"/>
  <c r="S949" i="1"/>
  <c r="R949" i="1"/>
  <c r="Q949" i="1"/>
  <c r="P949" i="1"/>
  <c r="V948" i="1"/>
  <c r="U948" i="1"/>
  <c r="S948" i="1"/>
  <c r="R948" i="1"/>
  <c r="Q948" i="1"/>
  <c r="P948" i="1"/>
  <c r="T948" i="1" s="1"/>
  <c r="V947" i="1"/>
  <c r="U947" i="1"/>
  <c r="S947" i="1"/>
  <c r="R947" i="1"/>
  <c r="Q947" i="1"/>
  <c r="P947" i="1"/>
  <c r="T947" i="1" s="1"/>
  <c r="V946" i="1"/>
  <c r="U946" i="1"/>
  <c r="T946" i="1"/>
  <c r="S946" i="1"/>
  <c r="R946" i="1"/>
  <c r="Q946" i="1"/>
  <c r="P946" i="1"/>
  <c r="V945" i="1"/>
  <c r="U945" i="1"/>
  <c r="S945" i="1"/>
  <c r="R945" i="1"/>
  <c r="Q945" i="1"/>
  <c r="P945" i="1"/>
  <c r="T945" i="1" s="1"/>
  <c r="V944" i="1"/>
  <c r="U944" i="1"/>
  <c r="S944" i="1"/>
  <c r="R944" i="1"/>
  <c r="Q944" i="1"/>
  <c r="P944" i="1"/>
  <c r="T944" i="1" s="1"/>
  <c r="V943" i="1"/>
  <c r="U943" i="1"/>
  <c r="S943" i="1"/>
  <c r="R943" i="1"/>
  <c r="Q943" i="1"/>
  <c r="P943" i="1"/>
  <c r="T943" i="1" s="1"/>
  <c r="V942" i="1"/>
  <c r="U942" i="1"/>
  <c r="S942" i="1"/>
  <c r="R942" i="1"/>
  <c r="Q942" i="1"/>
  <c r="P942" i="1"/>
  <c r="T942" i="1" s="1"/>
  <c r="V941" i="1"/>
  <c r="U941" i="1"/>
  <c r="S941" i="1"/>
  <c r="R941" i="1"/>
  <c r="Q941" i="1"/>
  <c r="P941" i="1"/>
  <c r="T941" i="1" s="1"/>
  <c r="V940" i="1"/>
  <c r="U940" i="1"/>
  <c r="S940" i="1"/>
  <c r="R940" i="1"/>
  <c r="Q940" i="1"/>
  <c r="P940" i="1"/>
  <c r="T940" i="1" s="1"/>
  <c r="V939" i="1"/>
  <c r="U939" i="1"/>
  <c r="T939" i="1"/>
  <c r="S939" i="1"/>
  <c r="R939" i="1"/>
  <c r="Q939" i="1"/>
  <c r="P939" i="1"/>
  <c r="V938" i="1"/>
  <c r="U938" i="1"/>
  <c r="S938" i="1"/>
  <c r="R938" i="1"/>
  <c r="Q938" i="1"/>
  <c r="P938" i="1"/>
  <c r="T938" i="1" s="1"/>
  <c r="V937" i="1"/>
  <c r="U937" i="1"/>
  <c r="S937" i="1"/>
  <c r="R937" i="1"/>
  <c r="Q937" i="1"/>
  <c r="P937" i="1"/>
  <c r="T937" i="1" s="1"/>
  <c r="V936" i="1"/>
  <c r="U936" i="1"/>
  <c r="S936" i="1"/>
  <c r="R936" i="1"/>
  <c r="Q936" i="1"/>
  <c r="P936" i="1"/>
  <c r="T936" i="1" s="1"/>
  <c r="V935" i="1"/>
  <c r="U935" i="1"/>
  <c r="S935" i="1"/>
  <c r="R935" i="1"/>
  <c r="Q935" i="1"/>
  <c r="P935" i="1"/>
  <c r="T935" i="1" s="1"/>
  <c r="V934" i="1"/>
  <c r="U934" i="1"/>
  <c r="S934" i="1"/>
  <c r="R934" i="1"/>
  <c r="Q934" i="1"/>
  <c r="P934" i="1"/>
  <c r="T934" i="1" s="1"/>
  <c r="V933" i="1"/>
  <c r="U933" i="1"/>
  <c r="T933" i="1"/>
  <c r="S933" i="1"/>
  <c r="R933" i="1"/>
  <c r="Q933" i="1"/>
  <c r="P933" i="1"/>
  <c r="V932" i="1"/>
  <c r="U932" i="1"/>
  <c r="S932" i="1"/>
  <c r="R932" i="1"/>
  <c r="Q932" i="1"/>
  <c r="P932" i="1"/>
  <c r="T932" i="1" s="1"/>
  <c r="V931" i="1"/>
  <c r="U931" i="1"/>
  <c r="S931" i="1"/>
  <c r="R931" i="1"/>
  <c r="Q931" i="1"/>
  <c r="P931" i="1"/>
  <c r="T931" i="1" s="1"/>
  <c r="V930" i="1"/>
  <c r="U930" i="1"/>
  <c r="T930" i="1"/>
  <c r="S930" i="1"/>
  <c r="R930" i="1"/>
  <c r="Q930" i="1"/>
  <c r="P930" i="1"/>
  <c r="V929" i="1"/>
  <c r="U929" i="1"/>
  <c r="S929" i="1"/>
  <c r="R929" i="1"/>
  <c r="Q929" i="1"/>
  <c r="P929" i="1"/>
  <c r="T929" i="1" s="1"/>
  <c r="V928" i="1"/>
  <c r="U928" i="1"/>
  <c r="S928" i="1"/>
  <c r="R928" i="1"/>
  <c r="Q928" i="1"/>
  <c r="P928" i="1"/>
  <c r="T928" i="1" s="1"/>
  <c r="V927" i="1"/>
  <c r="U927" i="1"/>
  <c r="S927" i="1"/>
  <c r="R927" i="1"/>
  <c r="Q927" i="1"/>
  <c r="P927" i="1"/>
  <c r="T927" i="1" s="1"/>
  <c r="V926" i="1"/>
  <c r="U926" i="1"/>
  <c r="S926" i="1"/>
  <c r="R926" i="1"/>
  <c r="Q926" i="1"/>
  <c r="P926" i="1"/>
  <c r="T926" i="1" s="1"/>
  <c r="V925" i="1"/>
  <c r="U925" i="1"/>
  <c r="S925" i="1"/>
  <c r="R925" i="1"/>
  <c r="Q925" i="1"/>
  <c r="P925" i="1"/>
  <c r="T925" i="1" s="1"/>
  <c r="V924" i="1"/>
  <c r="U924" i="1"/>
  <c r="S924" i="1"/>
  <c r="R924" i="1"/>
  <c r="Q924" i="1"/>
  <c r="P924" i="1"/>
  <c r="T924" i="1" s="1"/>
  <c r="V923" i="1"/>
  <c r="U923" i="1"/>
  <c r="S923" i="1"/>
  <c r="R923" i="1"/>
  <c r="Q923" i="1"/>
  <c r="P923" i="1"/>
  <c r="T923" i="1" s="1"/>
  <c r="V922" i="1"/>
  <c r="U922" i="1"/>
  <c r="S922" i="1"/>
  <c r="R922" i="1"/>
  <c r="Q922" i="1"/>
  <c r="P922" i="1"/>
  <c r="T922" i="1" s="1"/>
  <c r="V921" i="1"/>
  <c r="U921" i="1"/>
  <c r="S921" i="1"/>
  <c r="R921" i="1"/>
  <c r="Q921" i="1"/>
  <c r="P921" i="1"/>
  <c r="T921" i="1" s="1"/>
  <c r="V920" i="1"/>
  <c r="U920" i="1"/>
  <c r="S920" i="1"/>
  <c r="R920" i="1"/>
  <c r="Q920" i="1"/>
  <c r="P920" i="1"/>
  <c r="T920" i="1" s="1"/>
  <c r="V919" i="1"/>
  <c r="U919" i="1"/>
  <c r="S919" i="1"/>
  <c r="R919" i="1"/>
  <c r="Q919" i="1"/>
  <c r="P919" i="1"/>
  <c r="T919" i="1" s="1"/>
  <c r="V918" i="1"/>
  <c r="U918" i="1"/>
  <c r="S918" i="1"/>
  <c r="R918" i="1"/>
  <c r="Q918" i="1"/>
  <c r="P918" i="1"/>
  <c r="T918" i="1" s="1"/>
  <c r="V917" i="1"/>
  <c r="U917" i="1"/>
  <c r="T917" i="1"/>
  <c r="S917" i="1"/>
  <c r="R917" i="1"/>
  <c r="Q917" i="1"/>
  <c r="P917" i="1"/>
  <c r="V916" i="1"/>
  <c r="U916" i="1"/>
  <c r="S916" i="1"/>
  <c r="R916" i="1"/>
  <c r="Q916" i="1"/>
  <c r="P916" i="1"/>
  <c r="T916" i="1" s="1"/>
  <c r="V915" i="1"/>
  <c r="U915" i="1"/>
  <c r="S915" i="1"/>
  <c r="R915" i="1"/>
  <c r="Q915" i="1"/>
  <c r="P915" i="1"/>
  <c r="T915" i="1" s="1"/>
  <c r="V914" i="1"/>
  <c r="U914" i="1"/>
  <c r="T914" i="1"/>
  <c r="S914" i="1"/>
  <c r="R914" i="1"/>
  <c r="Q914" i="1"/>
  <c r="P914" i="1"/>
  <c r="V913" i="1"/>
  <c r="U913" i="1"/>
  <c r="S913" i="1"/>
  <c r="R913" i="1"/>
  <c r="Q913" i="1"/>
  <c r="P913" i="1"/>
  <c r="T913" i="1" s="1"/>
  <c r="V912" i="1"/>
  <c r="U912" i="1"/>
  <c r="S912" i="1"/>
  <c r="R912" i="1"/>
  <c r="Q912" i="1"/>
  <c r="P912" i="1"/>
  <c r="T912" i="1" s="1"/>
  <c r="V911" i="1"/>
  <c r="U911" i="1"/>
  <c r="S911" i="1"/>
  <c r="R911" i="1"/>
  <c r="Q911" i="1"/>
  <c r="P911" i="1"/>
  <c r="T911" i="1" s="1"/>
  <c r="V910" i="1"/>
  <c r="U910" i="1"/>
  <c r="S910" i="1"/>
  <c r="R910" i="1"/>
  <c r="Q910" i="1"/>
  <c r="P910" i="1"/>
  <c r="T910" i="1" s="1"/>
  <c r="V909" i="1"/>
  <c r="U909" i="1"/>
  <c r="S909" i="1"/>
  <c r="R909" i="1"/>
  <c r="Q909" i="1"/>
  <c r="P909" i="1"/>
  <c r="T909" i="1" s="1"/>
  <c r="V908" i="1"/>
  <c r="U908" i="1"/>
  <c r="S908" i="1"/>
  <c r="R908" i="1"/>
  <c r="Q908" i="1"/>
  <c r="P908" i="1"/>
  <c r="T908" i="1" s="1"/>
  <c r="V907" i="1"/>
  <c r="U907" i="1"/>
  <c r="S907" i="1"/>
  <c r="R907" i="1"/>
  <c r="Q907" i="1"/>
  <c r="P907" i="1"/>
  <c r="T907" i="1" s="1"/>
  <c r="V906" i="1"/>
  <c r="U906" i="1"/>
  <c r="S906" i="1"/>
  <c r="R906" i="1"/>
  <c r="Q906" i="1"/>
  <c r="P906" i="1"/>
  <c r="T906" i="1" s="1"/>
  <c r="V905" i="1"/>
  <c r="U905" i="1"/>
  <c r="S905" i="1"/>
  <c r="R905" i="1"/>
  <c r="Q905" i="1"/>
  <c r="P905" i="1"/>
  <c r="T905" i="1" s="1"/>
  <c r="V904" i="1"/>
  <c r="U904" i="1"/>
  <c r="S904" i="1"/>
  <c r="R904" i="1"/>
  <c r="Q904" i="1"/>
  <c r="P904" i="1"/>
  <c r="T904" i="1" s="1"/>
  <c r="V903" i="1"/>
  <c r="U903" i="1"/>
  <c r="S903" i="1"/>
  <c r="R903" i="1"/>
  <c r="Q903" i="1"/>
  <c r="P903" i="1"/>
  <c r="T903" i="1" s="1"/>
  <c r="V902" i="1"/>
  <c r="U902" i="1"/>
  <c r="S902" i="1"/>
  <c r="R902" i="1"/>
  <c r="Q902" i="1"/>
  <c r="P902" i="1"/>
  <c r="T902" i="1" s="1"/>
  <c r="V901" i="1"/>
  <c r="U901" i="1"/>
  <c r="S901" i="1"/>
  <c r="R901" i="1"/>
  <c r="Q901" i="1"/>
  <c r="P901" i="1"/>
  <c r="T901" i="1" s="1"/>
  <c r="V900" i="1"/>
  <c r="U900" i="1"/>
  <c r="T900" i="1"/>
  <c r="S900" i="1"/>
  <c r="R900" i="1"/>
  <c r="Q900" i="1"/>
  <c r="P900" i="1"/>
  <c r="V899" i="1"/>
  <c r="U899" i="1"/>
  <c r="S899" i="1"/>
  <c r="R899" i="1"/>
  <c r="Q899" i="1"/>
  <c r="P899" i="1"/>
  <c r="T899" i="1" s="1"/>
  <c r="V898" i="1"/>
  <c r="U898" i="1"/>
  <c r="T898" i="1"/>
  <c r="S898" i="1"/>
  <c r="R898" i="1"/>
  <c r="Q898" i="1"/>
  <c r="P898" i="1"/>
  <c r="V897" i="1"/>
  <c r="U897" i="1"/>
  <c r="S897" i="1"/>
  <c r="R897" i="1"/>
  <c r="Q897" i="1"/>
  <c r="P897" i="1"/>
  <c r="T897" i="1" s="1"/>
  <c r="V896" i="1"/>
  <c r="U896" i="1"/>
  <c r="S896" i="1"/>
  <c r="R896" i="1"/>
  <c r="Q896" i="1"/>
  <c r="P896" i="1"/>
  <c r="T896" i="1" s="1"/>
  <c r="V895" i="1"/>
  <c r="U895" i="1"/>
  <c r="S895" i="1"/>
  <c r="R895" i="1"/>
  <c r="Q895" i="1"/>
  <c r="P895" i="1"/>
  <c r="T895" i="1" s="1"/>
  <c r="V894" i="1"/>
  <c r="U894" i="1"/>
  <c r="S894" i="1"/>
  <c r="R894" i="1"/>
  <c r="Q894" i="1"/>
  <c r="P894" i="1"/>
  <c r="T894" i="1" s="1"/>
  <c r="V893" i="1"/>
  <c r="U893" i="1"/>
  <c r="T893" i="1"/>
  <c r="S893" i="1"/>
  <c r="R893" i="1"/>
  <c r="Q893" i="1"/>
  <c r="P893" i="1"/>
  <c r="V892" i="1"/>
  <c r="U892" i="1"/>
  <c r="S892" i="1"/>
  <c r="R892" i="1"/>
  <c r="Q892" i="1"/>
  <c r="P892" i="1"/>
  <c r="T892" i="1" s="1"/>
  <c r="V891" i="1"/>
  <c r="U891" i="1"/>
  <c r="S891" i="1"/>
  <c r="R891" i="1"/>
  <c r="Q891" i="1"/>
  <c r="P891" i="1"/>
  <c r="T891" i="1" s="1"/>
  <c r="V890" i="1"/>
  <c r="U890" i="1"/>
  <c r="S890" i="1"/>
  <c r="R890" i="1"/>
  <c r="Q890" i="1"/>
  <c r="P890" i="1"/>
  <c r="T890" i="1" s="1"/>
  <c r="V889" i="1"/>
  <c r="U889" i="1"/>
  <c r="S889" i="1"/>
  <c r="R889" i="1"/>
  <c r="Q889" i="1"/>
  <c r="P889" i="1"/>
  <c r="T889" i="1" s="1"/>
  <c r="V888" i="1"/>
  <c r="U888" i="1"/>
  <c r="S888" i="1"/>
  <c r="R888" i="1"/>
  <c r="Q888" i="1"/>
  <c r="P888" i="1"/>
  <c r="T888" i="1" s="1"/>
  <c r="V887" i="1"/>
  <c r="U887" i="1"/>
  <c r="S887" i="1"/>
  <c r="R887" i="1"/>
  <c r="Q887" i="1"/>
  <c r="P887" i="1"/>
  <c r="T887" i="1" s="1"/>
  <c r="V886" i="1"/>
  <c r="U886" i="1"/>
  <c r="S886" i="1"/>
  <c r="R886" i="1"/>
  <c r="Q886" i="1"/>
  <c r="P886" i="1"/>
  <c r="T886" i="1" s="1"/>
  <c r="V885" i="1"/>
  <c r="U885" i="1"/>
  <c r="S885" i="1"/>
  <c r="R885" i="1"/>
  <c r="Q885" i="1"/>
  <c r="P885" i="1"/>
  <c r="T885" i="1" s="1"/>
  <c r="V884" i="1"/>
  <c r="U884" i="1"/>
  <c r="S884" i="1"/>
  <c r="R884" i="1"/>
  <c r="Q884" i="1"/>
  <c r="P884" i="1"/>
  <c r="T884" i="1" s="1"/>
  <c r="V883" i="1"/>
  <c r="U883" i="1"/>
  <c r="S883" i="1"/>
  <c r="R883" i="1"/>
  <c r="Q883" i="1"/>
  <c r="P883" i="1"/>
  <c r="T883" i="1" s="1"/>
  <c r="V882" i="1"/>
  <c r="U882" i="1"/>
  <c r="T882" i="1"/>
  <c r="S882" i="1"/>
  <c r="R882" i="1"/>
  <c r="Q882" i="1"/>
  <c r="P882" i="1"/>
  <c r="V881" i="1"/>
  <c r="U881" i="1"/>
  <c r="S881" i="1"/>
  <c r="R881" i="1"/>
  <c r="Q881" i="1"/>
  <c r="P881" i="1"/>
  <c r="T881" i="1" s="1"/>
  <c r="V880" i="1"/>
  <c r="U880" i="1"/>
  <c r="S880" i="1"/>
  <c r="R880" i="1"/>
  <c r="Q880" i="1"/>
  <c r="P880" i="1"/>
  <c r="T880" i="1" s="1"/>
  <c r="V879" i="1"/>
  <c r="U879" i="1"/>
  <c r="S879" i="1"/>
  <c r="R879" i="1"/>
  <c r="Q879" i="1"/>
  <c r="P879" i="1"/>
  <c r="T879" i="1" s="1"/>
  <c r="V878" i="1"/>
  <c r="U878" i="1"/>
  <c r="S878" i="1"/>
  <c r="R878" i="1"/>
  <c r="Q878" i="1"/>
  <c r="P878" i="1"/>
  <c r="T878" i="1" s="1"/>
  <c r="V877" i="1"/>
  <c r="U877" i="1"/>
  <c r="S877" i="1"/>
  <c r="R877" i="1"/>
  <c r="Q877" i="1"/>
  <c r="P877" i="1"/>
  <c r="T877" i="1" s="1"/>
  <c r="V876" i="1"/>
  <c r="U876" i="1"/>
  <c r="T876" i="1"/>
  <c r="S876" i="1"/>
  <c r="R876" i="1"/>
  <c r="Q876" i="1"/>
  <c r="P876" i="1"/>
  <c r="V875" i="1"/>
  <c r="U875" i="1"/>
  <c r="S875" i="1"/>
  <c r="R875" i="1"/>
  <c r="Q875" i="1"/>
  <c r="P875" i="1"/>
  <c r="T875" i="1" s="1"/>
  <c r="V874" i="1"/>
  <c r="U874" i="1"/>
  <c r="S874" i="1"/>
  <c r="R874" i="1"/>
  <c r="Q874" i="1"/>
  <c r="P874" i="1"/>
  <c r="T874" i="1" s="1"/>
  <c r="V873" i="1"/>
  <c r="U873" i="1"/>
  <c r="S873" i="1"/>
  <c r="R873" i="1"/>
  <c r="Q873" i="1"/>
  <c r="P873" i="1"/>
  <c r="T873" i="1" s="1"/>
  <c r="V872" i="1"/>
  <c r="U872" i="1"/>
  <c r="S872" i="1"/>
  <c r="R872" i="1"/>
  <c r="Q872" i="1"/>
  <c r="P872" i="1"/>
  <c r="T872" i="1" s="1"/>
  <c r="V871" i="1"/>
  <c r="U871" i="1"/>
  <c r="S871" i="1"/>
  <c r="R871" i="1"/>
  <c r="Q871" i="1"/>
  <c r="P871" i="1"/>
  <c r="T871" i="1" s="1"/>
  <c r="V870" i="1"/>
  <c r="U870" i="1"/>
  <c r="S870" i="1"/>
  <c r="R870" i="1"/>
  <c r="Q870" i="1"/>
  <c r="P870" i="1"/>
  <c r="T870" i="1" s="1"/>
  <c r="V869" i="1"/>
  <c r="U869" i="1"/>
  <c r="T869" i="1"/>
  <c r="S869" i="1"/>
  <c r="R869" i="1"/>
  <c r="Q869" i="1"/>
  <c r="P869" i="1"/>
  <c r="V868" i="1"/>
  <c r="U868" i="1"/>
  <c r="S868" i="1"/>
  <c r="R868" i="1"/>
  <c r="Q868" i="1"/>
  <c r="P868" i="1"/>
  <c r="T868" i="1" s="1"/>
  <c r="V867" i="1"/>
  <c r="U867" i="1"/>
  <c r="S867" i="1"/>
  <c r="R867" i="1"/>
  <c r="Q867" i="1"/>
  <c r="P867" i="1"/>
  <c r="T867" i="1" s="1"/>
  <c r="V866" i="1"/>
  <c r="U866" i="1"/>
  <c r="T866" i="1"/>
  <c r="S866" i="1"/>
  <c r="R866" i="1"/>
  <c r="Q866" i="1"/>
  <c r="P866" i="1"/>
  <c r="V865" i="1"/>
  <c r="U865" i="1"/>
  <c r="S865" i="1"/>
  <c r="R865" i="1"/>
  <c r="Q865" i="1"/>
  <c r="P865" i="1"/>
  <c r="T865" i="1" s="1"/>
  <c r="V864" i="1"/>
  <c r="U864" i="1"/>
  <c r="S864" i="1"/>
  <c r="R864" i="1"/>
  <c r="Q864" i="1"/>
  <c r="P864" i="1"/>
  <c r="T864" i="1" s="1"/>
  <c r="V863" i="1"/>
  <c r="U863" i="1"/>
  <c r="S863" i="1"/>
  <c r="R863" i="1"/>
  <c r="Q863" i="1"/>
  <c r="P863" i="1"/>
  <c r="T863" i="1" s="1"/>
  <c r="V862" i="1"/>
  <c r="U862" i="1"/>
  <c r="S862" i="1"/>
  <c r="R862" i="1"/>
  <c r="Q862" i="1"/>
  <c r="P862" i="1"/>
  <c r="T862" i="1" s="1"/>
  <c r="V861" i="1"/>
  <c r="U861" i="1"/>
  <c r="S861" i="1"/>
  <c r="R861" i="1"/>
  <c r="Q861" i="1"/>
  <c r="P861" i="1"/>
  <c r="T861" i="1" s="1"/>
  <c r="V860" i="1"/>
  <c r="U860" i="1"/>
  <c r="T860" i="1"/>
  <c r="S860" i="1"/>
  <c r="R860" i="1"/>
  <c r="Q860" i="1"/>
  <c r="P860" i="1"/>
  <c r="V859" i="1"/>
  <c r="U859" i="1"/>
  <c r="T859" i="1"/>
  <c r="S859" i="1"/>
  <c r="R859" i="1"/>
  <c r="Q859" i="1"/>
  <c r="P859" i="1"/>
  <c r="V858" i="1"/>
  <c r="U858" i="1"/>
  <c r="S858" i="1"/>
  <c r="R858" i="1"/>
  <c r="Q858" i="1"/>
  <c r="P858" i="1"/>
  <c r="T858" i="1" s="1"/>
  <c r="V857" i="1"/>
  <c r="U857" i="1"/>
  <c r="S857" i="1"/>
  <c r="R857" i="1"/>
  <c r="Q857" i="1"/>
  <c r="P857" i="1"/>
  <c r="T857" i="1" s="1"/>
  <c r="V856" i="1"/>
  <c r="U856" i="1"/>
  <c r="S856" i="1"/>
  <c r="R856" i="1"/>
  <c r="Q856" i="1"/>
  <c r="P856" i="1"/>
  <c r="T856" i="1" s="1"/>
  <c r="V855" i="1"/>
  <c r="U855" i="1"/>
  <c r="S855" i="1"/>
  <c r="R855" i="1"/>
  <c r="Q855" i="1"/>
  <c r="P855" i="1"/>
  <c r="T855" i="1" s="1"/>
  <c r="V854" i="1"/>
  <c r="U854" i="1"/>
  <c r="S854" i="1"/>
  <c r="R854" i="1"/>
  <c r="Q854" i="1"/>
  <c r="P854" i="1"/>
  <c r="T854" i="1" s="1"/>
  <c r="V853" i="1"/>
  <c r="U853" i="1"/>
  <c r="T853" i="1"/>
  <c r="S853" i="1"/>
  <c r="R853" i="1"/>
  <c r="Q853" i="1"/>
  <c r="P853" i="1"/>
  <c r="V852" i="1"/>
  <c r="U852" i="1"/>
  <c r="S852" i="1"/>
  <c r="R852" i="1"/>
  <c r="Q852" i="1"/>
  <c r="P852" i="1"/>
  <c r="T852" i="1" s="1"/>
  <c r="V851" i="1"/>
  <c r="U851" i="1"/>
  <c r="S851" i="1"/>
  <c r="R851" i="1"/>
  <c r="Q851" i="1"/>
  <c r="P851" i="1"/>
  <c r="T851" i="1" s="1"/>
  <c r="V850" i="1"/>
  <c r="U850" i="1"/>
  <c r="T850" i="1"/>
  <c r="S850" i="1"/>
  <c r="R850" i="1"/>
  <c r="Q850" i="1"/>
  <c r="P850" i="1"/>
  <c r="V849" i="1"/>
  <c r="U849" i="1"/>
  <c r="S849" i="1"/>
  <c r="R849" i="1"/>
  <c r="Q849" i="1"/>
  <c r="P849" i="1"/>
  <c r="T849" i="1" s="1"/>
  <c r="V848" i="1"/>
  <c r="U848" i="1"/>
  <c r="S848" i="1"/>
  <c r="R848" i="1"/>
  <c r="Q848" i="1"/>
  <c r="P848" i="1"/>
  <c r="T848" i="1" s="1"/>
  <c r="V847" i="1"/>
  <c r="U847" i="1"/>
  <c r="S847" i="1"/>
  <c r="R847" i="1"/>
  <c r="Q847" i="1"/>
  <c r="P847" i="1"/>
  <c r="T847" i="1" s="1"/>
  <c r="V846" i="1"/>
  <c r="U846" i="1"/>
  <c r="S846" i="1"/>
  <c r="R846" i="1"/>
  <c r="Q846" i="1"/>
  <c r="P846" i="1"/>
  <c r="T846" i="1" s="1"/>
  <c r="V845" i="1"/>
  <c r="U845" i="1"/>
  <c r="S845" i="1"/>
  <c r="R845" i="1"/>
  <c r="Q845" i="1"/>
  <c r="P845" i="1"/>
  <c r="T845" i="1" s="1"/>
  <c r="V844" i="1"/>
  <c r="U844" i="1"/>
  <c r="T844" i="1"/>
  <c r="S844" i="1"/>
  <c r="R844" i="1"/>
  <c r="Q844" i="1"/>
  <c r="P844" i="1"/>
  <c r="V843" i="1"/>
  <c r="U843" i="1"/>
  <c r="T843" i="1"/>
  <c r="S843" i="1"/>
  <c r="R843" i="1"/>
  <c r="Q843" i="1"/>
  <c r="P843" i="1"/>
  <c r="V842" i="1"/>
  <c r="U842" i="1"/>
  <c r="S842" i="1"/>
  <c r="R842" i="1"/>
  <c r="Q842" i="1"/>
  <c r="P842" i="1"/>
  <c r="T842" i="1" s="1"/>
  <c r="V841" i="1"/>
  <c r="U841" i="1"/>
  <c r="S841" i="1"/>
  <c r="R841" i="1"/>
  <c r="Q841" i="1"/>
  <c r="P841" i="1"/>
  <c r="T841" i="1" s="1"/>
  <c r="V840" i="1"/>
  <c r="U840" i="1"/>
  <c r="S840" i="1"/>
  <c r="R840" i="1"/>
  <c r="Q840" i="1"/>
  <c r="P840" i="1"/>
  <c r="T840" i="1" s="1"/>
  <c r="V839" i="1"/>
  <c r="U839" i="1"/>
  <c r="S839" i="1"/>
  <c r="R839" i="1"/>
  <c r="Q839" i="1"/>
  <c r="P839" i="1"/>
  <c r="T839" i="1" s="1"/>
  <c r="V838" i="1"/>
  <c r="U838" i="1"/>
  <c r="S838" i="1"/>
  <c r="R838" i="1"/>
  <c r="Q838" i="1"/>
  <c r="P838" i="1"/>
  <c r="T838" i="1" s="1"/>
  <c r="V837" i="1"/>
  <c r="U837" i="1"/>
  <c r="T837" i="1"/>
  <c r="S837" i="1"/>
  <c r="R837" i="1"/>
  <c r="Q837" i="1"/>
  <c r="P837" i="1"/>
  <c r="V836" i="1"/>
  <c r="U836" i="1"/>
  <c r="S836" i="1"/>
  <c r="R836" i="1"/>
  <c r="Q836" i="1"/>
  <c r="P836" i="1"/>
  <c r="T836" i="1" s="1"/>
  <c r="V835" i="1"/>
  <c r="U835" i="1"/>
  <c r="S835" i="1"/>
  <c r="R835" i="1"/>
  <c r="Q835" i="1"/>
  <c r="P835" i="1"/>
  <c r="T835" i="1" s="1"/>
  <c r="V834" i="1"/>
  <c r="U834" i="1"/>
  <c r="S834" i="1"/>
  <c r="R834" i="1"/>
  <c r="Q834" i="1"/>
  <c r="P834" i="1"/>
  <c r="T834" i="1" s="1"/>
  <c r="V833" i="1"/>
  <c r="U833" i="1"/>
  <c r="S833" i="1"/>
  <c r="R833" i="1"/>
  <c r="Q833" i="1"/>
  <c r="P833" i="1"/>
  <c r="T833" i="1" s="1"/>
  <c r="V832" i="1"/>
  <c r="U832" i="1"/>
  <c r="S832" i="1"/>
  <c r="R832" i="1"/>
  <c r="Q832" i="1"/>
  <c r="P832" i="1"/>
  <c r="T832" i="1" s="1"/>
  <c r="V831" i="1"/>
  <c r="U831" i="1"/>
  <c r="S831" i="1"/>
  <c r="R831" i="1"/>
  <c r="Q831" i="1"/>
  <c r="P831" i="1"/>
  <c r="T831" i="1" s="1"/>
  <c r="V830" i="1"/>
  <c r="U830" i="1"/>
  <c r="S830" i="1"/>
  <c r="R830" i="1"/>
  <c r="Q830" i="1"/>
  <c r="P830" i="1"/>
  <c r="T830" i="1" s="1"/>
  <c r="V829" i="1"/>
  <c r="U829" i="1"/>
  <c r="S829" i="1"/>
  <c r="R829" i="1"/>
  <c r="Q829" i="1"/>
  <c r="P829" i="1"/>
  <c r="T829" i="1" s="1"/>
  <c r="V828" i="1"/>
  <c r="U828" i="1"/>
  <c r="T828" i="1"/>
  <c r="S828" i="1"/>
  <c r="R828" i="1"/>
  <c r="Q828" i="1"/>
  <c r="P828" i="1"/>
  <c r="V827" i="1"/>
  <c r="U827" i="1"/>
  <c r="T827" i="1"/>
  <c r="S827" i="1"/>
  <c r="R827" i="1"/>
  <c r="Q827" i="1"/>
  <c r="P827" i="1"/>
  <c r="V826" i="1"/>
  <c r="U826" i="1"/>
  <c r="S826" i="1"/>
  <c r="R826" i="1"/>
  <c r="Q826" i="1"/>
  <c r="P826" i="1"/>
  <c r="T826" i="1" s="1"/>
  <c r="V825" i="1"/>
  <c r="U825" i="1"/>
  <c r="S825" i="1"/>
  <c r="R825" i="1"/>
  <c r="Q825" i="1"/>
  <c r="P825" i="1"/>
  <c r="T825" i="1" s="1"/>
  <c r="V824" i="1"/>
  <c r="U824" i="1"/>
  <c r="S824" i="1"/>
  <c r="R824" i="1"/>
  <c r="Q824" i="1"/>
  <c r="P824" i="1"/>
  <c r="T824" i="1" s="1"/>
  <c r="V823" i="1"/>
  <c r="U823" i="1"/>
  <c r="S823" i="1"/>
  <c r="R823" i="1"/>
  <c r="Q823" i="1"/>
  <c r="P823" i="1"/>
  <c r="T823" i="1" s="1"/>
  <c r="V822" i="1"/>
  <c r="U822" i="1"/>
  <c r="S822" i="1"/>
  <c r="R822" i="1"/>
  <c r="Q822" i="1"/>
  <c r="P822" i="1"/>
  <c r="T822" i="1" s="1"/>
  <c r="V821" i="1"/>
  <c r="U821" i="1"/>
  <c r="T821" i="1"/>
  <c r="S821" i="1"/>
  <c r="R821" i="1"/>
  <c r="Q821" i="1"/>
  <c r="P821" i="1"/>
  <c r="V820" i="1"/>
  <c r="U820" i="1"/>
  <c r="S820" i="1"/>
  <c r="R820" i="1"/>
  <c r="Q820" i="1"/>
  <c r="P820" i="1"/>
  <c r="T820" i="1" s="1"/>
  <c r="V819" i="1"/>
  <c r="U819" i="1"/>
  <c r="S819" i="1"/>
  <c r="R819" i="1"/>
  <c r="Q819" i="1"/>
  <c r="P819" i="1"/>
  <c r="T819" i="1" s="1"/>
  <c r="V818" i="1"/>
  <c r="U818" i="1"/>
  <c r="S818" i="1"/>
  <c r="R818" i="1"/>
  <c r="Q818" i="1"/>
  <c r="P818" i="1"/>
  <c r="T818" i="1" s="1"/>
  <c r="V817" i="1"/>
  <c r="U817" i="1"/>
  <c r="S817" i="1"/>
  <c r="R817" i="1"/>
  <c r="Q817" i="1"/>
  <c r="P817" i="1"/>
  <c r="T817" i="1" s="1"/>
  <c r="V816" i="1"/>
  <c r="U816" i="1"/>
  <c r="S816" i="1"/>
  <c r="R816" i="1"/>
  <c r="Q816" i="1"/>
  <c r="P816" i="1"/>
  <c r="T816" i="1" s="1"/>
  <c r="V815" i="1"/>
  <c r="U815" i="1"/>
  <c r="S815" i="1"/>
  <c r="R815" i="1"/>
  <c r="Q815" i="1"/>
  <c r="P815" i="1"/>
  <c r="T815" i="1" s="1"/>
  <c r="V814" i="1"/>
  <c r="U814" i="1"/>
  <c r="S814" i="1"/>
  <c r="R814" i="1"/>
  <c r="Q814" i="1"/>
  <c r="P814" i="1"/>
  <c r="T814" i="1" s="1"/>
  <c r="V813" i="1"/>
  <c r="U813" i="1"/>
  <c r="S813" i="1"/>
  <c r="R813" i="1"/>
  <c r="Q813" i="1"/>
  <c r="P813" i="1"/>
  <c r="T813" i="1" s="1"/>
  <c r="V812" i="1"/>
  <c r="U812" i="1"/>
  <c r="T812" i="1"/>
  <c r="S812" i="1"/>
  <c r="R812" i="1"/>
  <c r="Q812" i="1"/>
  <c r="P812" i="1"/>
  <c r="V811" i="1"/>
  <c r="U811" i="1"/>
  <c r="T811" i="1"/>
  <c r="S811" i="1"/>
  <c r="R811" i="1"/>
  <c r="Q811" i="1"/>
  <c r="P811" i="1"/>
  <c r="V810" i="1"/>
  <c r="U810" i="1"/>
  <c r="S810" i="1"/>
  <c r="R810" i="1"/>
  <c r="Q810" i="1"/>
  <c r="P810" i="1"/>
  <c r="T810" i="1" s="1"/>
  <c r="V809" i="1"/>
  <c r="U809" i="1"/>
  <c r="S809" i="1"/>
  <c r="R809" i="1"/>
  <c r="Q809" i="1"/>
  <c r="P809" i="1"/>
  <c r="T809" i="1" s="1"/>
  <c r="V808" i="1"/>
  <c r="U808" i="1"/>
  <c r="S808" i="1"/>
  <c r="R808" i="1"/>
  <c r="Q808" i="1"/>
  <c r="P808" i="1"/>
  <c r="T808" i="1" s="1"/>
  <c r="V807" i="1"/>
  <c r="U807" i="1"/>
  <c r="S807" i="1"/>
  <c r="R807" i="1"/>
  <c r="Q807" i="1"/>
  <c r="P807" i="1"/>
  <c r="T807" i="1" s="1"/>
  <c r="V806" i="1"/>
  <c r="U806" i="1"/>
  <c r="S806" i="1"/>
  <c r="R806" i="1"/>
  <c r="Q806" i="1"/>
  <c r="P806" i="1"/>
  <c r="T806" i="1" s="1"/>
  <c r="V805" i="1"/>
  <c r="U805" i="1"/>
  <c r="T805" i="1"/>
  <c r="S805" i="1"/>
  <c r="R805" i="1"/>
  <c r="Q805" i="1"/>
  <c r="P805" i="1"/>
  <c r="V804" i="1"/>
  <c r="U804" i="1"/>
  <c r="S804" i="1"/>
  <c r="R804" i="1"/>
  <c r="Q804" i="1"/>
  <c r="P804" i="1"/>
  <c r="T804" i="1" s="1"/>
  <c r="V803" i="1"/>
  <c r="U803" i="1"/>
  <c r="S803" i="1"/>
  <c r="R803" i="1"/>
  <c r="Q803" i="1"/>
  <c r="P803" i="1"/>
  <c r="T803" i="1" s="1"/>
  <c r="V802" i="1"/>
  <c r="U802" i="1"/>
  <c r="T802" i="1"/>
  <c r="S802" i="1"/>
  <c r="R802" i="1"/>
  <c r="Q802" i="1"/>
  <c r="P802" i="1"/>
  <c r="V801" i="1"/>
  <c r="U801" i="1"/>
  <c r="S801" i="1"/>
  <c r="R801" i="1"/>
  <c r="Q801" i="1"/>
  <c r="P801" i="1"/>
  <c r="T801" i="1" s="1"/>
  <c r="V800" i="1"/>
  <c r="U800" i="1"/>
  <c r="S800" i="1"/>
  <c r="R800" i="1"/>
  <c r="Q800" i="1"/>
  <c r="P800" i="1"/>
  <c r="T800" i="1" s="1"/>
  <c r="V799" i="1"/>
  <c r="U799" i="1"/>
  <c r="S799" i="1"/>
  <c r="R799" i="1"/>
  <c r="Q799" i="1"/>
  <c r="P799" i="1"/>
  <c r="T799" i="1" s="1"/>
  <c r="V798" i="1"/>
  <c r="U798" i="1"/>
  <c r="S798" i="1"/>
  <c r="R798" i="1"/>
  <c r="Q798" i="1"/>
  <c r="P798" i="1"/>
  <c r="T798" i="1" s="1"/>
  <c r="V797" i="1"/>
  <c r="U797" i="1"/>
  <c r="S797" i="1"/>
  <c r="R797" i="1"/>
  <c r="Q797" i="1"/>
  <c r="P797" i="1"/>
  <c r="T797" i="1" s="1"/>
  <c r="V796" i="1"/>
  <c r="U796" i="1"/>
  <c r="T796" i="1"/>
  <c r="S796" i="1"/>
  <c r="R796" i="1"/>
  <c r="Q796" i="1"/>
  <c r="P796" i="1"/>
  <c r="V795" i="1"/>
  <c r="U795" i="1"/>
  <c r="T795" i="1"/>
  <c r="S795" i="1"/>
  <c r="R795" i="1"/>
  <c r="Q795" i="1"/>
  <c r="P795" i="1"/>
  <c r="V794" i="1"/>
  <c r="U794" i="1"/>
  <c r="S794" i="1"/>
  <c r="R794" i="1"/>
  <c r="Q794" i="1"/>
  <c r="P794" i="1"/>
  <c r="T794" i="1" s="1"/>
  <c r="V793" i="1"/>
  <c r="U793" i="1"/>
  <c r="S793" i="1"/>
  <c r="R793" i="1"/>
  <c r="Q793" i="1"/>
  <c r="P793" i="1"/>
  <c r="T793" i="1" s="1"/>
  <c r="V792" i="1"/>
  <c r="U792" i="1"/>
  <c r="S792" i="1"/>
  <c r="R792" i="1"/>
  <c r="Q792" i="1"/>
  <c r="P792" i="1"/>
  <c r="T792" i="1" s="1"/>
  <c r="V791" i="1"/>
  <c r="U791" i="1"/>
  <c r="S791" i="1"/>
  <c r="R791" i="1"/>
  <c r="Q791" i="1"/>
  <c r="P791" i="1"/>
  <c r="T791" i="1" s="1"/>
  <c r="V790" i="1"/>
  <c r="U790" i="1"/>
  <c r="S790" i="1"/>
  <c r="R790" i="1"/>
  <c r="Q790" i="1"/>
  <c r="P790" i="1"/>
  <c r="T790" i="1" s="1"/>
  <c r="V789" i="1"/>
  <c r="U789" i="1"/>
  <c r="T789" i="1"/>
  <c r="S789" i="1"/>
  <c r="R789" i="1"/>
  <c r="Q789" i="1"/>
  <c r="P789" i="1"/>
  <c r="V788" i="1"/>
  <c r="U788" i="1"/>
  <c r="S788" i="1"/>
  <c r="R788" i="1"/>
  <c r="Q788" i="1"/>
  <c r="P788" i="1"/>
  <c r="T788" i="1" s="1"/>
  <c r="V787" i="1"/>
  <c r="U787" i="1"/>
  <c r="S787" i="1"/>
  <c r="R787" i="1"/>
  <c r="Q787" i="1"/>
  <c r="P787" i="1"/>
  <c r="T787" i="1" s="1"/>
  <c r="V786" i="1"/>
  <c r="U786" i="1"/>
  <c r="T786" i="1"/>
  <c r="S786" i="1"/>
  <c r="R786" i="1"/>
  <c r="Q786" i="1"/>
  <c r="P786" i="1"/>
  <c r="V785" i="1"/>
  <c r="U785" i="1"/>
  <c r="S785" i="1"/>
  <c r="R785" i="1"/>
  <c r="Q785" i="1"/>
  <c r="P785" i="1"/>
  <c r="T785" i="1" s="1"/>
  <c r="V784" i="1"/>
  <c r="U784" i="1"/>
  <c r="S784" i="1"/>
  <c r="R784" i="1"/>
  <c r="Q784" i="1"/>
  <c r="P784" i="1"/>
  <c r="T784" i="1" s="1"/>
  <c r="V783" i="1"/>
  <c r="U783" i="1"/>
  <c r="S783" i="1"/>
  <c r="R783" i="1"/>
  <c r="Q783" i="1"/>
  <c r="P783" i="1"/>
  <c r="T783" i="1" s="1"/>
  <c r="V782" i="1"/>
  <c r="U782" i="1"/>
  <c r="S782" i="1"/>
  <c r="R782" i="1"/>
  <c r="Q782" i="1"/>
  <c r="P782" i="1"/>
  <c r="T782" i="1" s="1"/>
  <c r="V781" i="1"/>
  <c r="U781" i="1"/>
  <c r="S781" i="1"/>
  <c r="R781" i="1"/>
  <c r="Q781" i="1"/>
  <c r="P781" i="1"/>
  <c r="T781" i="1" s="1"/>
  <c r="V780" i="1"/>
  <c r="U780" i="1"/>
  <c r="T780" i="1"/>
  <c r="S780" i="1"/>
  <c r="R780" i="1"/>
  <c r="Q780" i="1"/>
  <c r="P780" i="1"/>
  <c r="V779" i="1"/>
  <c r="U779" i="1"/>
  <c r="T779" i="1"/>
  <c r="S779" i="1"/>
  <c r="R779" i="1"/>
  <c r="Q779" i="1"/>
  <c r="P779" i="1"/>
  <c r="V778" i="1"/>
  <c r="U778" i="1"/>
  <c r="S778" i="1"/>
  <c r="R778" i="1"/>
  <c r="Q778" i="1"/>
  <c r="P778" i="1"/>
  <c r="T778" i="1" s="1"/>
  <c r="V777" i="1"/>
  <c r="U777" i="1"/>
  <c r="S777" i="1"/>
  <c r="R777" i="1"/>
  <c r="Q777" i="1"/>
  <c r="P777" i="1"/>
  <c r="T777" i="1" s="1"/>
  <c r="V776" i="1"/>
  <c r="U776" i="1"/>
  <c r="S776" i="1"/>
  <c r="R776" i="1"/>
  <c r="Q776" i="1"/>
  <c r="P776" i="1"/>
  <c r="T776" i="1" s="1"/>
  <c r="V775" i="1"/>
  <c r="U775" i="1"/>
  <c r="S775" i="1"/>
  <c r="R775" i="1"/>
  <c r="Q775" i="1"/>
  <c r="P775" i="1"/>
  <c r="T775" i="1" s="1"/>
  <c r="V774" i="1"/>
  <c r="U774" i="1"/>
  <c r="S774" i="1"/>
  <c r="R774" i="1"/>
  <c r="Q774" i="1"/>
  <c r="P774" i="1"/>
  <c r="T774" i="1" s="1"/>
  <c r="V773" i="1"/>
  <c r="U773" i="1"/>
  <c r="T773" i="1"/>
  <c r="S773" i="1"/>
  <c r="R773" i="1"/>
  <c r="Q773" i="1"/>
  <c r="P773" i="1"/>
  <c r="V772" i="1"/>
  <c r="U772" i="1"/>
  <c r="S772" i="1"/>
  <c r="R772" i="1"/>
  <c r="Q772" i="1"/>
  <c r="P772" i="1"/>
  <c r="T772" i="1" s="1"/>
  <c r="V771" i="1"/>
  <c r="U771" i="1"/>
  <c r="S771" i="1"/>
  <c r="R771" i="1"/>
  <c r="Q771" i="1"/>
  <c r="P771" i="1"/>
  <c r="T771" i="1" s="1"/>
  <c r="V770" i="1"/>
  <c r="U770" i="1"/>
  <c r="T770" i="1"/>
  <c r="S770" i="1"/>
  <c r="R770" i="1"/>
  <c r="Q770" i="1"/>
  <c r="P770" i="1"/>
  <c r="V769" i="1"/>
  <c r="U769" i="1"/>
  <c r="S769" i="1"/>
  <c r="R769" i="1"/>
  <c r="Q769" i="1"/>
  <c r="P769" i="1"/>
  <c r="T769" i="1" s="1"/>
  <c r="V768" i="1"/>
  <c r="U768" i="1"/>
  <c r="S768" i="1"/>
  <c r="R768" i="1"/>
  <c r="Q768" i="1"/>
  <c r="P768" i="1"/>
  <c r="T768" i="1" s="1"/>
  <c r="V767" i="1"/>
  <c r="U767" i="1"/>
  <c r="S767" i="1"/>
  <c r="R767" i="1"/>
  <c r="Q767" i="1"/>
  <c r="P767" i="1"/>
  <c r="T767" i="1" s="1"/>
  <c r="V766" i="1"/>
  <c r="U766" i="1"/>
  <c r="S766" i="1"/>
  <c r="R766" i="1"/>
  <c r="Q766" i="1"/>
  <c r="P766" i="1"/>
  <c r="T766" i="1" s="1"/>
  <c r="V765" i="1"/>
  <c r="U765" i="1"/>
  <c r="S765" i="1"/>
  <c r="R765" i="1"/>
  <c r="Q765" i="1"/>
  <c r="P765" i="1"/>
  <c r="T765" i="1" s="1"/>
  <c r="V764" i="1"/>
  <c r="U764" i="1"/>
  <c r="T764" i="1"/>
  <c r="S764" i="1"/>
  <c r="R764" i="1"/>
  <c r="Q764" i="1"/>
  <c r="P764" i="1"/>
  <c r="V763" i="1"/>
  <c r="U763" i="1"/>
  <c r="T763" i="1"/>
  <c r="S763" i="1"/>
  <c r="R763" i="1"/>
  <c r="Q763" i="1"/>
  <c r="P763" i="1"/>
  <c r="V762" i="1"/>
  <c r="U762" i="1"/>
  <c r="S762" i="1"/>
  <c r="R762" i="1"/>
  <c r="Q762" i="1"/>
  <c r="P762" i="1"/>
  <c r="T762" i="1" s="1"/>
  <c r="V761" i="1"/>
  <c r="U761" i="1"/>
  <c r="S761" i="1"/>
  <c r="R761" i="1"/>
  <c r="Q761" i="1"/>
  <c r="P761" i="1"/>
  <c r="T761" i="1" s="1"/>
  <c r="V760" i="1"/>
  <c r="U760" i="1"/>
  <c r="S760" i="1"/>
  <c r="R760" i="1"/>
  <c r="Q760" i="1"/>
  <c r="P760" i="1"/>
  <c r="T760" i="1" s="1"/>
  <c r="V759" i="1"/>
  <c r="U759" i="1"/>
  <c r="S759" i="1"/>
  <c r="R759" i="1"/>
  <c r="Q759" i="1"/>
  <c r="P759" i="1"/>
  <c r="T759" i="1" s="1"/>
  <c r="V758" i="1"/>
  <c r="U758" i="1"/>
  <c r="S758" i="1"/>
  <c r="R758" i="1"/>
  <c r="Q758" i="1"/>
  <c r="P758" i="1"/>
  <c r="T758" i="1" s="1"/>
  <c r="V757" i="1"/>
  <c r="U757" i="1"/>
  <c r="T757" i="1"/>
  <c r="S757" i="1"/>
  <c r="R757" i="1"/>
  <c r="Q757" i="1"/>
  <c r="P757" i="1"/>
  <c r="V756" i="1"/>
  <c r="U756" i="1"/>
  <c r="S756" i="1"/>
  <c r="R756" i="1"/>
  <c r="Q756" i="1"/>
  <c r="P756" i="1"/>
  <c r="T756" i="1" s="1"/>
  <c r="V755" i="1"/>
  <c r="U755" i="1"/>
  <c r="S755" i="1"/>
  <c r="R755" i="1"/>
  <c r="Q755" i="1"/>
  <c r="P755" i="1"/>
  <c r="T755" i="1" s="1"/>
  <c r="V754" i="1"/>
  <c r="U754" i="1"/>
  <c r="T754" i="1"/>
  <c r="S754" i="1"/>
  <c r="R754" i="1"/>
  <c r="Q754" i="1"/>
  <c r="P754" i="1"/>
  <c r="V753" i="1"/>
  <c r="U753" i="1"/>
  <c r="S753" i="1"/>
  <c r="R753" i="1"/>
  <c r="Q753" i="1"/>
  <c r="P753" i="1"/>
  <c r="T753" i="1" s="1"/>
  <c r="V752" i="1"/>
  <c r="U752" i="1"/>
  <c r="S752" i="1"/>
  <c r="R752" i="1"/>
  <c r="Q752" i="1"/>
  <c r="P752" i="1"/>
  <c r="T752" i="1" s="1"/>
  <c r="V751" i="1"/>
  <c r="U751" i="1"/>
  <c r="S751" i="1"/>
  <c r="R751" i="1"/>
  <c r="Q751" i="1"/>
  <c r="P751" i="1"/>
  <c r="T751" i="1" s="1"/>
  <c r="V750" i="1"/>
  <c r="U750" i="1"/>
  <c r="S750" i="1"/>
  <c r="R750" i="1"/>
  <c r="Q750" i="1"/>
  <c r="P750" i="1"/>
  <c r="T750" i="1" s="1"/>
  <c r="V749" i="1"/>
  <c r="U749" i="1"/>
  <c r="S749" i="1"/>
  <c r="R749" i="1"/>
  <c r="Q749" i="1"/>
  <c r="P749" i="1"/>
  <c r="T749" i="1" s="1"/>
  <c r="V748" i="1"/>
  <c r="U748" i="1"/>
  <c r="T748" i="1"/>
  <c r="S748" i="1"/>
  <c r="R748" i="1"/>
  <c r="Q748" i="1"/>
  <c r="P748" i="1"/>
  <c r="V747" i="1"/>
  <c r="U747" i="1"/>
  <c r="T747" i="1"/>
  <c r="S747" i="1"/>
  <c r="R747" i="1"/>
  <c r="Q747" i="1"/>
  <c r="P747" i="1"/>
  <c r="V746" i="1"/>
  <c r="U746" i="1"/>
  <c r="S746" i="1"/>
  <c r="R746" i="1"/>
  <c r="Q746" i="1"/>
  <c r="P746" i="1"/>
  <c r="T746" i="1" s="1"/>
  <c r="V745" i="1"/>
  <c r="U745" i="1"/>
  <c r="S745" i="1"/>
  <c r="R745" i="1"/>
  <c r="Q745" i="1"/>
  <c r="P745" i="1"/>
  <c r="T745" i="1" s="1"/>
  <c r="V744" i="1"/>
  <c r="U744" i="1"/>
  <c r="S744" i="1"/>
  <c r="R744" i="1"/>
  <c r="Q744" i="1"/>
  <c r="P744" i="1"/>
  <c r="T744" i="1" s="1"/>
  <c r="V743" i="1"/>
  <c r="U743" i="1"/>
  <c r="S743" i="1"/>
  <c r="R743" i="1"/>
  <c r="Q743" i="1"/>
  <c r="P743" i="1"/>
  <c r="T743" i="1" s="1"/>
  <c r="V742" i="1"/>
  <c r="U742" i="1"/>
  <c r="S742" i="1"/>
  <c r="R742" i="1"/>
  <c r="Q742" i="1"/>
  <c r="P742" i="1"/>
  <c r="T742" i="1" s="1"/>
  <c r="V741" i="1"/>
  <c r="U741" i="1"/>
  <c r="T741" i="1"/>
  <c r="S741" i="1"/>
  <c r="R741" i="1"/>
  <c r="Q741" i="1"/>
  <c r="P741" i="1"/>
  <c r="V740" i="1"/>
  <c r="U740" i="1"/>
  <c r="S740" i="1"/>
  <c r="R740" i="1"/>
  <c r="Q740" i="1"/>
  <c r="P740" i="1"/>
  <c r="T740" i="1" s="1"/>
  <c r="V739" i="1"/>
  <c r="U739" i="1"/>
  <c r="S739" i="1"/>
  <c r="R739" i="1"/>
  <c r="Q739" i="1"/>
  <c r="P739" i="1"/>
  <c r="T739" i="1" s="1"/>
  <c r="V738" i="1"/>
  <c r="U738" i="1"/>
  <c r="T738" i="1"/>
  <c r="S738" i="1"/>
  <c r="R738" i="1"/>
  <c r="Q738" i="1"/>
  <c r="P738" i="1"/>
  <c r="V737" i="1"/>
  <c r="U737" i="1"/>
  <c r="S737" i="1"/>
  <c r="R737" i="1"/>
  <c r="Q737" i="1"/>
  <c r="P737" i="1"/>
  <c r="T737" i="1" s="1"/>
  <c r="V736" i="1"/>
  <c r="U736" i="1"/>
  <c r="S736" i="1"/>
  <c r="R736" i="1"/>
  <c r="Q736" i="1"/>
  <c r="P736" i="1"/>
  <c r="T736" i="1" s="1"/>
  <c r="V735" i="1"/>
  <c r="U735" i="1"/>
  <c r="S735" i="1"/>
  <c r="R735" i="1"/>
  <c r="Q735" i="1"/>
  <c r="P735" i="1"/>
  <c r="T735" i="1" s="1"/>
  <c r="V734" i="1"/>
  <c r="U734" i="1"/>
  <c r="S734" i="1"/>
  <c r="R734" i="1"/>
  <c r="Q734" i="1"/>
  <c r="P734" i="1"/>
  <c r="T734" i="1" s="1"/>
  <c r="V733" i="1"/>
  <c r="U733" i="1"/>
  <c r="S733" i="1"/>
  <c r="R733" i="1"/>
  <c r="Q733" i="1"/>
  <c r="P733" i="1"/>
  <c r="T733" i="1" s="1"/>
  <c r="V732" i="1"/>
  <c r="U732" i="1"/>
  <c r="T732" i="1"/>
  <c r="S732" i="1"/>
  <c r="R732" i="1"/>
  <c r="Q732" i="1"/>
  <c r="P732" i="1"/>
  <c r="V731" i="1"/>
  <c r="U731" i="1"/>
  <c r="T731" i="1"/>
  <c r="S731" i="1"/>
  <c r="R731" i="1"/>
  <c r="Q731" i="1"/>
  <c r="P731" i="1"/>
  <c r="V730" i="1"/>
  <c r="U730" i="1"/>
  <c r="S730" i="1"/>
  <c r="R730" i="1"/>
  <c r="Q730" i="1"/>
  <c r="P730" i="1"/>
  <c r="T730" i="1" s="1"/>
  <c r="V729" i="1"/>
  <c r="U729" i="1"/>
  <c r="S729" i="1"/>
  <c r="R729" i="1"/>
  <c r="Q729" i="1"/>
  <c r="P729" i="1"/>
  <c r="T729" i="1" s="1"/>
  <c r="V728" i="1"/>
  <c r="U728" i="1"/>
  <c r="S728" i="1"/>
  <c r="R728" i="1"/>
  <c r="Q728" i="1"/>
  <c r="P728" i="1"/>
  <c r="T728" i="1" s="1"/>
  <c r="V727" i="1"/>
  <c r="U727" i="1"/>
  <c r="S727" i="1"/>
  <c r="R727" i="1"/>
  <c r="Q727" i="1"/>
  <c r="P727" i="1"/>
  <c r="T727" i="1" s="1"/>
  <c r="V726" i="1"/>
  <c r="U726" i="1"/>
  <c r="S726" i="1"/>
  <c r="R726" i="1"/>
  <c r="Q726" i="1"/>
  <c r="P726" i="1"/>
  <c r="T726" i="1" s="1"/>
  <c r="V725" i="1"/>
  <c r="U725" i="1"/>
  <c r="T725" i="1"/>
  <c r="S725" i="1"/>
  <c r="R725" i="1"/>
  <c r="Q725" i="1"/>
  <c r="P725" i="1"/>
  <c r="V724" i="1"/>
  <c r="U724" i="1"/>
  <c r="S724" i="1"/>
  <c r="R724" i="1"/>
  <c r="Q724" i="1"/>
  <c r="P724" i="1"/>
  <c r="T724" i="1" s="1"/>
  <c r="V723" i="1"/>
  <c r="U723" i="1"/>
  <c r="T723" i="1"/>
  <c r="S723" i="1"/>
  <c r="R723" i="1"/>
  <c r="Q723" i="1"/>
  <c r="P723" i="1"/>
  <c r="V722" i="1"/>
  <c r="U722" i="1"/>
  <c r="T722" i="1"/>
  <c r="S722" i="1"/>
  <c r="R722" i="1"/>
  <c r="Q722" i="1"/>
  <c r="P722" i="1"/>
  <c r="V721" i="1"/>
  <c r="U721" i="1"/>
  <c r="S721" i="1"/>
  <c r="R721" i="1"/>
  <c r="Q721" i="1"/>
  <c r="P721" i="1"/>
  <c r="T721" i="1" s="1"/>
  <c r="V720" i="1"/>
  <c r="U720" i="1"/>
  <c r="S720" i="1"/>
  <c r="R720" i="1"/>
  <c r="Q720" i="1"/>
  <c r="P720" i="1"/>
  <c r="T720" i="1" s="1"/>
  <c r="V719" i="1"/>
  <c r="U719" i="1"/>
  <c r="S719" i="1"/>
  <c r="R719" i="1"/>
  <c r="Q719" i="1"/>
  <c r="P719" i="1"/>
  <c r="T719" i="1" s="1"/>
  <c r="V718" i="1"/>
  <c r="U718" i="1"/>
  <c r="S718" i="1"/>
  <c r="R718" i="1"/>
  <c r="Q718" i="1"/>
  <c r="P718" i="1"/>
  <c r="T718" i="1" s="1"/>
  <c r="V717" i="1"/>
  <c r="U717" i="1"/>
  <c r="S717" i="1"/>
  <c r="R717" i="1"/>
  <c r="Q717" i="1"/>
  <c r="P717" i="1"/>
  <c r="T717" i="1" s="1"/>
  <c r="V716" i="1"/>
  <c r="U716" i="1"/>
  <c r="T716" i="1"/>
  <c r="S716" i="1"/>
  <c r="R716" i="1"/>
  <c r="Q716" i="1"/>
  <c r="P716" i="1"/>
  <c r="V715" i="1"/>
  <c r="U715" i="1"/>
  <c r="S715" i="1"/>
  <c r="R715" i="1"/>
  <c r="Q715" i="1"/>
  <c r="P715" i="1"/>
  <c r="T715" i="1" s="1"/>
  <c r="V714" i="1"/>
  <c r="U714" i="1"/>
  <c r="S714" i="1"/>
  <c r="R714" i="1"/>
  <c r="Q714" i="1"/>
  <c r="P714" i="1"/>
  <c r="T714" i="1" s="1"/>
  <c r="V713" i="1"/>
  <c r="U713" i="1"/>
  <c r="S713" i="1"/>
  <c r="R713" i="1"/>
  <c r="Q713" i="1"/>
  <c r="P713" i="1"/>
  <c r="T713" i="1" s="1"/>
  <c r="V712" i="1"/>
  <c r="U712" i="1"/>
  <c r="S712" i="1"/>
  <c r="R712" i="1"/>
  <c r="Q712" i="1"/>
  <c r="P712" i="1"/>
  <c r="T712" i="1" s="1"/>
  <c r="V711" i="1"/>
  <c r="U711" i="1"/>
  <c r="S711" i="1"/>
  <c r="R711" i="1"/>
  <c r="Q711" i="1"/>
  <c r="P711" i="1"/>
  <c r="T711" i="1" s="1"/>
  <c r="V710" i="1"/>
  <c r="U710" i="1"/>
  <c r="S710" i="1"/>
  <c r="R710" i="1"/>
  <c r="Q710" i="1"/>
  <c r="P710" i="1"/>
  <c r="T710" i="1" s="1"/>
  <c r="V709" i="1"/>
  <c r="U709" i="1"/>
  <c r="T709" i="1"/>
  <c r="S709" i="1"/>
  <c r="R709" i="1"/>
  <c r="Q709" i="1"/>
  <c r="P709" i="1"/>
  <c r="V708" i="1"/>
  <c r="U708" i="1"/>
  <c r="S708" i="1"/>
  <c r="R708" i="1"/>
  <c r="Q708" i="1"/>
  <c r="P708" i="1"/>
  <c r="T708" i="1" s="1"/>
  <c r="V707" i="1"/>
  <c r="U707" i="1"/>
  <c r="T707" i="1"/>
  <c r="S707" i="1"/>
  <c r="R707" i="1"/>
  <c r="Q707" i="1"/>
  <c r="P707" i="1"/>
  <c r="V706" i="1"/>
  <c r="U706" i="1"/>
  <c r="T706" i="1"/>
  <c r="S706" i="1"/>
  <c r="R706" i="1"/>
  <c r="Q706" i="1"/>
  <c r="P706" i="1"/>
  <c r="V705" i="1"/>
  <c r="U705" i="1"/>
  <c r="S705" i="1"/>
  <c r="R705" i="1"/>
  <c r="Q705" i="1"/>
  <c r="P705" i="1"/>
  <c r="T705" i="1" s="1"/>
  <c r="V704" i="1"/>
  <c r="U704" i="1"/>
  <c r="S704" i="1"/>
  <c r="R704" i="1"/>
  <c r="Q704" i="1"/>
  <c r="P704" i="1"/>
  <c r="T704" i="1" s="1"/>
  <c r="V703" i="1"/>
  <c r="U703" i="1"/>
  <c r="S703" i="1"/>
  <c r="R703" i="1"/>
  <c r="Q703" i="1"/>
  <c r="P703" i="1"/>
  <c r="T703" i="1" s="1"/>
  <c r="V702" i="1"/>
  <c r="U702" i="1"/>
  <c r="S702" i="1"/>
  <c r="R702" i="1"/>
  <c r="Q702" i="1"/>
  <c r="P702" i="1"/>
  <c r="T702" i="1" s="1"/>
  <c r="V701" i="1"/>
  <c r="U701" i="1"/>
  <c r="S701" i="1"/>
  <c r="R701" i="1"/>
  <c r="Q701" i="1"/>
  <c r="P701" i="1"/>
  <c r="T701" i="1" s="1"/>
  <c r="V700" i="1"/>
  <c r="U700" i="1"/>
  <c r="T700" i="1"/>
  <c r="S700" i="1"/>
  <c r="R700" i="1"/>
  <c r="Q700" i="1"/>
  <c r="P700" i="1"/>
  <c r="V699" i="1"/>
  <c r="U699" i="1"/>
  <c r="S699" i="1"/>
  <c r="R699" i="1"/>
  <c r="Q699" i="1"/>
  <c r="P699" i="1"/>
  <c r="T699" i="1" s="1"/>
  <c r="V698" i="1"/>
  <c r="U698" i="1"/>
  <c r="S698" i="1"/>
  <c r="R698" i="1"/>
  <c r="Q698" i="1"/>
  <c r="P698" i="1"/>
  <c r="T698" i="1" s="1"/>
  <c r="V697" i="1"/>
  <c r="U697" i="1"/>
  <c r="S697" i="1"/>
  <c r="R697" i="1"/>
  <c r="Q697" i="1"/>
  <c r="P697" i="1"/>
  <c r="T697" i="1" s="1"/>
  <c r="V696" i="1"/>
  <c r="U696" i="1"/>
  <c r="S696" i="1"/>
  <c r="R696" i="1"/>
  <c r="Q696" i="1"/>
  <c r="P696" i="1"/>
  <c r="T696" i="1" s="1"/>
  <c r="V695" i="1"/>
  <c r="U695" i="1"/>
  <c r="S695" i="1"/>
  <c r="R695" i="1"/>
  <c r="Q695" i="1"/>
  <c r="P695" i="1"/>
  <c r="T695" i="1" s="1"/>
  <c r="V694" i="1"/>
  <c r="U694" i="1"/>
  <c r="S694" i="1"/>
  <c r="R694" i="1"/>
  <c r="Q694" i="1"/>
  <c r="P694" i="1"/>
  <c r="T694" i="1" s="1"/>
  <c r="V693" i="1"/>
  <c r="U693" i="1"/>
  <c r="T693" i="1"/>
  <c r="S693" i="1"/>
  <c r="R693" i="1"/>
  <c r="Q693" i="1"/>
  <c r="P693" i="1"/>
  <c r="V692" i="1"/>
  <c r="U692" i="1"/>
  <c r="S692" i="1"/>
  <c r="R692" i="1"/>
  <c r="Q692" i="1"/>
  <c r="P692" i="1"/>
  <c r="T692" i="1" s="1"/>
  <c r="V691" i="1"/>
  <c r="U691" i="1"/>
  <c r="T691" i="1"/>
  <c r="S691" i="1"/>
  <c r="R691" i="1"/>
  <c r="Q691" i="1"/>
  <c r="P691" i="1"/>
  <c r="V690" i="1"/>
  <c r="U690" i="1"/>
  <c r="T690" i="1"/>
  <c r="S690" i="1"/>
  <c r="R690" i="1"/>
  <c r="Q690" i="1"/>
  <c r="P690" i="1"/>
  <c r="V689" i="1"/>
  <c r="U689" i="1"/>
  <c r="S689" i="1"/>
  <c r="R689" i="1"/>
  <c r="Q689" i="1"/>
  <c r="P689" i="1"/>
  <c r="T689" i="1" s="1"/>
  <c r="V688" i="1"/>
  <c r="U688" i="1"/>
  <c r="S688" i="1"/>
  <c r="R688" i="1"/>
  <c r="Q688" i="1"/>
  <c r="P688" i="1"/>
  <c r="T688" i="1" s="1"/>
  <c r="V687" i="1"/>
  <c r="U687" i="1"/>
  <c r="S687" i="1"/>
  <c r="R687" i="1"/>
  <c r="Q687" i="1"/>
  <c r="P687" i="1"/>
  <c r="T687" i="1" s="1"/>
  <c r="V686" i="1"/>
  <c r="U686" i="1"/>
  <c r="S686" i="1"/>
  <c r="R686" i="1"/>
  <c r="Q686" i="1"/>
  <c r="P686" i="1"/>
  <c r="T686" i="1" s="1"/>
  <c r="V685" i="1"/>
  <c r="U685" i="1"/>
  <c r="S685" i="1"/>
  <c r="R685" i="1"/>
  <c r="Q685" i="1"/>
  <c r="P685" i="1"/>
  <c r="T685" i="1" s="1"/>
  <c r="V684" i="1"/>
  <c r="U684" i="1"/>
  <c r="T684" i="1"/>
  <c r="S684" i="1"/>
  <c r="R684" i="1"/>
  <c r="Q684" i="1"/>
  <c r="P684" i="1"/>
  <c r="V683" i="1"/>
  <c r="U683" i="1"/>
  <c r="S683" i="1"/>
  <c r="R683" i="1"/>
  <c r="Q683" i="1"/>
  <c r="P683" i="1"/>
  <c r="T683" i="1" s="1"/>
  <c r="V682" i="1"/>
  <c r="U682" i="1"/>
  <c r="S682" i="1"/>
  <c r="R682" i="1"/>
  <c r="Q682" i="1"/>
  <c r="P682" i="1"/>
  <c r="T682" i="1" s="1"/>
  <c r="V681" i="1"/>
  <c r="U681" i="1"/>
  <c r="S681" i="1"/>
  <c r="R681" i="1"/>
  <c r="Q681" i="1"/>
  <c r="P681" i="1"/>
  <c r="T681" i="1" s="1"/>
  <c r="V680" i="1"/>
  <c r="U680" i="1"/>
  <c r="S680" i="1"/>
  <c r="R680" i="1"/>
  <c r="Q680" i="1"/>
  <c r="P680" i="1"/>
  <c r="T680" i="1" s="1"/>
  <c r="V679" i="1"/>
  <c r="U679" i="1"/>
  <c r="S679" i="1"/>
  <c r="R679" i="1"/>
  <c r="Q679" i="1"/>
  <c r="P679" i="1"/>
  <c r="T679" i="1" s="1"/>
  <c r="V678" i="1"/>
  <c r="U678" i="1"/>
  <c r="S678" i="1"/>
  <c r="R678" i="1"/>
  <c r="Q678" i="1"/>
  <c r="P678" i="1"/>
  <c r="T678" i="1" s="1"/>
  <c r="V677" i="1"/>
  <c r="U677" i="1"/>
  <c r="T677" i="1"/>
  <c r="S677" i="1"/>
  <c r="R677" i="1"/>
  <c r="Q677" i="1"/>
  <c r="P677" i="1"/>
  <c r="V676" i="1"/>
  <c r="U676" i="1"/>
  <c r="S676" i="1"/>
  <c r="R676" i="1"/>
  <c r="Q676" i="1"/>
  <c r="P676" i="1"/>
  <c r="T676" i="1" s="1"/>
  <c r="V675" i="1"/>
  <c r="U675" i="1"/>
  <c r="T675" i="1"/>
  <c r="S675" i="1"/>
  <c r="R675" i="1"/>
  <c r="Q675" i="1"/>
  <c r="P675" i="1"/>
  <c r="V674" i="1"/>
  <c r="U674" i="1"/>
  <c r="T674" i="1"/>
  <c r="S674" i="1"/>
  <c r="R674" i="1"/>
  <c r="Q674" i="1"/>
  <c r="P674" i="1"/>
  <c r="V673" i="1"/>
  <c r="U673" i="1"/>
  <c r="S673" i="1"/>
  <c r="R673" i="1"/>
  <c r="Q673" i="1"/>
  <c r="P673" i="1"/>
  <c r="T673" i="1" s="1"/>
  <c r="V672" i="1"/>
  <c r="U672" i="1"/>
  <c r="S672" i="1"/>
  <c r="R672" i="1"/>
  <c r="Q672" i="1"/>
  <c r="P672" i="1"/>
  <c r="T672" i="1" s="1"/>
  <c r="V671" i="1"/>
  <c r="U671" i="1"/>
  <c r="S671" i="1"/>
  <c r="R671" i="1"/>
  <c r="Q671" i="1"/>
  <c r="P671" i="1"/>
  <c r="T671" i="1" s="1"/>
  <c r="V670" i="1"/>
  <c r="U670" i="1"/>
  <c r="S670" i="1"/>
  <c r="R670" i="1"/>
  <c r="Q670" i="1"/>
  <c r="P670" i="1"/>
  <c r="T670" i="1" s="1"/>
  <c r="V669" i="1"/>
  <c r="U669" i="1"/>
  <c r="S669" i="1"/>
  <c r="R669" i="1"/>
  <c r="Q669" i="1"/>
  <c r="P669" i="1"/>
  <c r="T669" i="1" s="1"/>
  <c r="V668" i="1"/>
  <c r="U668" i="1"/>
  <c r="T668" i="1"/>
  <c r="S668" i="1"/>
  <c r="R668" i="1"/>
  <c r="Q668" i="1"/>
  <c r="P668" i="1"/>
  <c r="V667" i="1"/>
  <c r="U667" i="1"/>
  <c r="S667" i="1"/>
  <c r="R667" i="1"/>
  <c r="Q667" i="1"/>
  <c r="P667" i="1"/>
  <c r="T667" i="1" s="1"/>
  <c r="V666" i="1"/>
  <c r="U666" i="1"/>
  <c r="S666" i="1"/>
  <c r="R666" i="1"/>
  <c r="Q666" i="1"/>
  <c r="P666" i="1"/>
  <c r="T666" i="1" s="1"/>
  <c r="V665" i="1"/>
  <c r="U665" i="1"/>
  <c r="S665" i="1"/>
  <c r="R665" i="1"/>
  <c r="Q665" i="1"/>
  <c r="P665" i="1"/>
  <c r="T665" i="1" s="1"/>
  <c r="V664" i="1"/>
  <c r="U664" i="1"/>
  <c r="S664" i="1"/>
  <c r="R664" i="1"/>
  <c r="Q664" i="1"/>
  <c r="P664" i="1"/>
  <c r="T664" i="1" s="1"/>
  <c r="V663" i="1"/>
  <c r="U663" i="1"/>
  <c r="S663" i="1"/>
  <c r="R663" i="1"/>
  <c r="Q663" i="1"/>
  <c r="P663" i="1"/>
  <c r="T663" i="1" s="1"/>
  <c r="V662" i="1"/>
  <c r="U662" i="1"/>
  <c r="S662" i="1"/>
  <c r="R662" i="1"/>
  <c r="Q662" i="1"/>
  <c r="P662" i="1"/>
  <c r="T662" i="1" s="1"/>
  <c r="V661" i="1"/>
  <c r="U661" i="1"/>
  <c r="T661" i="1"/>
  <c r="S661" i="1"/>
  <c r="R661" i="1"/>
  <c r="Q661" i="1"/>
  <c r="P661" i="1"/>
  <c r="V660" i="1"/>
  <c r="U660" i="1"/>
  <c r="S660" i="1"/>
  <c r="R660" i="1"/>
  <c r="Q660" i="1"/>
  <c r="P660" i="1"/>
  <c r="T660" i="1" s="1"/>
  <c r="V659" i="1"/>
  <c r="U659" i="1"/>
  <c r="T659" i="1"/>
  <c r="S659" i="1"/>
  <c r="R659" i="1"/>
  <c r="Q659" i="1"/>
  <c r="P659" i="1"/>
  <c r="V658" i="1"/>
  <c r="U658" i="1"/>
  <c r="T658" i="1"/>
  <c r="S658" i="1"/>
  <c r="R658" i="1"/>
  <c r="Q658" i="1"/>
  <c r="P658" i="1"/>
  <c r="V657" i="1"/>
  <c r="U657" i="1"/>
  <c r="S657" i="1"/>
  <c r="R657" i="1"/>
  <c r="Q657" i="1"/>
  <c r="P657" i="1"/>
  <c r="T657" i="1" s="1"/>
  <c r="V656" i="1"/>
  <c r="U656" i="1"/>
  <c r="S656" i="1"/>
  <c r="R656" i="1"/>
  <c r="Q656" i="1"/>
  <c r="P656" i="1"/>
  <c r="T656" i="1" s="1"/>
  <c r="V655" i="1"/>
  <c r="U655" i="1"/>
  <c r="S655" i="1"/>
  <c r="R655" i="1"/>
  <c r="Q655" i="1"/>
  <c r="P655" i="1"/>
  <c r="T655" i="1" s="1"/>
  <c r="V654" i="1"/>
  <c r="U654" i="1"/>
  <c r="S654" i="1"/>
  <c r="R654" i="1"/>
  <c r="Q654" i="1"/>
  <c r="P654" i="1"/>
  <c r="T654" i="1" s="1"/>
  <c r="V653" i="1"/>
  <c r="U653" i="1"/>
  <c r="S653" i="1"/>
  <c r="R653" i="1"/>
  <c r="Q653" i="1"/>
  <c r="P653" i="1"/>
  <c r="T653" i="1" s="1"/>
  <c r="V652" i="1"/>
  <c r="U652" i="1"/>
  <c r="T652" i="1"/>
  <c r="S652" i="1"/>
  <c r="R652" i="1"/>
  <c r="Q652" i="1"/>
  <c r="P652" i="1"/>
  <c r="V651" i="1"/>
  <c r="U651" i="1"/>
  <c r="S651" i="1"/>
  <c r="R651" i="1"/>
  <c r="Q651" i="1"/>
  <c r="P651" i="1"/>
  <c r="T651" i="1" s="1"/>
  <c r="V650" i="1"/>
  <c r="U650" i="1"/>
  <c r="S650" i="1"/>
  <c r="R650" i="1"/>
  <c r="Q650" i="1"/>
  <c r="P650" i="1"/>
  <c r="T650" i="1" s="1"/>
  <c r="V649" i="1"/>
  <c r="U649" i="1"/>
  <c r="S649" i="1"/>
  <c r="R649" i="1"/>
  <c r="Q649" i="1"/>
  <c r="P649" i="1"/>
  <c r="T649" i="1" s="1"/>
  <c r="V648" i="1"/>
  <c r="U648" i="1"/>
  <c r="S648" i="1"/>
  <c r="R648" i="1"/>
  <c r="Q648" i="1"/>
  <c r="P648" i="1"/>
  <c r="T648" i="1" s="1"/>
  <c r="V647" i="1"/>
  <c r="U647" i="1"/>
  <c r="S647" i="1"/>
  <c r="R647" i="1"/>
  <c r="Q647" i="1"/>
  <c r="P647" i="1"/>
  <c r="T647" i="1" s="1"/>
  <c r="V646" i="1"/>
  <c r="U646" i="1"/>
  <c r="S646" i="1"/>
  <c r="R646" i="1"/>
  <c r="Q646" i="1"/>
  <c r="P646" i="1"/>
  <c r="T646" i="1" s="1"/>
  <c r="V645" i="1"/>
  <c r="U645" i="1"/>
  <c r="T645" i="1"/>
  <c r="S645" i="1"/>
  <c r="R645" i="1"/>
  <c r="Q645" i="1"/>
  <c r="P645" i="1"/>
  <c r="V644" i="1"/>
  <c r="U644" i="1"/>
  <c r="S644" i="1"/>
  <c r="R644" i="1"/>
  <c r="Q644" i="1"/>
  <c r="P644" i="1"/>
  <c r="T644" i="1" s="1"/>
  <c r="V643" i="1"/>
  <c r="U643" i="1"/>
  <c r="T643" i="1"/>
  <c r="S643" i="1"/>
  <c r="R643" i="1"/>
  <c r="Q643" i="1"/>
  <c r="P643" i="1"/>
  <c r="V642" i="1"/>
  <c r="U642" i="1"/>
  <c r="T642" i="1"/>
  <c r="S642" i="1"/>
  <c r="R642" i="1"/>
  <c r="Q642" i="1"/>
  <c r="P642" i="1"/>
  <c r="V641" i="1"/>
  <c r="U641" i="1"/>
  <c r="S641" i="1"/>
  <c r="R641" i="1"/>
  <c r="Q641" i="1"/>
  <c r="P641" i="1"/>
  <c r="T641" i="1" s="1"/>
  <c r="V640" i="1"/>
  <c r="U640" i="1"/>
  <c r="S640" i="1"/>
  <c r="R640" i="1"/>
  <c r="Q640" i="1"/>
  <c r="P640" i="1"/>
  <c r="T640" i="1" s="1"/>
  <c r="V639" i="1"/>
  <c r="U639" i="1"/>
  <c r="S639" i="1"/>
  <c r="R639" i="1"/>
  <c r="Q639" i="1"/>
  <c r="P639" i="1"/>
  <c r="T639" i="1" s="1"/>
  <c r="V638" i="1"/>
  <c r="U638" i="1"/>
  <c r="S638" i="1"/>
  <c r="R638" i="1"/>
  <c r="Q638" i="1"/>
  <c r="P638" i="1"/>
  <c r="T638" i="1" s="1"/>
  <c r="V637" i="1"/>
  <c r="U637" i="1"/>
  <c r="S637" i="1"/>
  <c r="R637" i="1"/>
  <c r="Q637" i="1"/>
  <c r="P637" i="1"/>
  <c r="T637" i="1" s="1"/>
  <c r="V636" i="1"/>
  <c r="U636" i="1"/>
  <c r="T636" i="1"/>
  <c r="S636" i="1"/>
  <c r="R636" i="1"/>
  <c r="Q636" i="1"/>
  <c r="P636" i="1"/>
  <c r="V635" i="1"/>
  <c r="U635" i="1"/>
  <c r="S635" i="1"/>
  <c r="R635" i="1"/>
  <c r="Q635" i="1"/>
  <c r="P635" i="1"/>
  <c r="T635" i="1" s="1"/>
  <c r="V634" i="1"/>
  <c r="U634" i="1"/>
  <c r="S634" i="1"/>
  <c r="R634" i="1"/>
  <c r="Q634" i="1"/>
  <c r="P634" i="1"/>
  <c r="T634" i="1" s="1"/>
  <c r="V633" i="1"/>
  <c r="U633" i="1"/>
  <c r="S633" i="1"/>
  <c r="R633" i="1"/>
  <c r="Q633" i="1"/>
  <c r="P633" i="1"/>
  <c r="T633" i="1" s="1"/>
  <c r="V632" i="1"/>
  <c r="U632" i="1"/>
  <c r="S632" i="1"/>
  <c r="R632" i="1"/>
  <c r="Q632" i="1"/>
  <c r="P632" i="1"/>
  <c r="T632" i="1" s="1"/>
  <c r="V631" i="1"/>
  <c r="U631" i="1"/>
  <c r="S631" i="1"/>
  <c r="R631" i="1"/>
  <c r="Q631" i="1"/>
  <c r="P631" i="1"/>
  <c r="T631" i="1" s="1"/>
  <c r="V630" i="1"/>
  <c r="U630" i="1"/>
  <c r="S630" i="1"/>
  <c r="R630" i="1"/>
  <c r="Q630" i="1"/>
  <c r="P630" i="1"/>
  <c r="T630" i="1" s="1"/>
  <c r="V629" i="1"/>
  <c r="U629" i="1"/>
  <c r="T629" i="1"/>
  <c r="S629" i="1"/>
  <c r="R629" i="1"/>
  <c r="Q629" i="1"/>
  <c r="P629" i="1"/>
  <c r="V628" i="1"/>
  <c r="U628" i="1"/>
  <c r="S628" i="1"/>
  <c r="R628" i="1"/>
  <c r="Q628" i="1"/>
  <c r="P628" i="1"/>
  <c r="T628" i="1" s="1"/>
  <c r="V627" i="1"/>
  <c r="U627" i="1"/>
  <c r="T627" i="1"/>
  <c r="S627" i="1"/>
  <c r="R627" i="1"/>
  <c r="Q627" i="1"/>
  <c r="P627" i="1"/>
  <c r="V626" i="1"/>
  <c r="U626" i="1"/>
  <c r="T626" i="1"/>
  <c r="S626" i="1"/>
  <c r="R626" i="1"/>
  <c r="Q626" i="1"/>
  <c r="P626" i="1"/>
  <c r="V625" i="1"/>
  <c r="U625" i="1"/>
  <c r="S625" i="1"/>
  <c r="R625" i="1"/>
  <c r="Q625" i="1"/>
  <c r="P625" i="1"/>
  <c r="T625" i="1" s="1"/>
  <c r="V624" i="1"/>
  <c r="U624" i="1"/>
  <c r="S624" i="1"/>
  <c r="R624" i="1"/>
  <c r="Q624" i="1"/>
  <c r="P624" i="1"/>
  <c r="T624" i="1" s="1"/>
  <c r="V623" i="1"/>
  <c r="U623" i="1"/>
  <c r="S623" i="1"/>
  <c r="R623" i="1"/>
  <c r="Q623" i="1"/>
  <c r="P623" i="1"/>
  <c r="T623" i="1" s="1"/>
  <c r="V622" i="1"/>
  <c r="U622" i="1"/>
  <c r="S622" i="1"/>
  <c r="R622" i="1"/>
  <c r="Q622" i="1"/>
  <c r="P622" i="1"/>
  <c r="T622" i="1" s="1"/>
  <c r="V621" i="1"/>
  <c r="U621" i="1"/>
  <c r="S621" i="1"/>
  <c r="R621" i="1"/>
  <c r="Q621" i="1"/>
  <c r="P621" i="1"/>
  <c r="T621" i="1" s="1"/>
  <c r="V620" i="1"/>
  <c r="U620" i="1"/>
  <c r="T620" i="1"/>
  <c r="S620" i="1"/>
  <c r="R620" i="1"/>
  <c r="Q620" i="1"/>
  <c r="P620" i="1"/>
  <c r="V619" i="1"/>
  <c r="U619" i="1"/>
  <c r="S619" i="1"/>
  <c r="R619" i="1"/>
  <c r="Q619" i="1"/>
  <c r="P619" i="1"/>
  <c r="T619" i="1" s="1"/>
  <c r="V618" i="1"/>
  <c r="U618" i="1"/>
  <c r="S618" i="1"/>
  <c r="R618" i="1"/>
  <c r="Q618" i="1"/>
  <c r="P618" i="1"/>
  <c r="T618" i="1" s="1"/>
  <c r="V617" i="1"/>
  <c r="U617" i="1"/>
  <c r="S617" i="1"/>
  <c r="R617" i="1"/>
  <c r="Q617" i="1"/>
  <c r="P617" i="1"/>
  <c r="T617" i="1" s="1"/>
  <c r="V616" i="1"/>
  <c r="U616" i="1"/>
  <c r="S616" i="1"/>
  <c r="R616" i="1"/>
  <c r="Q616" i="1"/>
  <c r="P616" i="1"/>
  <c r="T616" i="1" s="1"/>
  <c r="V615" i="1"/>
  <c r="U615" i="1"/>
  <c r="S615" i="1"/>
  <c r="R615" i="1"/>
  <c r="Q615" i="1"/>
  <c r="P615" i="1"/>
  <c r="T615" i="1" s="1"/>
  <c r="V614" i="1"/>
  <c r="U614" i="1"/>
  <c r="S614" i="1"/>
  <c r="R614" i="1"/>
  <c r="Q614" i="1"/>
  <c r="P614" i="1"/>
  <c r="T614" i="1" s="1"/>
  <c r="V613" i="1"/>
  <c r="U613" i="1"/>
  <c r="T613" i="1"/>
  <c r="S613" i="1"/>
  <c r="R613" i="1"/>
  <c r="Q613" i="1"/>
  <c r="P613" i="1"/>
  <c r="V612" i="1"/>
  <c r="U612" i="1"/>
  <c r="S612" i="1"/>
  <c r="R612" i="1"/>
  <c r="Q612" i="1"/>
  <c r="P612" i="1"/>
  <c r="T612" i="1" s="1"/>
  <c r="V611" i="1"/>
  <c r="U611" i="1"/>
  <c r="S611" i="1"/>
  <c r="R611" i="1"/>
  <c r="Q611" i="1"/>
  <c r="P611" i="1"/>
  <c r="T611" i="1" s="1"/>
  <c r="V610" i="1"/>
  <c r="U610" i="1"/>
  <c r="S610" i="1"/>
  <c r="R610" i="1"/>
  <c r="Q610" i="1"/>
  <c r="P610" i="1"/>
  <c r="T610" i="1" s="1"/>
  <c r="V609" i="1"/>
  <c r="U609" i="1"/>
  <c r="S609" i="1"/>
  <c r="R609" i="1"/>
  <c r="Q609" i="1"/>
  <c r="P609" i="1"/>
  <c r="T609" i="1" s="1"/>
  <c r="V608" i="1"/>
  <c r="U608" i="1"/>
  <c r="S608" i="1"/>
  <c r="R608" i="1"/>
  <c r="Q608" i="1"/>
  <c r="P608" i="1"/>
  <c r="T608" i="1" s="1"/>
  <c r="V607" i="1"/>
  <c r="U607" i="1"/>
  <c r="S607" i="1"/>
  <c r="R607" i="1"/>
  <c r="Q607" i="1"/>
  <c r="P607" i="1"/>
  <c r="T607" i="1" s="1"/>
  <c r="V606" i="1"/>
  <c r="U606" i="1"/>
  <c r="S606" i="1"/>
  <c r="R606" i="1"/>
  <c r="Q606" i="1"/>
  <c r="P606" i="1"/>
  <c r="T606" i="1" s="1"/>
  <c r="V605" i="1"/>
  <c r="U605" i="1"/>
  <c r="S605" i="1"/>
  <c r="R605" i="1"/>
  <c r="Q605" i="1"/>
  <c r="P605" i="1"/>
  <c r="T605" i="1" s="1"/>
  <c r="V604" i="1"/>
  <c r="U604" i="1"/>
  <c r="T604" i="1"/>
  <c r="S604" i="1"/>
  <c r="R604" i="1"/>
  <c r="Q604" i="1"/>
  <c r="P604" i="1"/>
  <c r="V603" i="1"/>
  <c r="U603" i="1"/>
  <c r="S603" i="1"/>
  <c r="R603" i="1"/>
  <c r="Q603" i="1"/>
  <c r="P603" i="1"/>
  <c r="T603" i="1" s="1"/>
  <c r="V602" i="1"/>
  <c r="U602" i="1"/>
  <c r="T602" i="1"/>
  <c r="S602" i="1"/>
  <c r="R602" i="1"/>
  <c r="Q602" i="1"/>
  <c r="P602" i="1"/>
  <c r="V601" i="1"/>
  <c r="U601" i="1"/>
  <c r="S601" i="1"/>
  <c r="R601" i="1"/>
  <c r="Q601" i="1"/>
  <c r="P601" i="1"/>
  <c r="T601" i="1" s="1"/>
  <c r="V600" i="1"/>
  <c r="U600" i="1"/>
  <c r="S600" i="1"/>
  <c r="R600" i="1"/>
  <c r="Q600" i="1"/>
  <c r="P600" i="1"/>
  <c r="T600" i="1" s="1"/>
  <c r="V599" i="1"/>
  <c r="U599" i="1"/>
  <c r="T599" i="1"/>
  <c r="S599" i="1"/>
  <c r="R599" i="1"/>
  <c r="Q599" i="1"/>
  <c r="P599" i="1"/>
  <c r="V598" i="1"/>
  <c r="U598" i="1"/>
  <c r="S598" i="1"/>
  <c r="R598" i="1"/>
  <c r="Q598" i="1"/>
  <c r="P598" i="1"/>
  <c r="T598" i="1" s="1"/>
  <c r="V597" i="1"/>
  <c r="U597" i="1"/>
  <c r="T597" i="1"/>
  <c r="S597" i="1"/>
  <c r="R597" i="1"/>
  <c r="Q597" i="1"/>
  <c r="P597" i="1"/>
  <c r="V596" i="1"/>
  <c r="U596" i="1"/>
  <c r="S596" i="1"/>
  <c r="R596" i="1"/>
  <c r="Q596" i="1"/>
  <c r="P596" i="1"/>
  <c r="T596" i="1" s="1"/>
  <c r="V595" i="1"/>
  <c r="U595" i="1"/>
  <c r="S595" i="1"/>
  <c r="R595" i="1"/>
  <c r="Q595" i="1"/>
  <c r="P595" i="1"/>
  <c r="T595" i="1" s="1"/>
  <c r="V594" i="1"/>
  <c r="U594" i="1"/>
  <c r="S594" i="1"/>
  <c r="R594" i="1"/>
  <c r="Q594" i="1"/>
  <c r="P594" i="1"/>
  <c r="T594" i="1" s="1"/>
  <c r="V593" i="1"/>
  <c r="U593" i="1"/>
  <c r="S593" i="1"/>
  <c r="R593" i="1"/>
  <c r="Q593" i="1"/>
  <c r="P593" i="1"/>
  <c r="T593" i="1" s="1"/>
  <c r="V592" i="1"/>
  <c r="U592" i="1"/>
  <c r="S592" i="1"/>
  <c r="R592" i="1"/>
  <c r="Q592" i="1"/>
  <c r="P592" i="1"/>
  <c r="T592" i="1" s="1"/>
  <c r="V591" i="1"/>
  <c r="U591" i="1"/>
  <c r="S591" i="1"/>
  <c r="R591" i="1"/>
  <c r="Q591" i="1"/>
  <c r="P591" i="1"/>
  <c r="T591" i="1" s="1"/>
  <c r="V590" i="1"/>
  <c r="U590" i="1"/>
  <c r="S590" i="1"/>
  <c r="R590" i="1"/>
  <c r="Q590" i="1"/>
  <c r="P590" i="1"/>
  <c r="T590" i="1" s="1"/>
  <c r="V589" i="1"/>
  <c r="U589" i="1"/>
  <c r="S589" i="1"/>
  <c r="R589" i="1"/>
  <c r="Q589" i="1"/>
  <c r="P589" i="1"/>
  <c r="T589" i="1" s="1"/>
  <c r="V588" i="1"/>
  <c r="U588" i="1"/>
  <c r="T588" i="1"/>
  <c r="S588" i="1"/>
  <c r="R588" i="1"/>
  <c r="Q588" i="1"/>
  <c r="P588" i="1"/>
  <c r="V587" i="1"/>
  <c r="U587" i="1"/>
  <c r="S587" i="1"/>
  <c r="R587" i="1"/>
  <c r="Q587" i="1"/>
  <c r="P587" i="1"/>
  <c r="T587" i="1" s="1"/>
  <c r="V586" i="1"/>
  <c r="U586" i="1"/>
  <c r="T586" i="1"/>
  <c r="S586" i="1"/>
  <c r="R586" i="1"/>
  <c r="Q586" i="1"/>
  <c r="P586" i="1"/>
  <c r="V585" i="1"/>
  <c r="U585" i="1"/>
  <c r="S585" i="1"/>
  <c r="R585" i="1"/>
  <c r="Q585" i="1"/>
  <c r="P585" i="1"/>
  <c r="T585" i="1" s="1"/>
  <c r="V584" i="1"/>
  <c r="U584" i="1"/>
  <c r="S584" i="1"/>
  <c r="R584" i="1"/>
  <c r="Q584" i="1"/>
  <c r="P584" i="1"/>
  <c r="T584" i="1" s="1"/>
  <c r="V583" i="1"/>
  <c r="U583" i="1"/>
  <c r="T583" i="1"/>
  <c r="S583" i="1"/>
  <c r="R583" i="1"/>
  <c r="Q583" i="1"/>
  <c r="P583" i="1"/>
  <c r="V582" i="1"/>
  <c r="U582" i="1"/>
  <c r="S582" i="1"/>
  <c r="R582" i="1"/>
  <c r="Q582" i="1"/>
  <c r="P582" i="1"/>
  <c r="T582" i="1" s="1"/>
  <c r="V581" i="1"/>
  <c r="U581" i="1"/>
  <c r="T581" i="1"/>
  <c r="S581" i="1"/>
  <c r="R581" i="1"/>
  <c r="Q581" i="1"/>
  <c r="P581" i="1"/>
  <c r="V580" i="1"/>
  <c r="U580" i="1"/>
  <c r="S580" i="1"/>
  <c r="R580" i="1"/>
  <c r="Q580" i="1"/>
  <c r="P580" i="1"/>
  <c r="T580" i="1" s="1"/>
  <c r="V579" i="1"/>
  <c r="U579" i="1"/>
  <c r="S579" i="1"/>
  <c r="R579" i="1"/>
  <c r="Q579" i="1"/>
  <c r="P579" i="1"/>
  <c r="T579" i="1" s="1"/>
  <c r="V578" i="1"/>
  <c r="U578" i="1"/>
  <c r="S578" i="1"/>
  <c r="R578" i="1"/>
  <c r="Q578" i="1"/>
  <c r="P578" i="1"/>
  <c r="T578" i="1" s="1"/>
  <c r="V577" i="1"/>
  <c r="U577" i="1"/>
  <c r="S577" i="1"/>
  <c r="R577" i="1"/>
  <c r="Q577" i="1"/>
  <c r="P577" i="1"/>
  <c r="T577" i="1" s="1"/>
  <c r="V576" i="1"/>
  <c r="U576" i="1"/>
  <c r="S576" i="1"/>
  <c r="R576" i="1"/>
  <c r="Q576" i="1"/>
  <c r="P576" i="1"/>
  <c r="T576" i="1" s="1"/>
  <c r="V575" i="1"/>
  <c r="U575" i="1"/>
  <c r="S575" i="1"/>
  <c r="R575" i="1"/>
  <c r="Q575" i="1"/>
  <c r="P575" i="1"/>
  <c r="T575" i="1" s="1"/>
  <c r="V574" i="1"/>
  <c r="U574" i="1"/>
  <c r="S574" i="1"/>
  <c r="R574" i="1"/>
  <c r="Q574" i="1"/>
  <c r="P574" i="1"/>
  <c r="T574" i="1" s="1"/>
  <c r="V573" i="1"/>
  <c r="U573" i="1"/>
  <c r="S573" i="1"/>
  <c r="R573" i="1"/>
  <c r="Q573" i="1"/>
  <c r="P573" i="1"/>
  <c r="T573" i="1" s="1"/>
  <c r="V572" i="1"/>
  <c r="U572" i="1"/>
  <c r="T572" i="1"/>
  <c r="S572" i="1"/>
  <c r="R572" i="1"/>
  <c r="Q572" i="1"/>
  <c r="P572" i="1"/>
  <c r="V571" i="1"/>
  <c r="U571" i="1"/>
  <c r="S571" i="1"/>
  <c r="R571" i="1"/>
  <c r="Q571" i="1"/>
  <c r="P571" i="1"/>
  <c r="T571" i="1" s="1"/>
  <c r="V570" i="1"/>
  <c r="U570" i="1"/>
  <c r="T570" i="1"/>
  <c r="S570" i="1"/>
  <c r="R570" i="1"/>
  <c r="Q570" i="1"/>
  <c r="P570" i="1"/>
  <c r="V569" i="1"/>
  <c r="U569" i="1"/>
  <c r="S569" i="1"/>
  <c r="R569" i="1"/>
  <c r="Q569" i="1"/>
  <c r="P569" i="1"/>
  <c r="T569" i="1" s="1"/>
  <c r="V568" i="1"/>
  <c r="U568" i="1"/>
  <c r="S568" i="1"/>
  <c r="R568" i="1"/>
  <c r="Q568" i="1"/>
  <c r="P568" i="1"/>
  <c r="T568" i="1" s="1"/>
  <c r="V567" i="1"/>
  <c r="U567" i="1"/>
  <c r="T567" i="1"/>
  <c r="S567" i="1"/>
  <c r="R567" i="1"/>
  <c r="Q567" i="1"/>
  <c r="P567" i="1"/>
  <c r="V566" i="1"/>
  <c r="U566" i="1"/>
  <c r="S566" i="1"/>
  <c r="R566" i="1"/>
  <c r="Q566" i="1"/>
  <c r="P566" i="1"/>
  <c r="T566" i="1" s="1"/>
  <c r="V565" i="1"/>
  <c r="U565" i="1"/>
  <c r="T565" i="1"/>
  <c r="S565" i="1"/>
  <c r="R565" i="1"/>
  <c r="Q565" i="1"/>
  <c r="P565" i="1"/>
  <c r="V564" i="1"/>
  <c r="U564" i="1"/>
  <c r="S564" i="1"/>
  <c r="R564" i="1"/>
  <c r="Q564" i="1"/>
  <c r="P564" i="1"/>
  <c r="T564" i="1" s="1"/>
  <c r="V563" i="1"/>
  <c r="U563" i="1"/>
  <c r="S563" i="1"/>
  <c r="R563" i="1"/>
  <c r="Q563" i="1"/>
  <c r="P563" i="1"/>
  <c r="T563" i="1" s="1"/>
  <c r="V562" i="1"/>
  <c r="U562" i="1"/>
  <c r="S562" i="1"/>
  <c r="R562" i="1"/>
  <c r="Q562" i="1"/>
  <c r="P562" i="1"/>
  <c r="T562" i="1" s="1"/>
  <c r="V561" i="1"/>
  <c r="U561" i="1"/>
  <c r="S561" i="1"/>
  <c r="R561" i="1"/>
  <c r="Q561" i="1"/>
  <c r="P561" i="1"/>
  <c r="T561" i="1" s="1"/>
  <c r="V560" i="1"/>
  <c r="U560" i="1"/>
  <c r="S560" i="1"/>
  <c r="R560" i="1"/>
  <c r="Q560" i="1"/>
  <c r="P560" i="1"/>
  <c r="T560" i="1" s="1"/>
  <c r="V559" i="1"/>
  <c r="U559" i="1"/>
  <c r="S559" i="1"/>
  <c r="R559" i="1"/>
  <c r="Q559" i="1"/>
  <c r="P559" i="1"/>
  <c r="T559" i="1" s="1"/>
  <c r="V558" i="1"/>
  <c r="U558" i="1"/>
  <c r="S558" i="1"/>
  <c r="R558" i="1"/>
  <c r="Q558" i="1"/>
  <c r="P558" i="1"/>
  <c r="T558" i="1" s="1"/>
  <c r="V557" i="1"/>
  <c r="U557" i="1"/>
  <c r="S557" i="1"/>
  <c r="R557" i="1"/>
  <c r="Q557" i="1"/>
  <c r="P557" i="1"/>
  <c r="T557" i="1" s="1"/>
  <c r="V556" i="1"/>
  <c r="U556" i="1"/>
  <c r="T556" i="1"/>
  <c r="S556" i="1"/>
  <c r="R556" i="1"/>
  <c r="Q556" i="1"/>
  <c r="P556" i="1"/>
  <c r="V555" i="1"/>
  <c r="U555" i="1"/>
  <c r="S555" i="1"/>
  <c r="R555" i="1"/>
  <c r="Q555" i="1"/>
  <c r="P555" i="1"/>
  <c r="T555" i="1" s="1"/>
  <c r="V554" i="1"/>
  <c r="U554" i="1"/>
  <c r="T554" i="1"/>
  <c r="S554" i="1"/>
  <c r="R554" i="1"/>
  <c r="Q554" i="1"/>
  <c r="P554" i="1"/>
  <c r="V553" i="1"/>
  <c r="U553" i="1"/>
  <c r="S553" i="1"/>
  <c r="R553" i="1"/>
  <c r="Q553" i="1"/>
  <c r="P553" i="1"/>
  <c r="T553" i="1" s="1"/>
  <c r="V552" i="1"/>
  <c r="U552" i="1"/>
  <c r="S552" i="1"/>
  <c r="R552" i="1"/>
  <c r="Q552" i="1"/>
  <c r="P552" i="1"/>
  <c r="T552" i="1" s="1"/>
  <c r="V551" i="1"/>
  <c r="U551" i="1"/>
  <c r="T551" i="1"/>
  <c r="S551" i="1"/>
  <c r="R551" i="1"/>
  <c r="Q551" i="1"/>
  <c r="P551" i="1"/>
  <c r="V550" i="1"/>
  <c r="U550" i="1"/>
  <c r="S550" i="1"/>
  <c r="R550" i="1"/>
  <c r="Q550" i="1"/>
  <c r="P550" i="1"/>
  <c r="T550" i="1" s="1"/>
  <c r="V549" i="1"/>
  <c r="U549" i="1"/>
  <c r="T549" i="1"/>
  <c r="S549" i="1"/>
  <c r="R549" i="1"/>
  <c r="Q549" i="1"/>
  <c r="P549" i="1"/>
  <c r="V548" i="1"/>
  <c r="U548" i="1"/>
  <c r="S548" i="1"/>
  <c r="R548" i="1"/>
  <c r="Q548" i="1"/>
  <c r="P548" i="1"/>
  <c r="T548" i="1" s="1"/>
  <c r="V547" i="1"/>
  <c r="U547" i="1"/>
  <c r="S547" i="1"/>
  <c r="R547" i="1"/>
  <c r="Q547" i="1"/>
  <c r="P547" i="1"/>
  <c r="T547" i="1" s="1"/>
  <c r="V546" i="1"/>
  <c r="U546" i="1"/>
  <c r="S546" i="1"/>
  <c r="R546" i="1"/>
  <c r="Q546" i="1"/>
  <c r="P546" i="1"/>
  <c r="T546" i="1" s="1"/>
  <c r="V545" i="1"/>
  <c r="U545" i="1"/>
  <c r="S545" i="1"/>
  <c r="R545" i="1"/>
  <c r="Q545" i="1"/>
  <c r="P545" i="1"/>
  <c r="T545" i="1" s="1"/>
  <c r="V544" i="1"/>
  <c r="U544" i="1"/>
  <c r="S544" i="1"/>
  <c r="R544" i="1"/>
  <c r="Q544" i="1"/>
  <c r="P544" i="1"/>
  <c r="T544" i="1" s="1"/>
  <c r="V543" i="1"/>
  <c r="U543" i="1"/>
  <c r="S543" i="1"/>
  <c r="R543" i="1"/>
  <c r="Q543" i="1"/>
  <c r="P543" i="1"/>
  <c r="T543" i="1" s="1"/>
  <c r="V542" i="1"/>
  <c r="U542" i="1"/>
  <c r="S542" i="1"/>
  <c r="R542" i="1"/>
  <c r="Q542" i="1"/>
  <c r="P542" i="1"/>
  <c r="T542" i="1" s="1"/>
  <c r="V541" i="1"/>
  <c r="U541" i="1"/>
  <c r="S541" i="1"/>
  <c r="R541" i="1"/>
  <c r="Q541" i="1"/>
  <c r="P541" i="1"/>
  <c r="T541" i="1" s="1"/>
  <c r="V540" i="1"/>
  <c r="U540" i="1"/>
  <c r="T540" i="1"/>
  <c r="S540" i="1"/>
  <c r="R540" i="1"/>
  <c r="Q540" i="1"/>
  <c r="P540" i="1"/>
  <c r="V539" i="1"/>
  <c r="U539" i="1"/>
  <c r="S539" i="1"/>
  <c r="R539" i="1"/>
  <c r="Q539" i="1"/>
  <c r="P539" i="1"/>
  <c r="T539" i="1" s="1"/>
  <c r="V538" i="1"/>
  <c r="U538" i="1"/>
  <c r="T538" i="1"/>
  <c r="S538" i="1"/>
  <c r="R538" i="1"/>
  <c r="Q538" i="1"/>
  <c r="P538" i="1"/>
  <c r="V537" i="1"/>
  <c r="U537" i="1"/>
  <c r="S537" i="1"/>
  <c r="R537" i="1"/>
  <c r="Q537" i="1"/>
  <c r="P537" i="1"/>
  <c r="T537" i="1" s="1"/>
  <c r="V536" i="1"/>
  <c r="U536" i="1"/>
  <c r="S536" i="1"/>
  <c r="R536" i="1"/>
  <c r="Q536" i="1"/>
  <c r="P536" i="1"/>
  <c r="T536" i="1" s="1"/>
  <c r="V535" i="1"/>
  <c r="U535" i="1"/>
  <c r="T535" i="1"/>
  <c r="S535" i="1"/>
  <c r="R535" i="1"/>
  <c r="Q535" i="1"/>
  <c r="P535" i="1"/>
  <c r="V534" i="1"/>
  <c r="U534" i="1"/>
  <c r="S534" i="1"/>
  <c r="R534" i="1"/>
  <c r="Q534" i="1"/>
  <c r="P534" i="1"/>
  <c r="T534" i="1" s="1"/>
  <c r="V533" i="1"/>
  <c r="U533" i="1"/>
  <c r="T533" i="1"/>
  <c r="S533" i="1"/>
  <c r="R533" i="1"/>
  <c r="Q533" i="1"/>
  <c r="P533" i="1"/>
  <c r="V532" i="1"/>
  <c r="U532" i="1"/>
  <c r="S532" i="1"/>
  <c r="R532" i="1"/>
  <c r="Q532" i="1"/>
  <c r="P532" i="1"/>
  <c r="T532" i="1" s="1"/>
  <c r="V531" i="1"/>
  <c r="U531" i="1"/>
  <c r="S531" i="1"/>
  <c r="R531" i="1"/>
  <c r="Q531" i="1"/>
  <c r="P531" i="1"/>
  <c r="T531" i="1" s="1"/>
  <c r="V530" i="1"/>
  <c r="U530" i="1"/>
  <c r="S530" i="1"/>
  <c r="R530" i="1"/>
  <c r="Q530" i="1"/>
  <c r="P530" i="1"/>
  <c r="T530" i="1" s="1"/>
  <c r="V529" i="1"/>
  <c r="U529" i="1"/>
  <c r="S529" i="1"/>
  <c r="R529" i="1"/>
  <c r="Q529" i="1"/>
  <c r="P529" i="1"/>
  <c r="T529" i="1" s="1"/>
  <c r="V528" i="1"/>
  <c r="U528" i="1"/>
  <c r="S528" i="1"/>
  <c r="R528" i="1"/>
  <c r="Q528" i="1"/>
  <c r="P528" i="1"/>
  <c r="T528" i="1" s="1"/>
  <c r="V527" i="1"/>
  <c r="U527" i="1"/>
  <c r="S527" i="1"/>
  <c r="R527" i="1"/>
  <c r="Q527" i="1"/>
  <c r="P527" i="1"/>
  <c r="T527" i="1" s="1"/>
  <c r="V526" i="1"/>
  <c r="U526" i="1"/>
  <c r="S526" i="1"/>
  <c r="R526" i="1"/>
  <c r="Q526" i="1"/>
  <c r="P526" i="1"/>
  <c r="T526" i="1" s="1"/>
  <c r="V525" i="1"/>
  <c r="U525" i="1"/>
  <c r="S525" i="1"/>
  <c r="R525" i="1"/>
  <c r="Q525" i="1"/>
  <c r="P525" i="1"/>
  <c r="T525" i="1" s="1"/>
  <c r="V524" i="1"/>
  <c r="U524" i="1"/>
  <c r="T524" i="1"/>
  <c r="S524" i="1"/>
  <c r="R524" i="1"/>
  <c r="Q524" i="1"/>
  <c r="P524" i="1"/>
  <c r="V523" i="1"/>
  <c r="U523" i="1"/>
  <c r="S523" i="1"/>
  <c r="R523" i="1"/>
  <c r="Q523" i="1"/>
  <c r="P523" i="1"/>
  <c r="T523" i="1" s="1"/>
  <c r="V522" i="1"/>
  <c r="U522" i="1"/>
  <c r="S522" i="1"/>
  <c r="R522" i="1"/>
  <c r="Q522" i="1"/>
  <c r="P522" i="1"/>
  <c r="T522" i="1" s="1"/>
  <c r="V521" i="1"/>
  <c r="U521" i="1"/>
  <c r="S521" i="1"/>
  <c r="R521" i="1"/>
  <c r="Q521" i="1"/>
  <c r="P521" i="1"/>
  <c r="T521" i="1" s="1"/>
  <c r="V520" i="1"/>
  <c r="U520" i="1"/>
  <c r="S520" i="1"/>
  <c r="R520" i="1"/>
  <c r="Q520" i="1"/>
  <c r="P520" i="1"/>
  <c r="T520" i="1" s="1"/>
  <c r="V519" i="1"/>
  <c r="U519" i="1"/>
  <c r="T519" i="1"/>
  <c r="S519" i="1"/>
  <c r="R519" i="1"/>
  <c r="Q519" i="1"/>
  <c r="P519" i="1"/>
  <c r="V518" i="1"/>
  <c r="U518" i="1"/>
  <c r="S518" i="1"/>
  <c r="R518" i="1"/>
  <c r="Q518" i="1"/>
  <c r="P518" i="1"/>
  <c r="T518" i="1" s="1"/>
  <c r="V517" i="1"/>
  <c r="U517" i="1"/>
  <c r="S517" i="1"/>
  <c r="R517" i="1"/>
  <c r="Q517" i="1"/>
  <c r="P517" i="1"/>
  <c r="T517" i="1" s="1"/>
  <c r="V516" i="1"/>
  <c r="U516" i="1"/>
  <c r="S516" i="1"/>
  <c r="R516" i="1"/>
  <c r="Q516" i="1"/>
  <c r="P516" i="1"/>
  <c r="T516" i="1" s="1"/>
  <c r="V515" i="1"/>
  <c r="U515" i="1"/>
  <c r="S515" i="1"/>
  <c r="R515" i="1"/>
  <c r="Q515" i="1"/>
  <c r="P515" i="1"/>
  <c r="T515" i="1" s="1"/>
  <c r="V514" i="1"/>
  <c r="U514" i="1"/>
  <c r="S514" i="1"/>
  <c r="R514" i="1"/>
  <c r="Q514" i="1"/>
  <c r="P514" i="1"/>
  <c r="T514" i="1" s="1"/>
  <c r="V513" i="1"/>
  <c r="U513" i="1"/>
  <c r="S513" i="1"/>
  <c r="R513" i="1"/>
  <c r="Q513" i="1"/>
  <c r="P513" i="1"/>
  <c r="T513" i="1" s="1"/>
  <c r="V512" i="1"/>
  <c r="U512" i="1"/>
  <c r="S512" i="1"/>
  <c r="R512" i="1"/>
  <c r="Q512" i="1"/>
  <c r="P512" i="1"/>
  <c r="T512" i="1" s="1"/>
  <c r="V511" i="1"/>
  <c r="U511" i="1"/>
  <c r="S511" i="1"/>
  <c r="R511" i="1"/>
  <c r="Q511" i="1"/>
  <c r="P511" i="1"/>
  <c r="T511" i="1" s="1"/>
  <c r="V510" i="1"/>
  <c r="U510" i="1"/>
  <c r="S510" i="1"/>
  <c r="R510" i="1"/>
  <c r="Q510" i="1"/>
  <c r="P510" i="1"/>
  <c r="T510" i="1" s="1"/>
  <c r="V509" i="1"/>
  <c r="U509" i="1"/>
  <c r="T509" i="1"/>
  <c r="S509" i="1"/>
  <c r="R509" i="1"/>
  <c r="Q509" i="1"/>
  <c r="P509" i="1"/>
  <c r="V508" i="1"/>
  <c r="U508" i="1"/>
  <c r="T508" i="1"/>
  <c r="S508" i="1"/>
  <c r="R508" i="1"/>
  <c r="Q508" i="1"/>
  <c r="P508" i="1"/>
  <c r="V507" i="1"/>
  <c r="U507" i="1"/>
  <c r="S507" i="1"/>
  <c r="R507" i="1"/>
  <c r="Q507" i="1"/>
  <c r="P507" i="1"/>
  <c r="T507" i="1" s="1"/>
  <c r="V506" i="1"/>
  <c r="U506" i="1"/>
  <c r="S506" i="1"/>
  <c r="R506" i="1"/>
  <c r="Q506" i="1"/>
  <c r="P506" i="1"/>
  <c r="T506" i="1" s="1"/>
  <c r="V505" i="1"/>
  <c r="U505" i="1"/>
  <c r="S505" i="1"/>
  <c r="R505" i="1"/>
  <c r="Q505" i="1"/>
  <c r="P505" i="1"/>
  <c r="T505" i="1" s="1"/>
  <c r="V504" i="1"/>
  <c r="U504" i="1"/>
  <c r="S504" i="1"/>
  <c r="R504" i="1"/>
  <c r="Q504" i="1"/>
  <c r="P504" i="1"/>
  <c r="T504" i="1" s="1"/>
  <c r="V503" i="1"/>
  <c r="U503" i="1"/>
  <c r="T503" i="1"/>
  <c r="S503" i="1"/>
  <c r="R503" i="1"/>
  <c r="Q503" i="1"/>
  <c r="P503" i="1"/>
  <c r="V502" i="1"/>
  <c r="U502" i="1"/>
  <c r="S502" i="1"/>
  <c r="R502" i="1"/>
  <c r="Q502" i="1"/>
  <c r="P502" i="1"/>
  <c r="T502" i="1" s="1"/>
  <c r="V501" i="1"/>
  <c r="U501" i="1"/>
  <c r="S501" i="1"/>
  <c r="R501" i="1"/>
  <c r="Q501" i="1"/>
  <c r="P501" i="1"/>
  <c r="T501" i="1" s="1"/>
  <c r="V500" i="1"/>
  <c r="U500" i="1"/>
  <c r="S500" i="1"/>
  <c r="R500" i="1"/>
  <c r="Q500" i="1"/>
  <c r="P500" i="1"/>
  <c r="T500" i="1" s="1"/>
  <c r="V499" i="1"/>
  <c r="U499" i="1"/>
  <c r="S499" i="1"/>
  <c r="R499" i="1"/>
  <c r="Q499" i="1"/>
  <c r="P499" i="1"/>
  <c r="T499" i="1" s="1"/>
  <c r="V498" i="1"/>
  <c r="U498" i="1"/>
  <c r="T498" i="1"/>
  <c r="S498" i="1"/>
  <c r="R498" i="1"/>
  <c r="Q498" i="1"/>
  <c r="P498" i="1"/>
  <c r="V497" i="1"/>
  <c r="U497" i="1"/>
  <c r="S497" i="1"/>
  <c r="R497" i="1"/>
  <c r="Q497" i="1"/>
  <c r="P497" i="1"/>
  <c r="T497" i="1" s="1"/>
  <c r="V496" i="1"/>
  <c r="U496" i="1"/>
  <c r="S496" i="1"/>
  <c r="R496" i="1"/>
  <c r="Q496" i="1"/>
  <c r="P496" i="1"/>
  <c r="T496" i="1" s="1"/>
  <c r="V495" i="1"/>
  <c r="U495" i="1"/>
  <c r="S495" i="1"/>
  <c r="R495" i="1"/>
  <c r="Q495" i="1"/>
  <c r="P495" i="1"/>
  <c r="T495" i="1" s="1"/>
  <c r="V494" i="1"/>
  <c r="U494" i="1"/>
  <c r="S494" i="1"/>
  <c r="R494" i="1"/>
  <c r="Q494" i="1"/>
  <c r="P494" i="1"/>
  <c r="T494" i="1" s="1"/>
  <c r="V493" i="1"/>
  <c r="U493" i="1"/>
  <c r="T493" i="1"/>
  <c r="S493" i="1"/>
  <c r="R493" i="1"/>
  <c r="Q493" i="1"/>
  <c r="P493" i="1"/>
  <c r="V492" i="1"/>
  <c r="U492" i="1"/>
  <c r="T492" i="1"/>
  <c r="S492" i="1"/>
  <c r="R492" i="1"/>
  <c r="Q492" i="1"/>
  <c r="P492" i="1"/>
  <c r="V491" i="1"/>
  <c r="U491" i="1"/>
  <c r="S491" i="1"/>
  <c r="R491" i="1"/>
  <c r="Q491" i="1"/>
  <c r="P491" i="1"/>
  <c r="T491" i="1" s="1"/>
  <c r="V490" i="1"/>
  <c r="U490" i="1"/>
  <c r="S490" i="1"/>
  <c r="R490" i="1"/>
  <c r="Q490" i="1"/>
  <c r="P490" i="1"/>
  <c r="T490" i="1" s="1"/>
  <c r="V489" i="1"/>
  <c r="U489" i="1"/>
  <c r="S489" i="1"/>
  <c r="R489" i="1"/>
  <c r="Q489" i="1"/>
  <c r="P489" i="1"/>
  <c r="T489" i="1" s="1"/>
  <c r="V488" i="1"/>
  <c r="U488" i="1"/>
  <c r="S488" i="1"/>
  <c r="R488" i="1"/>
  <c r="Q488" i="1"/>
  <c r="P488" i="1"/>
  <c r="T488" i="1" s="1"/>
  <c r="V487" i="1"/>
  <c r="U487" i="1"/>
  <c r="T487" i="1"/>
  <c r="S487" i="1"/>
  <c r="R487" i="1"/>
  <c r="Q487" i="1"/>
  <c r="P487" i="1"/>
  <c r="V486" i="1"/>
  <c r="U486" i="1"/>
  <c r="S486" i="1"/>
  <c r="R486" i="1"/>
  <c r="Q486" i="1"/>
  <c r="P486" i="1"/>
  <c r="T486" i="1" s="1"/>
  <c r="V485" i="1"/>
  <c r="U485" i="1"/>
  <c r="S485" i="1"/>
  <c r="R485" i="1"/>
  <c r="Q485" i="1"/>
  <c r="P485" i="1"/>
  <c r="T485" i="1" s="1"/>
  <c r="V484" i="1"/>
  <c r="U484" i="1"/>
  <c r="S484" i="1"/>
  <c r="R484" i="1"/>
  <c r="Q484" i="1"/>
  <c r="P484" i="1"/>
  <c r="T484" i="1" s="1"/>
  <c r="V483" i="1"/>
  <c r="U483" i="1"/>
  <c r="S483" i="1"/>
  <c r="R483" i="1"/>
  <c r="Q483" i="1"/>
  <c r="P483" i="1"/>
  <c r="T483" i="1" s="1"/>
  <c r="V482" i="1"/>
  <c r="U482" i="1"/>
  <c r="T482" i="1"/>
  <c r="S482" i="1"/>
  <c r="R482" i="1"/>
  <c r="Q482" i="1"/>
  <c r="P482" i="1"/>
  <c r="V481" i="1"/>
  <c r="U481" i="1"/>
  <c r="S481" i="1"/>
  <c r="R481" i="1"/>
  <c r="Q481" i="1"/>
  <c r="P481" i="1"/>
  <c r="T481" i="1" s="1"/>
  <c r="V480" i="1"/>
  <c r="U480" i="1"/>
  <c r="S480" i="1"/>
  <c r="R480" i="1"/>
  <c r="Q480" i="1"/>
  <c r="P480" i="1"/>
  <c r="T480" i="1" s="1"/>
  <c r="V479" i="1"/>
  <c r="U479" i="1"/>
  <c r="S479" i="1"/>
  <c r="R479" i="1"/>
  <c r="Q479" i="1"/>
  <c r="P479" i="1"/>
  <c r="T479" i="1" s="1"/>
  <c r="V478" i="1"/>
  <c r="U478" i="1"/>
  <c r="S478" i="1"/>
  <c r="R478" i="1"/>
  <c r="Q478" i="1"/>
  <c r="P478" i="1"/>
  <c r="T478" i="1" s="1"/>
  <c r="V477" i="1"/>
  <c r="U477" i="1"/>
  <c r="T477" i="1"/>
  <c r="S477" i="1"/>
  <c r="R477" i="1"/>
  <c r="Q477" i="1"/>
  <c r="P477" i="1"/>
  <c r="V476" i="1"/>
  <c r="U476" i="1"/>
  <c r="T476" i="1"/>
  <c r="S476" i="1"/>
  <c r="R476" i="1"/>
  <c r="Q476" i="1"/>
  <c r="P476" i="1"/>
  <c r="V475" i="1"/>
  <c r="U475" i="1"/>
  <c r="S475" i="1"/>
  <c r="R475" i="1"/>
  <c r="Q475" i="1"/>
  <c r="P475" i="1"/>
  <c r="T475" i="1" s="1"/>
  <c r="V474" i="1"/>
  <c r="U474" i="1"/>
  <c r="S474" i="1"/>
  <c r="R474" i="1"/>
  <c r="Q474" i="1"/>
  <c r="P474" i="1"/>
  <c r="T474" i="1" s="1"/>
  <c r="V473" i="1"/>
  <c r="U473" i="1"/>
  <c r="S473" i="1"/>
  <c r="R473" i="1"/>
  <c r="Q473" i="1"/>
  <c r="P473" i="1"/>
  <c r="T473" i="1" s="1"/>
  <c r="V472" i="1"/>
  <c r="U472" i="1"/>
  <c r="S472" i="1"/>
  <c r="R472" i="1"/>
  <c r="Q472" i="1"/>
  <c r="P472" i="1"/>
  <c r="T472" i="1" s="1"/>
  <c r="V471" i="1"/>
  <c r="U471" i="1"/>
  <c r="T471" i="1"/>
  <c r="S471" i="1"/>
  <c r="R471" i="1"/>
  <c r="Q471" i="1"/>
  <c r="P471" i="1"/>
  <c r="V470" i="1"/>
  <c r="U470" i="1"/>
  <c r="S470" i="1"/>
  <c r="R470" i="1"/>
  <c r="Q470" i="1"/>
  <c r="P470" i="1"/>
  <c r="T470" i="1" s="1"/>
  <c r="V469" i="1"/>
  <c r="U469" i="1"/>
  <c r="S469" i="1"/>
  <c r="R469" i="1"/>
  <c r="Q469" i="1"/>
  <c r="P469" i="1"/>
  <c r="T469" i="1" s="1"/>
  <c r="V468" i="1"/>
  <c r="U468" i="1"/>
  <c r="S468" i="1"/>
  <c r="R468" i="1"/>
  <c r="Q468" i="1"/>
  <c r="P468" i="1"/>
  <c r="T468" i="1" s="1"/>
  <c r="V467" i="1"/>
  <c r="U467" i="1"/>
  <c r="S467" i="1"/>
  <c r="R467" i="1"/>
  <c r="Q467" i="1"/>
  <c r="P467" i="1"/>
  <c r="T467" i="1" s="1"/>
  <c r="V466" i="1"/>
  <c r="U466" i="1"/>
  <c r="T466" i="1"/>
  <c r="S466" i="1"/>
  <c r="R466" i="1"/>
  <c r="Q466" i="1"/>
  <c r="P466" i="1"/>
  <c r="V465" i="1"/>
  <c r="U465" i="1"/>
  <c r="S465" i="1"/>
  <c r="R465" i="1"/>
  <c r="Q465" i="1"/>
  <c r="P465" i="1"/>
  <c r="T465" i="1" s="1"/>
  <c r="V464" i="1"/>
  <c r="U464" i="1"/>
  <c r="S464" i="1"/>
  <c r="R464" i="1"/>
  <c r="Q464" i="1"/>
  <c r="P464" i="1"/>
  <c r="T464" i="1" s="1"/>
  <c r="V463" i="1"/>
  <c r="U463" i="1"/>
  <c r="S463" i="1"/>
  <c r="R463" i="1"/>
  <c r="Q463" i="1"/>
  <c r="P463" i="1"/>
  <c r="T463" i="1" s="1"/>
  <c r="V462" i="1"/>
  <c r="U462" i="1"/>
  <c r="S462" i="1"/>
  <c r="R462" i="1"/>
  <c r="Q462" i="1"/>
  <c r="P462" i="1"/>
  <c r="T462" i="1" s="1"/>
  <c r="V461" i="1"/>
  <c r="U461" i="1"/>
  <c r="T461" i="1"/>
  <c r="S461" i="1"/>
  <c r="R461" i="1"/>
  <c r="Q461" i="1"/>
  <c r="P461" i="1"/>
  <c r="V460" i="1"/>
  <c r="U460" i="1"/>
  <c r="T460" i="1"/>
  <c r="S460" i="1"/>
  <c r="R460" i="1"/>
  <c r="Q460" i="1"/>
  <c r="P460" i="1"/>
  <c r="V459" i="1"/>
  <c r="U459" i="1"/>
  <c r="S459" i="1"/>
  <c r="R459" i="1"/>
  <c r="Q459" i="1"/>
  <c r="P459" i="1"/>
  <c r="T459" i="1" s="1"/>
  <c r="V458" i="1"/>
  <c r="U458" i="1"/>
  <c r="T458" i="1"/>
  <c r="S458" i="1"/>
  <c r="R458" i="1"/>
  <c r="Q458" i="1"/>
  <c r="P458" i="1"/>
  <c r="V457" i="1"/>
  <c r="U457" i="1"/>
  <c r="S457" i="1"/>
  <c r="R457" i="1"/>
  <c r="Q457" i="1"/>
  <c r="P457" i="1"/>
  <c r="T457" i="1" s="1"/>
  <c r="V456" i="1"/>
  <c r="U456" i="1"/>
  <c r="S456" i="1"/>
  <c r="R456" i="1"/>
  <c r="Q456" i="1"/>
  <c r="P456" i="1"/>
  <c r="T456" i="1" s="1"/>
  <c r="V455" i="1"/>
  <c r="U455" i="1"/>
  <c r="T455" i="1"/>
  <c r="S455" i="1"/>
  <c r="R455" i="1"/>
  <c r="Q455" i="1"/>
  <c r="P455" i="1"/>
  <c r="V454" i="1"/>
  <c r="U454" i="1"/>
  <c r="S454" i="1"/>
  <c r="R454" i="1"/>
  <c r="Q454" i="1"/>
  <c r="P454" i="1"/>
  <c r="T454" i="1" s="1"/>
  <c r="V453" i="1"/>
  <c r="U453" i="1"/>
  <c r="T453" i="1"/>
  <c r="S453" i="1"/>
  <c r="R453" i="1"/>
  <c r="Q453" i="1"/>
  <c r="P453" i="1"/>
  <c r="V452" i="1"/>
  <c r="U452" i="1"/>
  <c r="S452" i="1"/>
  <c r="R452" i="1"/>
  <c r="Q452" i="1"/>
  <c r="P452" i="1"/>
  <c r="T452" i="1" s="1"/>
  <c r="V451" i="1"/>
  <c r="U451" i="1"/>
  <c r="S451" i="1"/>
  <c r="R451" i="1"/>
  <c r="Q451" i="1"/>
  <c r="P451" i="1"/>
  <c r="T451" i="1" s="1"/>
  <c r="V450" i="1"/>
  <c r="U450" i="1"/>
  <c r="S450" i="1"/>
  <c r="R450" i="1"/>
  <c r="Q450" i="1"/>
  <c r="P450" i="1"/>
  <c r="T450" i="1" s="1"/>
  <c r="V449" i="1"/>
  <c r="U449" i="1"/>
  <c r="S449" i="1"/>
  <c r="R449" i="1"/>
  <c r="Q449" i="1"/>
  <c r="P449" i="1"/>
  <c r="T449" i="1" s="1"/>
  <c r="V448" i="1"/>
  <c r="U448" i="1"/>
  <c r="S448" i="1"/>
  <c r="R448" i="1"/>
  <c r="Q448" i="1"/>
  <c r="P448" i="1"/>
  <c r="T448" i="1" s="1"/>
  <c r="V447" i="1"/>
  <c r="U447" i="1"/>
  <c r="S447" i="1"/>
  <c r="R447" i="1"/>
  <c r="Q447" i="1"/>
  <c r="P447" i="1"/>
  <c r="T447" i="1" s="1"/>
  <c r="V446" i="1"/>
  <c r="U446" i="1"/>
  <c r="S446" i="1"/>
  <c r="R446" i="1"/>
  <c r="Q446" i="1"/>
  <c r="P446" i="1"/>
  <c r="T446" i="1" s="1"/>
  <c r="V445" i="1"/>
  <c r="U445" i="1"/>
  <c r="S445" i="1"/>
  <c r="R445" i="1"/>
  <c r="Q445" i="1"/>
  <c r="P445" i="1"/>
  <c r="T445" i="1" s="1"/>
  <c r="V444" i="1"/>
  <c r="U444" i="1"/>
  <c r="T444" i="1"/>
  <c r="S444" i="1"/>
  <c r="R444" i="1"/>
  <c r="Q444" i="1"/>
  <c r="P444" i="1"/>
  <c r="V443" i="1"/>
  <c r="U443" i="1"/>
  <c r="S443" i="1"/>
  <c r="R443" i="1"/>
  <c r="Q443" i="1"/>
  <c r="P443" i="1"/>
  <c r="T443" i="1" s="1"/>
  <c r="V442" i="1"/>
  <c r="U442" i="1"/>
  <c r="T442" i="1"/>
  <c r="S442" i="1"/>
  <c r="R442" i="1"/>
  <c r="Q442" i="1"/>
  <c r="P442" i="1"/>
  <c r="V441" i="1"/>
  <c r="U441" i="1"/>
  <c r="S441" i="1"/>
  <c r="R441" i="1"/>
  <c r="Q441" i="1"/>
  <c r="P441" i="1"/>
  <c r="T441" i="1" s="1"/>
  <c r="V440" i="1"/>
  <c r="U440" i="1"/>
  <c r="S440" i="1"/>
  <c r="R440" i="1"/>
  <c r="Q440" i="1"/>
  <c r="P440" i="1"/>
  <c r="T440" i="1" s="1"/>
  <c r="V439" i="1"/>
  <c r="U439" i="1"/>
  <c r="T439" i="1"/>
  <c r="S439" i="1"/>
  <c r="R439" i="1"/>
  <c r="Q439" i="1"/>
  <c r="P439" i="1"/>
  <c r="V438" i="1"/>
  <c r="U438" i="1"/>
  <c r="S438" i="1"/>
  <c r="R438" i="1"/>
  <c r="Q438" i="1"/>
  <c r="P438" i="1"/>
  <c r="T438" i="1" s="1"/>
  <c r="V437" i="1"/>
  <c r="U437" i="1"/>
  <c r="T437" i="1"/>
  <c r="S437" i="1"/>
  <c r="R437" i="1"/>
  <c r="Q437" i="1"/>
  <c r="P437" i="1"/>
  <c r="V436" i="1"/>
  <c r="U436" i="1"/>
  <c r="S436" i="1"/>
  <c r="R436" i="1"/>
  <c r="Q436" i="1"/>
  <c r="P436" i="1"/>
  <c r="T436" i="1" s="1"/>
  <c r="V435" i="1"/>
  <c r="U435" i="1"/>
  <c r="S435" i="1"/>
  <c r="R435" i="1"/>
  <c r="Q435" i="1"/>
  <c r="P435" i="1"/>
  <c r="T435" i="1" s="1"/>
  <c r="V434" i="1"/>
  <c r="U434" i="1"/>
  <c r="S434" i="1"/>
  <c r="R434" i="1"/>
  <c r="Q434" i="1"/>
  <c r="P434" i="1"/>
  <c r="T434" i="1" s="1"/>
  <c r="V433" i="1"/>
  <c r="U433" i="1"/>
  <c r="S433" i="1"/>
  <c r="R433" i="1"/>
  <c r="Q433" i="1"/>
  <c r="P433" i="1"/>
  <c r="T433" i="1" s="1"/>
  <c r="V432" i="1"/>
  <c r="U432" i="1"/>
  <c r="S432" i="1"/>
  <c r="R432" i="1"/>
  <c r="Q432" i="1"/>
  <c r="P432" i="1"/>
  <c r="T432" i="1" s="1"/>
  <c r="V431" i="1"/>
  <c r="U431" i="1"/>
  <c r="S431" i="1"/>
  <c r="R431" i="1"/>
  <c r="Q431" i="1"/>
  <c r="P431" i="1"/>
  <c r="T431" i="1" s="1"/>
  <c r="V430" i="1"/>
  <c r="U430" i="1"/>
  <c r="S430" i="1"/>
  <c r="R430" i="1"/>
  <c r="Q430" i="1"/>
  <c r="P430" i="1"/>
  <c r="T430" i="1" s="1"/>
  <c r="V429" i="1"/>
  <c r="U429" i="1"/>
  <c r="S429" i="1"/>
  <c r="R429" i="1"/>
  <c r="Q429" i="1"/>
  <c r="P429" i="1"/>
  <c r="T429" i="1" s="1"/>
  <c r="V428" i="1"/>
  <c r="U428" i="1"/>
  <c r="T428" i="1"/>
  <c r="S428" i="1"/>
  <c r="R428" i="1"/>
  <c r="Q428" i="1"/>
  <c r="P428" i="1"/>
  <c r="V427" i="1"/>
  <c r="U427" i="1"/>
  <c r="S427" i="1"/>
  <c r="R427" i="1"/>
  <c r="Q427" i="1"/>
  <c r="P427" i="1"/>
  <c r="T427" i="1" s="1"/>
  <c r="V426" i="1"/>
  <c r="U426" i="1"/>
  <c r="T426" i="1"/>
  <c r="S426" i="1"/>
  <c r="R426" i="1"/>
  <c r="Q426" i="1"/>
  <c r="P426" i="1"/>
  <c r="V425" i="1"/>
  <c r="U425" i="1"/>
  <c r="S425" i="1"/>
  <c r="R425" i="1"/>
  <c r="Q425" i="1"/>
  <c r="P425" i="1"/>
  <c r="T425" i="1" s="1"/>
  <c r="V424" i="1"/>
  <c r="U424" i="1"/>
  <c r="S424" i="1"/>
  <c r="R424" i="1"/>
  <c r="Q424" i="1"/>
  <c r="P424" i="1"/>
  <c r="T424" i="1" s="1"/>
  <c r="V423" i="1"/>
  <c r="U423" i="1"/>
  <c r="T423" i="1"/>
  <c r="S423" i="1"/>
  <c r="R423" i="1"/>
  <c r="Q423" i="1"/>
  <c r="P423" i="1"/>
  <c r="V422" i="1"/>
  <c r="U422" i="1"/>
  <c r="S422" i="1"/>
  <c r="R422" i="1"/>
  <c r="Q422" i="1"/>
  <c r="P422" i="1"/>
  <c r="T422" i="1" s="1"/>
  <c r="V421" i="1"/>
  <c r="U421" i="1"/>
  <c r="T421" i="1"/>
  <c r="S421" i="1"/>
  <c r="R421" i="1"/>
  <c r="Q421" i="1"/>
  <c r="P421" i="1"/>
  <c r="V420" i="1"/>
  <c r="U420" i="1"/>
  <c r="S420" i="1"/>
  <c r="R420" i="1"/>
  <c r="Q420" i="1"/>
  <c r="P420" i="1"/>
  <c r="T420" i="1" s="1"/>
  <c r="V419" i="1"/>
  <c r="U419" i="1"/>
  <c r="S419" i="1"/>
  <c r="R419" i="1"/>
  <c r="Q419" i="1"/>
  <c r="P419" i="1"/>
  <c r="T419" i="1" s="1"/>
  <c r="V418" i="1"/>
  <c r="U418" i="1"/>
  <c r="S418" i="1"/>
  <c r="R418" i="1"/>
  <c r="Q418" i="1"/>
  <c r="P418" i="1"/>
  <c r="T418" i="1" s="1"/>
  <c r="V417" i="1"/>
  <c r="U417" i="1"/>
  <c r="S417" i="1"/>
  <c r="R417" i="1"/>
  <c r="Q417" i="1"/>
  <c r="P417" i="1"/>
  <c r="T417" i="1" s="1"/>
  <c r="V416" i="1"/>
  <c r="U416" i="1"/>
  <c r="S416" i="1"/>
  <c r="R416" i="1"/>
  <c r="Q416" i="1"/>
  <c r="P416" i="1"/>
  <c r="T416" i="1" s="1"/>
  <c r="V415" i="1"/>
  <c r="U415" i="1"/>
  <c r="S415" i="1"/>
  <c r="R415" i="1"/>
  <c r="Q415" i="1"/>
  <c r="P415" i="1"/>
  <c r="T415" i="1" s="1"/>
  <c r="V414" i="1"/>
  <c r="U414" i="1"/>
  <c r="S414" i="1"/>
  <c r="R414" i="1"/>
  <c r="Q414" i="1"/>
  <c r="P414" i="1"/>
  <c r="T414" i="1" s="1"/>
  <c r="V413" i="1"/>
  <c r="U413" i="1"/>
  <c r="S413" i="1"/>
  <c r="R413" i="1"/>
  <c r="Q413" i="1"/>
  <c r="P413" i="1"/>
  <c r="T413" i="1" s="1"/>
  <c r="V412" i="1"/>
  <c r="U412" i="1"/>
  <c r="T412" i="1"/>
  <c r="S412" i="1"/>
  <c r="R412" i="1"/>
  <c r="Q412" i="1"/>
  <c r="P412" i="1"/>
  <c r="V411" i="1"/>
  <c r="U411" i="1"/>
  <c r="S411" i="1"/>
  <c r="R411" i="1"/>
  <c r="Q411" i="1"/>
  <c r="P411" i="1"/>
  <c r="T411" i="1" s="1"/>
  <c r="V410" i="1"/>
  <c r="U410" i="1"/>
  <c r="T410" i="1"/>
  <c r="S410" i="1"/>
  <c r="R410" i="1"/>
  <c r="Q410" i="1"/>
  <c r="P410" i="1"/>
  <c r="V409" i="1"/>
  <c r="U409" i="1"/>
  <c r="S409" i="1"/>
  <c r="R409" i="1"/>
  <c r="Q409" i="1"/>
  <c r="P409" i="1"/>
  <c r="T409" i="1" s="1"/>
  <c r="V408" i="1"/>
  <c r="U408" i="1"/>
  <c r="S408" i="1"/>
  <c r="R408" i="1"/>
  <c r="Q408" i="1"/>
  <c r="P408" i="1"/>
  <c r="T408" i="1" s="1"/>
  <c r="V407" i="1"/>
  <c r="U407" i="1"/>
  <c r="T407" i="1"/>
  <c r="S407" i="1"/>
  <c r="R407" i="1"/>
  <c r="Q407" i="1"/>
  <c r="P407" i="1"/>
  <c r="V406" i="1"/>
  <c r="U406" i="1"/>
  <c r="S406" i="1"/>
  <c r="R406" i="1"/>
  <c r="Q406" i="1"/>
  <c r="P406" i="1"/>
  <c r="T406" i="1" s="1"/>
  <c r="V405" i="1"/>
  <c r="U405" i="1"/>
  <c r="S405" i="1"/>
  <c r="R405" i="1"/>
  <c r="Q405" i="1"/>
  <c r="P405" i="1"/>
  <c r="T405" i="1" s="1"/>
  <c r="V404" i="1"/>
  <c r="U404" i="1"/>
  <c r="S404" i="1"/>
  <c r="R404" i="1"/>
  <c r="Q404" i="1"/>
  <c r="P404" i="1"/>
  <c r="T404" i="1" s="1"/>
  <c r="V403" i="1"/>
  <c r="U403" i="1"/>
  <c r="S403" i="1"/>
  <c r="R403" i="1"/>
  <c r="Q403" i="1"/>
  <c r="P403" i="1"/>
  <c r="T403" i="1" s="1"/>
  <c r="V402" i="1"/>
  <c r="U402" i="1"/>
  <c r="S402" i="1"/>
  <c r="R402" i="1"/>
  <c r="Q402" i="1"/>
  <c r="P402" i="1"/>
  <c r="T402" i="1" s="1"/>
  <c r="V401" i="1"/>
  <c r="U401" i="1"/>
  <c r="T401" i="1"/>
  <c r="S401" i="1"/>
  <c r="R401" i="1"/>
  <c r="Q401" i="1"/>
  <c r="P401" i="1"/>
  <c r="V400" i="1"/>
  <c r="U400" i="1"/>
  <c r="S400" i="1"/>
  <c r="R400" i="1"/>
  <c r="Q400" i="1"/>
  <c r="P400" i="1"/>
  <c r="T400" i="1" s="1"/>
  <c r="V399" i="1"/>
  <c r="U399" i="1"/>
  <c r="S399" i="1"/>
  <c r="R399" i="1"/>
  <c r="Q399" i="1"/>
  <c r="P399" i="1"/>
  <c r="T399" i="1" s="1"/>
  <c r="V398" i="1"/>
  <c r="U398" i="1"/>
  <c r="S398" i="1"/>
  <c r="R398" i="1"/>
  <c r="Q398" i="1"/>
  <c r="P398" i="1"/>
  <c r="T398" i="1" s="1"/>
  <c r="V397" i="1"/>
  <c r="U397" i="1"/>
  <c r="S397" i="1"/>
  <c r="R397" i="1"/>
  <c r="Q397" i="1"/>
  <c r="P397" i="1"/>
  <c r="T397" i="1" s="1"/>
  <c r="V396" i="1"/>
  <c r="U396" i="1"/>
  <c r="T396" i="1"/>
  <c r="S396" i="1"/>
  <c r="R396" i="1"/>
  <c r="Q396" i="1"/>
  <c r="P396" i="1"/>
  <c r="V395" i="1"/>
  <c r="U395" i="1"/>
  <c r="T395" i="1"/>
  <c r="S395" i="1"/>
  <c r="R395" i="1"/>
  <c r="Q395" i="1"/>
  <c r="P395" i="1"/>
  <c r="V394" i="1"/>
  <c r="U394" i="1"/>
  <c r="T394" i="1"/>
  <c r="S394" i="1"/>
  <c r="R394" i="1"/>
  <c r="Q394" i="1"/>
  <c r="P394" i="1"/>
  <c r="V393" i="1"/>
  <c r="U393" i="1"/>
  <c r="S393" i="1"/>
  <c r="R393" i="1"/>
  <c r="Q393" i="1"/>
  <c r="P393" i="1"/>
  <c r="T393" i="1" s="1"/>
  <c r="V392" i="1"/>
  <c r="U392" i="1"/>
  <c r="S392" i="1"/>
  <c r="R392" i="1"/>
  <c r="Q392" i="1"/>
  <c r="P392" i="1"/>
  <c r="T392" i="1" s="1"/>
  <c r="V391" i="1"/>
  <c r="U391" i="1"/>
  <c r="S391" i="1"/>
  <c r="R391" i="1"/>
  <c r="Q391" i="1"/>
  <c r="P391" i="1"/>
  <c r="T391" i="1" s="1"/>
  <c r="V390" i="1"/>
  <c r="U390" i="1"/>
  <c r="S390" i="1"/>
  <c r="R390" i="1"/>
  <c r="Q390" i="1"/>
  <c r="P390" i="1"/>
  <c r="T390" i="1" s="1"/>
  <c r="V389" i="1"/>
  <c r="U389" i="1"/>
  <c r="T389" i="1"/>
  <c r="S389" i="1"/>
  <c r="R389" i="1"/>
  <c r="Q389" i="1"/>
  <c r="P389" i="1"/>
  <c r="V388" i="1"/>
  <c r="U388" i="1"/>
  <c r="S388" i="1"/>
  <c r="R388" i="1"/>
  <c r="Q388" i="1"/>
  <c r="P388" i="1"/>
  <c r="T388" i="1" s="1"/>
  <c r="V387" i="1"/>
  <c r="U387" i="1"/>
  <c r="S387" i="1"/>
  <c r="R387" i="1"/>
  <c r="Q387" i="1"/>
  <c r="P387" i="1"/>
  <c r="T387" i="1" s="1"/>
  <c r="V386" i="1"/>
  <c r="U386" i="1"/>
  <c r="S386" i="1"/>
  <c r="R386" i="1"/>
  <c r="Q386" i="1"/>
  <c r="P386" i="1"/>
  <c r="T386" i="1" s="1"/>
  <c r="V385" i="1"/>
  <c r="U385" i="1"/>
  <c r="S385" i="1"/>
  <c r="R385" i="1"/>
  <c r="Q385" i="1"/>
  <c r="P385" i="1"/>
  <c r="T385" i="1" s="1"/>
  <c r="V384" i="1"/>
  <c r="U384" i="1"/>
  <c r="S384" i="1"/>
  <c r="R384" i="1"/>
  <c r="Q384" i="1"/>
  <c r="P384" i="1"/>
  <c r="T384" i="1" s="1"/>
  <c r="V383" i="1"/>
  <c r="U383" i="1"/>
  <c r="S383" i="1"/>
  <c r="R383" i="1"/>
  <c r="Q383" i="1"/>
  <c r="P383" i="1"/>
  <c r="T383" i="1" s="1"/>
  <c r="V382" i="1"/>
  <c r="U382" i="1"/>
  <c r="S382" i="1"/>
  <c r="R382" i="1"/>
  <c r="Q382" i="1"/>
  <c r="P382" i="1"/>
  <c r="T382" i="1" s="1"/>
  <c r="V381" i="1"/>
  <c r="U381" i="1"/>
  <c r="S381" i="1"/>
  <c r="R381" i="1"/>
  <c r="Q381" i="1"/>
  <c r="P381" i="1"/>
  <c r="T381" i="1" s="1"/>
  <c r="V380" i="1"/>
  <c r="U380" i="1"/>
  <c r="T380" i="1"/>
  <c r="S380" i="1"/>
  <c r="R380" i="1"/>
  <c r="Q380" i="1"/>
  <c r="P380" i="1"/>
  <c r="V379" i="1"/>
  <c r="U379" i="1"/>
  <c r="S379" i="1"/>
  <c r="R379" i="1"/>
  <c r="Q379" i="1"/>
  <c r="P379" i="1"/>
  <c r="T379" i="1" s="1"/>
  <c r="V378" i="1"/>
  <c r="U378" i="1"/>
  <c r="S378" i="1"/>
  <c r="R378" i="1"/>
  <c r="Q378" i="1"/>
  <c r="P378" i="1"/>
  <c r="T378" i="1" s="1"/>
  <c r="V377" i="1"/>
  <c r="U377" i="1"/>
  <c r="S377" i="1"/>
  <c r="R377" i="1"/>
  <c r="Q377" i="1"/>
  <c r="P377" i="1"/>
  <c r="T377" i="1" s="1"/>
  <c r="V376" i="1"/>
  <c r="U376" i="1"/>
  <c r="S376" i="1"/>
  <c r="R376" i="1"/>
  <c r="Q376" i="1"/>
  <c r="P376" i="1"/>
  <c r="T376" i="1" s="1"/>
  <c r="V375" i="1"/>
  <c r="U375" i="1"/>
  <c r="T375" i="1"/>
  <c r="S375" i="1"/>
  <c r="R375" i="1"/>
  <c r="Q375" i="1"/>
  <c r="P375" i="1"/>
  <c r="V374" i="1"/>
  <c r="U374" i="1"/>
  <c r="S374" i="1"/>
  <c r="R374" i="1"/>
  <c r="Q374" i="1"/>
  <c r="P374" i="1"/>
  <c r="T374" i="1" s="1"/>
  <c r="V373" i="1"/>
  <c r="U373" i="1"/>
  <c r="S373" i="1"/>
  <c r="R373" i="1"/>
  <c r="Q373" i="1"/>
  <c r="P373" i="1"/>
  <c r="T373" i="1" s="1"/>
  <c r="V372" i="1"/>
  <c r="U372" i="1"/>
  <c r="S372" i="1"/>
  <c r="R372" i="1"/>
  <c r="Q372" i="1"/>
  <c r="P372" i="1"/>
  <c r="T372" i="1" s="1"/>
  <c r="V371" i="1"/>
  <c r="U371" i="1"/>
  <c r="S371" i="1"/>
  <c r="R371" i="1"/>
  <c r="Q371" i="1"/>
  <c r="P371" i="1"/>
  <c r="T371" i="1" s="1"/>
  <c r="V370" i="1"/>
  <c r="U370" i="1"/>
  <c r="S370" i="1"/>
  <c r="R370" i="1"/>
  <c r="Q370" i="1"/>
  <c r="P370" i="1"/>
  <c r="T370" i="1" s="1"/>
  <c r="V369" i="1"/>
  <c r="U369" i="1"/>
  <c r="T369" i="1"/>
  <c r="S369" i="1"/>
  <c r="R369" i="1"/>
  <c r="Q369" i="1"/>
  <c r="P369" i="1"/>
  <c r="V368" i="1"/>
  <c r="U368" i="1"/>
  <c r="S368" i="1"/>
  <c r="R368" i="1"/>
  <c r="Q368" i="1"/>
  <c r="P368" i="1"/>
  <c r="T368" i="1" s="1"/>
  <c r="V367" i="1"/>
  <c r="U367" i="1"/>
  <c r="S367" i="1"/>
  <c r="R367" i="1"/>
  <c r="Q367" i="1"/>
  <c r="P367" i="1"/>
  <c r="T367" i="1" s="1"/>
  <c r="V366" i="1"/>
  <c r="U366" i="1"/>
  <c r="S366" i="1"/>
  <c r="R366" i="1"/>
  <c r="Q366" i="1"/>
  <c r="P366" i="1"/>
  <c r="T366" i="1" s="1"/>
  <c r="V365" i="1"/>
  <c r="U365" i="1"/>
  <c r="S365" i="1"/>
  <c r="R365" i="1"/>
  <c r="Q365" i="1"/>
  <c r="P365" i="1"/>
  <c r="T365" i="1" s="1"/>
  <c r="V364" i="1"/>
  <c r="U364" i="1"/>
  <c r="T364" i="1"/>
  <c r="S364" i="1"/>
  <c r="R364" i="1"/>
  <c r="Q364" i="1"/>
  <c r="P364" i="1"/>
  <c r="V363" i="1"/>
  <c r="U363" i="1"/>
  <c r="T363" i="1"/>
  <c r="S363" i="1"/>
  <c r="R363" i="1"/>
  <c r="Q363" i="1"/>
  <c r="P363" i="1"/>
  <c r="V362" i="1"/>
  <c r="U362" i="1"/>
  <c r="T362" i="1"/>
  <c r="S362" i="1"/>
  <c r="R362" i="1"/>
  <c r="Q362" i="1"/>
  <c r="P362" i="1"/>
  <c r="V361" i="1"/>
  <c r="U361" i="1"/>
  <c r="S361" i="1"/>
  <c r="R361" i="1"/>
  <c r="Q361" i="1"/>
  <c r="P361" i="1"/>
  <c r="T361" i="1" s="1"/>
  <c r="V360" i="1"/>
  <c r="U360" i="1"/>
  <c r="S360" i="1"/>
  <c r="R360" i="1"/>
  <c r="Q360" i="1"/>
  <c r="P360" i="1"/>
  <c r="T360" i="1" s="1"/>
  <c r="V359" i="1"/>
  <c r="U359" i="1"/>
  <c r="S359" i="1"/>
  <c r="R359" i="1"/>
  <c r="Q359" i="1"/>
  <c r="P359" i="1"/>
  <c r="T359" i="1" s="1"/>
  <c r="V358" i="1"/>
  <c r="U358" i="1"/>
  <c r="S358" i="1"/>
  <c r="R358" i="1"/>
  <c r="Q358" i="1"/>
  <c r="P358" i="1"/>
  <c r="T358" i="1" s="1"/>
  <c r="V357" i="1"/>
  <c r="U357" i="1"/>
  <c r="T357" i="1"/>
  <c r="S357" i="1"/>
  <c r="R357" i="1"/>
  <c r="Q357" i="1"/>
  <c r="P357" i="1"/>
  <c r="V356" i="1"/>
  <c r="U356" i="1"/>
  <c r="S356" i="1"/>
  <c r="R356" i="1"/>
  <c r="Q356" i="1"/>
  <c r="P356" i="1"/>
  <c r="T356" i="1" s="1"/>
  <c r="V355" i="1"/>
  <c r="U355" i="1"/>
  <c r="S355" i="1"/>
  <c r="R355" i="1"/>
  <c r="Q355" i="1"/>
  <c r="P355" i="1"/>
  <c r="T355" i="1" s="1"/>
  <c r="V354" i="1"/>
  <c r="U354" i="1"/>
  <c r="S354" i="1"/>
  <c r="R354" i="1"/>
  <c r="Q354" i="1"/>
  <c r="P354" i="1"/>
  <c r="T354" i="1" s="1"/>
  <c r="V353" i="1"/>
  <c r="U353" i="1"/>
  <c r="S353" i="1"/>
  <c r="R353" i="1"/>
  <c r="Q353" i="1"/>
  <c r="P353" i="1"/>
  <c r="T353" i="1" s="1"/>
  <c r="V352" i="1"/>
  <c r="U352" i="1"/>
  <c r="S352" i="1"/>
  <c r="R352" i="1"/>
  <c r="Q352" i="1"/>
  <c r="P352" i="1"/>
  <c r="T352" i="1" s="1"/>
  <c r="V351" i="1"/>
  <c r="U351" i="1"/>
  <c r="S351" i="1"/>
  <c r="R351" i="1"/>
  <c r="Q351" i="1"/>
  <c r="P351" i="1"/>
  <c r="T351" i="1" s="1"/>
  <c r="V350" i="1"/>
  <c r="U350" i="1"/>
  <c r="S350" i="1"/>
  <c r="R350" i="1"/>
  <c r="Q350" i="1"/>
  <c r="P350" i="1"/>
  <c r="T350" i="1" s="1"/>
  <c r="V349" i="1"/>
  <c r="U349" i="1"/>
  <c r="S349" i="1"/>
  <c r="R349" i="1"/>
  <c r="Q349" i="1"/>
  <c r="P349" i="1"/>
  <c r="T349" i="1" s="1"/>
  <c r="V348" i="1"/>
  <c r="U348" i="1"/>
  <c r="S348" i="1"/>
  <c r="R348" i="1"/>
  <c r="Q348" i="1"/>
  <c r="P348" i="1"/>
  <c r="T348" i="1" s="1"/>
  <c r="V347" i="1"/>
  <c r="U347" i="1"/>
  <c r="S347" i="1"/>
  <c r="R347" i="1"/>
  <c r="Q347" i="1"/>
  <c r="P347" i="1"/>
  <c r="T347" i="1" s="1"/>
  <c r="V346" i="1"/>
  <c r="U346" i="1"/>
  <c r="S346" i="1"/>
  <c r="R346" i="1"/>
  <c r="Q346" i="1"/>
  <c r="P346" i="1"/>
  <c r="T346" i="1" s="1"/>
  <c r="V345" i="1"/>
  <c r="U345" i="1"/>
  <c r="S345" i="1"/>
  <c r="R345" i="1"/>
  <c r="Q345" i="1"/>
  <c r="P345" i="1"/>
  <c r="T345" i="1" s="1"/>
  <c r="V344" i="1"/>
  <c r="U344" i="1"/>
  <c r="S344" i="1"/>
  <c r="R344" i="1"/>
  <c r="Q344" i="1"/>
  <c r="P344" i="1"/>
  <c r="T344" i="1" s="1"/>
  <c r="V343" i="1"/>
  <c r="U343" i="1"/>
  <c r="T343" i="1"/>
  <c r="S343" i="1"/>
  <c r="R343" i="1"/>
  <c r="Q343" i="1"/>
  <c r="P343" i="1"/>
  <c r="V342" i="1"/>
  <c r="U342" i="1"/>
  <c r="S342" i="1"/>
  <c r="R342" i="1"/>
  <c r="Q342" i="1"/>
  <c r="P342" i="1"/>
  <c r="T342" i="1" s="1"/>
  <c r="V341" i="1"/>
  <c r="U341" i="1"/>
  <c r="S341" i="1"/>
  <c r="R341" i="1"/>
  <c r="Q341" i="1"/>
  <c r="P341" i="1"/>
  <c r="T341" i="1" s="1"/>
  <c r="V340" i="1"/>
  <c r="U340" i="1"/>
  <c r="S340" i="1"/>
  <c r="R340" i="1"/>
  <c r="Q340" i="1"/>
  <c r="P340" i="1"/>
  <c r="T340" i="1" s="1"/>
  <c r="V339" i="1"/>
  <c r="U339" i="1"/>
  <c r="S339" i="1"/>
  <c r="R339" i="1"/>
  <c r="Q339" i="1"/>
  <c r="P339" i="1"/>
  <c r="T339" i="1" s="1"/>
  <c r="V338" i="1"/>
  <c r="U338" i="1"/>
  <c r="S338" i="1"/>
  <c r="R338" i="1"/>
  <c r="Q338" i="1"/>
  <c r="P338" i="1"/>
  <c r="T338" i="1" s="1"/>
  <c r="V337" i="1"/>
  <c r="U337" i="1"/>
  <c r="T337" i="1"/>
  <c r="S337" i="1"/>
  <c r="R337" i="1"/>
  <c r="Q337" i="1"/>
  <c r="P337" i="1"/>
  <c r="V336" i="1"/>
  <c r="U336" i="1"/>
  <c r="T336" i="1"/>
  <c r="S336" i="1"/>
  <c r="R336" i="1"/>
  <c r="Q336" i="1"/>
  <c r="P336" i="1"/>
  <c r="V335" i="1"/>
  <c r="U335" i="1"/>
  <c r="S335" i="1"/>
  <c r="R335" i="1"/>
  <c r="Q335" i="1"/>
  <c r="P335" i="1"/>
  <c r="T335" i="1" s="1"/>
  <c r="V334" i="1"/>
  <c r="U334" i="1"/>
  <c r="S334" i="1"/>
  <c r="R334" i="1"/>
  <c r="Q334" i="1"/>
  <c r="P334" i="1"/>
  <c r="T334" i="1" s="1"/>
  <c r="V333" i="1"/>
  <c r="U333" i="1"/>
  <c r="S333" i="1"/>
  <c r="R333" i="1"/>
  <c r="Q333" i="1"/>
  <c r="P333" i="1"/>
  <c r="T333" i="1" s="1"/>
  <c r="V332" i="1"/>
  <c r="U332" i="1"/>
  <c r="S332" i="1"/>
  <c r="R332" i="1"/>
  <c r="Q332" i="1"/>
  <c r="P332" i="1"/>
  <c r="T332" i="1" s="1"/>
  <c r="V331" i="1"/>
  <c r="U331" i="1"/>
  <c r="S331" i="1"/>
  <c r="R331" i="1"/>
  <c r="Q331" i="1"/>
  <c r="P331" i="1"/>
  <c r="T331" i="1" s="1"/>
  <c r="V330" i="1"/>
  <c r="U330" i="1"/>
  <c r="S330" i="1"/>
  <c r="R330" i="1"/>
  <c r="Q330" i="1"/>
  <c r="P330" i="1"/>
  <c r="T330" i="1" s="1"/>
  <c r="V329" i="1"/>
  <c r="U329" i="1"/>
  <c r="S329" i="1"/>
  <c r="R329" i="1"/>
  <c r="Q329" i="1"/>
  <c r="P329" i="1"/>
  <c r="T329" i="1" s="1"/>
  <c r="V328" i="1"/>
  <c r="U328" i="1"/>
  <c r="S328" i="1"/>
  <c r="R328" i="1"/>
  <c r="Q328" i="1"/>
  <c r="P328" i="1"/>
  <c r="T328" i="1" s="1"/>
  <c r="V327" i="1"/>
  <c r="U327" i="1"/>
  <c r="T327" i="1"/>
  <c r="S327" i="1"/>
  <c r="R327" i="1"/>
  <c r="Q327" i="1"/>
  <c r="P327" i="1"/>
  <c r="V326" i="1"/>
  <c r="U326" i="1"/>
  <c r="S326" i="1"/>
  <c r="R326" i="1"/>
  <c r="Q326" i="1"/>
  <c r="P326" i="1"/>
  <c r="T326" i="1" s="1"/>
  <c r="V325" i="1"/>
  <c r="U325" i="1"/>
  <c r="S325" i="1"/>
  <c r="R325" i="1"/>
  <c r="Q325" i="1"/>
  <c r="P325" i="1"/>
  <c r="T325" i="1" s="1"/>
  <c r="V324" i="1"/>
  <c r="U324" i="1"/>
  <c r="S324" i="1"/>
  <c r="R324" i="1"/>
  <c r="Q324" i="1"/>
  <c r="P324" i="1"/>
  <c r="T324" i="1" s="1"/>
  <c r="V323" i="1"/>
  <c r="U323" i="1"/>
  <c r="S323" i="1"/>
  <c r="R323" i="1"/>
  <c r="Q323" i="1"/>
  <c r="P323" i="1"/>
  <c r="T323" i="1" s="1"/>
  <c r="V322" i="1"/>
  <c r="U322" i="1"/>
  <c r="T322" i="1"/>
  <c r="S322" i="1"/>
  <c r="R322" i="1"/>
  <c r="Q322" i="1"/>
  <c r="P322" i="1"/>
  <c r="V321" i="1"/>
  <c r="U321" i="1"/>
  <c r="S321" i="1"/>
  <c r="R321" i="1"/>
  <c r="Q321" i="1"/>
  <c r="P321" i="1"/>
  <c r="T321" i="1" s="1"/>
  <c r="V320" i="1"/>
  <c r="U320" i="1"/>
  <c r="T320" i="1"/>
  <c r="S320" i="1"/>
  <c r="R320" i="1"/>
  <c r="Q320" i="1"/>
  <c r="P320" i="1"/>
  <c r="V319" i="1"/>
  <c r="U319" i="1"/>
  <c r="S319" i="1"/>
  <c r="R319" i="1"/>
  <c r="Q319" i="1"/>
  <c r="P319" i="1"/>
  <c r="T319" i="1" s="1"/>
  <c r="V318" i="1"/>
  <c r="U318" i="1"/>
  <c r="S318" i="1"/>
  <c r="R318" i="1"/>
  <c r="Q318" i="1"/>
  <c r="P318" i="1"/>
  <c r="T318" i="1" s="1"/>
  <c r="V317" i="1"/>
  <c r="U317" i="1"/>
  <c r="S317" i="1"/>
  <c r="R317" i="1"/>
  <c r="Q317" i="1"/>
  <c r="P317" i="1"/>
  <c r="T317" i="1" s="1"/>
  <c r="V316" i="1"/>
  <c r="U316" i="1"/>
  <c r="S316" i="1"/>
  <c r="R316" i="1"/>
  <c r="Q316" i="1"/>
  <c r="P316" i="1"/>
  <c r="T316" i="1" s="1"/>
  <c r="V315" i="1"/>
  <c r="U315" i="1"/>
  <c r="T315" i="1"/>
  <c r="S315" i="1"/>
  <c r="R315" i="1"/>
  <c r="Q315" i="1"/>
  <c r="P315" i="1"/>
  <c r="V314" i="1"/>
  <c r="U314" i="1"/>
  <c r="S314" i="1"/>
  <c r="R314" i="1"/>
  <c r="Q314" i="1"/>
  <c r="P314" i="1"/>
  <c r="T314" i="1" s="1"/>
  <c r="V313" i="1"/>
  <c r="U313" i="1"/>
  <c r="S313" i="1"/>
  <c r="R313" i="1"/>
  <c r="Q313" i="1"/>
  <c r="P313" i="1"/>
  <c r="T313" i="1" s="1"/>
  <c r="V312" i="1"/>
  <c r="U312" i="1"/>
  <c r="S312" i="1"/>
  <c r="R312" i="1"/>
  <c r="Q312" i="1"/>
  <c r="P312" i="1"/>
  <c r="T312" i="1" s="1"/>
  <c r="V311" i="1"/>
  <c r="U311" i="1"/>
  <c r="S311" i="1"/>
  <c r="R311" i="1"/>
  <c r="Q311" i="1"/>
  <c r="P311" i="1"/>
  <c r="T311" i="1" s="1"/>
  <c r="V310" i="1"/>
  <c r="U310" i="1"/>
  <c r="S310" i="1"/>
  <c r="R310" i="1"/>
  <c r="Q310" i="1"/>
  <c r="P310" i="1"/>
  <c r="T310" i="1" s="1"/>
  <c r="V309" i="1"/>
  <c r="U309" i="1"/>
  <c r="S309" i="1"/>
  <c r="R309" i="1"/>
  <c r="Q309" i="1"/>
  <c r="P309" i="1"/>
  <c r="T309" i="1" s="1"/>
  <c r="V308" i="1"/>
  <c r="U308" i="1"/>
  <c r="S308" i="1"/>
  <c r="R308" i="1"/>
  <c r="Q308" i="1"/>
  <c r="P308" i="1"/>
  <c r="T308" i="1" s="1"/>
  <c r="V307" i="1"/>
  <c r="U307" i="1"/>
  <c r="S307" i="1"/>
  <c r="R307" i="1"/>
  <c r="Q307" i="1"/>
  <c r="P307" i="1"/>
  <c r="T307" i="1" s="1"/>
  <c r="V306" i="1"/>
  <c r="U306" i="1"/>
  <c r="T306" i="1"/>
  <c r="S306" i="1"/>
  <c r="R306" i="1"/>
  <c r="Q306" i="1"/>
  <c r="P306" i="1"/>
  <c r="V305" i="1"/>
  <c r="U305" i="1"/>
  <c r="S305" i="1"/>
  <c r="R305" i="1"/>
  <c r="Q305" i="1"/>
  <c r="P305" i="1"/>
  <c r="T305" i="1" s="1"/>
  <c r="V304" i="1"/>
  <c r="U304" i="1"/>
  <c r="T304" i="1"/>
  <c r="S304" i="1"/>
  <c r="R304" i="1"/>
  <c r="Q304" i="1"/>
  <c r="P304" i="1"/>
  <c r="V303" i="1"/>
  <c r="U303" i="1"/>
  <c r="S303" i="1"/>
  <c r="R303" i="1"/>
  <c r="Q303" i="1"/>
  <c r="P303" i="1"/>
  <c r="T303" i="1" s="1"/>
  <c r="V302" i="1"/>
  <c r="U302" i="1"/>
  <c r="S302" i="1"/>
  <c r="R302" i="1"/>
  <c r="Q302" i="1"/>
  <c r="P302" i="1"/>
  <c r="T302" i="1" s="1"/>
  <c r="V301" i="1"/>
  <c r="U301" i="1"/>
  <c r="S301" i="1"/>
  <c r="R301" i="1"/>
  <c r="Q301" i="1"/>
  <c r="P301" i="1"/>
  <c r="T301" i="1" s="1"/>
  <c r="V300" i="1"/>
  <c r="U300" i="1"/>
  <c r="S300" i="1"/>
  <c r="R300" i="1"/>
  <c r="Q300" i="1"/>
  <c r="P300" i="1"/>
  <c r="T300" i="1" s="1"/>
  <c r="V299" i="1"/>
  <c r="U299" i="1"/>
  <c r="T299" i="1"/>
  <c r="S299" i="1"/>
  <c r="R299" i="1"/>
  <c r="Q299" i="1"/>
  <c r="P299" i="1"/>
  <c r="V298" i="1"/>
  <c r="U298" i="1"/>
  <c r="S298" i="1"/>
  <c r="R298" i="1"/>
  <c r="Q298" i="1"/>
  <c r="P298" i="1"/>
  <c r="T298" i="1" s="1"/>
  <c r="V297" i="1"/>
  <c r="U297" i="1"/>
  <c r="S297" i="1"/>
  <c r="R297" i="1"/>
  <c r="Q297" i="1"/>
  <c r="P297" i="1"/>
  <c r="T297" i="1" s="1"/>
  <c r="V296" i="1"/>
  <c r="U296" i="1"/>
  <c r="S296" i="1"/>
  <c r="R296" i="1"/>
  <c r="Q296" i="1"/>
  <c r="P296" i="1"/>
  <c r="T296" i="1" s="1"/>
  <c r="V295" i="1"/>
  <c r="U295" i="1"/>
  <c r="S295" i="1"/>
  <c r="R295" i="1"/>
  <c r="Q295" i="1"/>
  <c r="P295" i="1"/>
  <c r="T295" i="1" s="1"/>
  <c r="V294" i="1"/>
  <c r="U294" i="1"/>
  <c r="S294" i="1"/>
  <c r="R294" i="1"/>
  <c r="Q294" i="1"/>
  <c r="P294" i="1"/>
  <c r="T294" i="1" s="1"/>
  <c r="V293" i="1"/>
  <c r="U293" i="1"/>
  <c r="S293" i="1"/>
  <c r="R293" i="1"/>
  <c r="Q293" i="1"/>
  <c r="P293" i="1"/>
  <c r="T293" i="1" s="1"/>
  <c r="V292" i="1"/>
  <c r="U292" i="1"/>
  <c r="S292" i="1"/>
  <c r="R292" i="1"/>
  <c r="Q292" i="1"/>
  <c r="P292" i="1"/>
  <c r="T292" i="1" s="1"/>
  <c r="V291" i="1"/>
  <c r="U291" i="1"/>
  <c r="S291" i="1"/>
  <c r="R291" i="1"/>
  <c r="Q291" i="1"/>
  <c r="P291" i="1"/>
  <c r="T291" i="1" s="1"/>
  <c r="V290" i="1"/>
  <c r="U290" i="1"/>
  <c r="T290" i="1"/>
  <c r="S290" i="1"/>
  <c r="R290" i="1"/>
  <c r="Q290" i="1"/>
  <c r="P290" i="1"/>
  <c r="V289" i="1"/>
  <c r="U289" i="1"/>
  <c r="S289" i="1"/>
  <c r="R289" i="1"/>
  <c r="Q289" i="1"/>
  <c r="P289" i="1"/>
  <c r="T289" i="1" s="1"/>
  <c r="V288" i="1"/>
  <c r="U288" i="1"/>
  <c r="T288" i="1"/>
  <c r="S288" i="1"/>
  <c r="R288" i="1"/>
  <c r="Q288" i="1"/>
  <c r="P288" i="1"/>
  <c r="V287" i="1"/>
  <c r="U287" i="1"/>
  <c r="S287" i="1"/>
  <c r="R287" i="1"/>
  <c r="Q287" i="1"/>
  <c r="P287" i="1"/>
  <c r="T287" i="1" s="1"/>
  <c r="V286" i="1"/>
  <c r="U286" i="1"/>
  <c r="S286" i="1"/>
  <c r="R286" i="1"/>
  <c r="Q286" i="1"/>
  <c r="P286" i="1"/>
  <c r="T286" i="1" s="1"/>
  <c r="V285" i="1"/>
  <c r="U285" i="1"/>
  <c r="S285" i="1"/>
  <c r="R285" i="1"/>
  <c r="Q285" i="1"/>
  <c r="P285" i="1"/>
  <c r="T285" i="1" s="1"/>
  <c r="V284" i="1"/>
  <c r="U284" i="1"/>
  <c r="S284" i="1"/>
  <c r="R284" i="1"/>
  <c r="Q284" i="1"/>
  <c r="P284" i="1"/>
  <c r="T284" i="1" s="1"/>
  <c r="V283" i="1"/>
  <c r="U283" i="1"/>
  <c r="S283" i="1"/>
  <c r="R283" i="1"/>
  <c r="Q283" i="1"/>
  <c r="P283" i="1"/>
  <c r="T283" i="1" s="1"/>
  <c r="V282" i="1"/>
  <c r="U282" i="1"/>
  <c r="S282" i="1"/>
  <c r="R282" i="1"/>
  <c r="Q282" i="1"/>
  <c r="P282" i="1"/>
  <c r="T282" i="1" s="1"/>
  <c r="V281" i="1"/>
  <c r="U281" i="1"/>
  <c r="S281" i="1"/>
  <c r="R281" i="1"/>
  <c r="Q281" i="1"/>
  <c r="P281" i="1"/>
  <c r="T281" i="1" s="1"/>
  <c r="V280" i="1"/>
  <c r="U280" i="1"/>
  <c r="S280" i="1"/>
  <c r="R280" i="1"/>
  <c r="Q280" i="1"/>
  <c r="P280" i="1"/>
  <c r="T280" i="1" s="1"/>
  <c r="V279" i="1"/>
  <c r="U279" i="1"/>
  <c r="S279" i="1"/>
  <c r="R279" i="1"/>
  <c r="Q279" i="1"/>
  <c r="P279" i="1"/>
  <c r="T279" i="1" s="1"/>
  <c r="V278" i="1"/>
  <c r="U278" i="1"/>
  <c r="S278" i="1"/>
  <c r="R278" i="1"/>
  <c r="Q278" i="1"/>
  <c r="P278" i="1"/>
  <c r="T278" i="1" s="1"/>
  <c r="V277" i="1"/>
  <c r="U277" i="1"/>
  <c r="S277" i="1"/>
  <c r="R277" i="1"/>
  <c r="Q277" i="1"/>
  <c r="P277" i="1"/>
  <c r="T277" i="1" s="1"/>
  <c r="V276" i="1"/>
  <c r="U276" i="1"/>
  <c r="S276" i="1"/>
  <c r="R276" i="1"/>
  <c r="Q276" i="1"/>
  <c r="P276" i="1"/>
  <c r="T276" i="1" s="1"/>
  <c r="V275" i="1"/>
  <c r="U275" i="1"/>
  <c r="S275" i="1"/>
  <c r="R275" i="1"/>
  <c r="Q275" i="1"/>
  <c r="P275" i="1"/>
  <c r="T275" i="1" s="1"/>
  <c r="V274" i="1"/>
  <c r="U274" i="1"/>
  <c r="T274" i="1"/>
  <c r="S274" i="1"/>
  <c r="R274" i="1"/>
  <c r="Q274" i="1"/>
  <c r="P274" i="1"/>
  <c r="V273" i="1"/>
  <c r="U273" i="1"/>
  <c r="S273" i="1"/>
  <c r="R273" i="1"/>
  <c r="Q273" i="1"/>
  <c r="P273" i="1"/>
  <c r="T273" i="1" s="1"/>
  <c r="V272" i="1"/>
  <c r="U272" i="1"/>
  <c r="T272" i="1"/>
  <c r="S272" i="1"/>
  <c r="R272" i="1"/>
  <c r="Q272" i="1"/>
  <c r="P272" i="1"/>
  <c r="V271" i="1"/>
  <c r="U271" i="1"/>
  <c r="S271" i="1"/>
  <c r="R271" i="1"/>
  <c r="Q271" i="1"/>
  <c r="P271" i="1"/>
  <c r="T271" i="1" s="1"/>
  <c r="V270" i="1"/>
  <c r="U270" i="1"/>
  <c r="S270" i="1"/>
  <c r="R270" i="1"/>
  <c r="Q270" i="1"/>
  <c r="P270" i="1"/>
  <c r="T270" i="1" s="1"/>
  <c r="V269" i="1"/>
  <c r="U269" i="1"/>
  <c r="S269" i="1"/>
  <c r="R269" i="1"/>
  <c r="Q269" i="1"/>
  <c r="P269" i="1"/>
  <c r="T269" i="1" s="1"/>
  <c r="V268" i="1"/>
  <c r="U268" i="1"/>
  <c r="S268" i="1"/>
  <c r="R268" i="1"/>
  <c r="Q268" i="1"/>
  <c r="P268" i="1"/>
  <c r="T268" i="1" s="1"/>
  <c r="V267" i="1"/>
  <c r="U267" i="1"/>
  <c r="S267" i="1"/>
  <c r="R267" i="1"/>
  <c r="Q267" i="1"/>
  <c r="P267" i="1"/>
  <c r="T267" i="1" s="1"/>
  <c r="V266" i="1"/>
  <c r="U266" i="1"/>
  <c r="S266" i="1"/>
  <c r="R266" i="1"/>
  <c r="Q266" i="1"/>
  <c r="P266" i="1"/>
  <c r="T266" i="1" s="1"/>
  <c r="V265" i="1"/>
  <c r="U265" i="1"/>
  <c r="S265" i="1"/>
  <c r="R265" i="1"/>
  <c r="Q265" i="1"/>
  <c r="P265" i="1"/>
  <c r="T265" i="1" s="1"/>
  <c r="V264" i="1"/>
  <c r="U264" i="1"/>
  <c r="S264" i="1"/>
  <c r="R264" i="1"/>
  <c r="Q264" i="1"/>
  <c r="P264" i="1"/>
  <c r="T264" i="1" s="1"/>
  <c r="V263" i="1"/>
  <c r="U263" i="1"/>
  <c r="S263" i="1"/>
  <c r="R263" i="1"/>
  <c r="Q263" i="1"/>
  <c r="P263" i="1"/>
  <c r="T263" i="1" s="1"/>
  <c r="V262" i="1"/>
  <c r="U262" i="1"/>
  <c r="S262" i="1"/>
  <c r="R262" i="1"/>
  <c r="Q262" i="1"/>
  <c r="P262" i="1"/>
  <c r="T262" i="1" s="1"/>
  <c r="V261" i="1"/>
  <c r="U261" i="1"/>
  <c r="S261" i="1"/>
  <c r="R261" i="1"/>
  <c r="Q261" i="1"/>
  <c r="P261" i="1"/>
  <c r="T261" i="1" s="1"/>
  <c r="V260" i="1"/>
  <c r="U260" i="1"/>
  <c r="S260" i="1"/>
  <c r="R260" i="1"/>
  <c r="Q260" i="1"/>
  <c r="P260" i="1"/>
  <c r="T260" i="1" s="1"/>
  <c r="V259" i="1"/>
  <c r="U259" i="1"/>
  <c r="S259" i="1"/>
  <c r="R259" i="1"/>
  <c r="Q259" i="1"/>
  <c r="P259" i="1"/>
  <c r="T259" i="1" s="1"/>
  <c r="V258" i="1"/>
  <c r="U258" i="1"/>
  <c r="T258" i="1"/>
  <c r="S258" i="1"/>
  <c r="R258" i="1"/>
  <c r="Q258" i="1"/>
  <c r="P258" i="1"/>
  <c r="V257" i="1"/>
  <c r="U257" i="1"/>
  <c r="S257" i="1"/>
  <c r="R257" i="1"/>
  <c r="Q257" i="1"/>
  <c r="P257" i="1"/>
  <c r="T257" i="1" s="1"/>
  <c r="V256" i="1"/>
  <c r="U256" i="1"/>
  <c r="T256" i="1"/>
  <c r="S256" i="1"/>
  <c r="R256" i="1"/>
  <c r="Q256" i="1"/>
  <c r="P256" i="1"/>
  <c r="V255" i="1"/>
  <c r="U255" i="1"/>
  <c r="S255" i="1"/>
  <c r="R255" i="1"/>
  <c r="Q255" i="1"/>
  <c r="P255" i="1"/>
  <c r="T255" i="1" s="1"/>
  <c r="V254" i="1"/>
  <c r="U254" i="1"/>
  <c r="S254" i="1"/>
  <c r="R254" i="1"/>
  <c r="Q254" i="1"/>
  <c r="P254" i="1"/>
  <c r="T254" i="1" s="1"/>
  <c r="V253" i="1"/>
  <c r="U253" i="1"/>
  <c r="S253" i="1"/>
  <c r="R253" i="1"/>
  <c r="Q253" i="1"/>
  <c r="P253" i="1"/>
  <c r="T253" i="1" s="1"/>
  <c r="V252" i="1"/>
  <c r="U252" i="1"/>
  <c r="S252" i="1"/>
  <c r="R252" i="1"/>
  <c r="Q252" i="1"/>
  <c r="P252" i="1"/>
  <c r="T252" i="1" s="1"/>
  <c r="V251" i="1"/>
  <c r="U251" i="1"/>
  <c r="S251" i="1"/>
  <c r="R251" i="1"/>
  <c r="Q251" i="1"/>
  <c r="P251" i="1"/>
  <c r="T251" i="1" s="1"/>
  <c r="V250" i="1"/>
  <c r="U250" i="1"/>
  <c r="S250" i="1"/>
  <c r="R250" i="1"/>
  <c r="Q250" i="1"/>
  <c r="P250" i="1"/>
  <c r="T250" i="1" s="1"/>
  <c r="V249" i="1"/>
  <c r="U249" i="1"/>
  <c r="S249" i="1"/>
  <c r="R249" i="1"/>
  <c r="Q249" i="1"/>
  <c r="P249" i="1"/>
  <c r="T249" i="1" s="1"/>
  <c r="V248" i="1"/>
  <c r="U248" i="1"/>
  <c r="S248" i="1"/>
  <c r="R248" i="1"/>
  <c r="Q248" i="1"/>
  <c r="P248" i="1"/>
  <c r="T248" i="1" s="1"/>
  <c r="V247" i="1"/>
  <c r="U247" i="1"/>
  <c r="S247" i="1"/>
  <c r="R247" i="1"/>
  <c r="Q247" i="1"/>
  <c r="P247" i="1"/>
  <c r="T247" i="1" s="1"/>
  <c r="V246" i="1"/>
  <c r="U246" i="1"/>
  <c r="S246" i="1"/>
  <c r="R246" i="1"/>
  <c r="Q246" i="1"/>
  <c r="P246" i="1"/>
  <c r="T246" i="1" s="1"/>
  <c r="V245" i="1"/>
  <c r="U245" i="1"/>
  <c r="S245" i="1"/>
  <c r="R245" i="1"/>
  <c r="Q245" i="1"/>
  <c r="P245" i="1"/>
  <c r="T245" i="1" s="1"/>
  <c r="V244" i="1"/>
  <c r="U244" i="1"/>
  <c r="S244" i="1"/>
  <c r="R244" i="1"/>
  <c r="Q244" i="1"/>
  <c r="P244" i="1"/>
  <c r="T244" i="1" s="1"/>
  <c r="V243" i="1"/>
  <c r="U243" i="1"/>
  <c r="S243" i="1"/>
  <c r="R243" i="1"/>
  <c r="Q243" i="1"/>
  <c r="P243" i="1"/>
  <c r="T243" i="1" s="1"/>
  <c r="V242" i="1"/>
  <c r="U242" i="1"/>
  <c r="T242" i="1"/>
  <c r="S242" i="1"/>
  <c r="R242" i="1"/>
  <c r="Q242" i="1"/>
  <c r="P242" i="1"/>
  <c r="V241" i="1"/>
  <c r="U241" i="1"/>
  <c r="S241" i="1"/>
  <c r="R241" i="1"/>
  <c r="Q241" i="1"/>
  <c r="P241" i="1"/>
  <c r="T241" i="1" s="1"/>
  <c r="V240" i="1"/>
  <c r="U240" i="1"/>
  <c r="T240" i="1"/>
  <c r="S240" i="1"/>
  <c r="R240" i="1"/>
  <c r="Q240" i="1"/>
  <c r="P240" i="1"/>
  <c r="V239" i="1"/>
  <c r="U239" i="1"/>
  <c r="S239" i="1"/>
  <c r="R239" i="1"/>
  <c r="Q239" i="1"/>
  <c r="P239" i="1"/>
  <c r="T239" i="1" s="1"/>
  <c r="V238" i="1"/>
  <c r="U238" i="1"/>
  <c r="S238" i="1"/>
  <c r="R238" i="1"/>
  <c r="Q238" i="1"/>
  <c r="P238" i="1"/>
  <c r="T238" i="1" s="1"/>
  <c r="V237" i="1"/>
  <c r="U237" i="1"/>
  <c r="S237" i="1"/>
  <c r="R237" i="1"/>
  <c r="Q237" i="1"/>
  <c r="P237" i="1"/>
  <c r="T237" i="1" s="1"/>
  <c r="V236" i="1"/>
  <c r="U236" i="1"/>
  <c r="S236" i="1"/>
  <c r="R236" i="1"/>
  <c r="Q236" i="1"/>
  <c r="P236" i="1"/>
  <c r="T236" i="1" s="1"/>
  <c r="V235" i="1"/>
  <c r="U235" i="1"/>
  <c r="S235" i="1"/>
  <c r="R235" i="1"/>
  <c r="Q235" i="1"/>
  <c r="P235" i="1"/>
  <c r="T235" i="1" s="1"/>
  <c r="V234" i="1"/>
  <c r="U234" i="1"/>
  <c r="S234" i="1"/>
  <c r="R234" i="1"/>
  <c r="Q234" i="1"/>
  <c r="P234" i="1"/>
  <c r="T234" i="1" s="1"/>
  <c r="V233" i="1"/>
  <c r="U233" i="1"/>
  <c r="S233" i="1"/>
  <c r="R233" i="1"/>
  <c r="Q233" i="1"/>
  <c r="P233" i="1"/>
  <c r="T233" i="1" s="1"/>
  <c r="V232" i="1"/>
  <c r="U232" i="1"/>
  <c r="S232" i="1"/>
  <c r="R232" i="1"/>
  <c r="Q232" i="1"/>
  <c r="P232" i="1"/>
  <c r="T232" i="1" s="1"/>
  <c r="V231" i="1"/>
  <c r="U231" i="1"/>
  <c r="S231" i="1"/>
  <c r="R231" i="1"/>
  <c r="Q231" i="1"/>
  <c r="P231" i="1"/>
  <c r="T231" i="1" s="1"/>
  <c r="V230" i="1"/>
  <c r="U230" i="1"/>
  <c r="S230" i="1"/>
  <c r="R230" i="1"/>
  <c r="Q230" i="1"/>
  <c r="P230" i="1"/>
  <c r="T230" i="1" s="1"/>
  <c r="V229" i="1"/>
  <c r="U229" i="1"/>
  <c r="S229" i="1"/>
  <c r="R229" i="1"/>
  <c r="Q229" i="1"/>
  <c r="P229" i="1"/>
  <c r="T229" i="1" s="1"/>
  <c r="V228" i="1"/>
  <c r="U228" i="1"/>
  <c r="S228" i="1"/>
  <c r="R228" i="1"/>
  <c r="Q228" i="1"/>
  <c r="P228" i="1"/>
  <c r="T228" i="1" s="1"/>
  <c r="V227" i="1"/>
  <c r="U227" i="1"/>
  <c r="T227" i="1"/>
  <c r="S227" i="1"/>
  <c r="R227" i="1"/>
  <c r="Q227" i="1"/>
  <c r="P227" i="1"/>
  <c r="V226" i="1"/>
  <c r="U226" i="1"/>
  <c r="T226" i="1"/>
  <c r="S226" i="1"/>
  <c r="R226" i="1"/>
  <c r="Q226" i="1"/>
  <c r="P226" i="1"/>
  <c r="V225" i="1"/>
  <c r="U225" i="1"/>
  <c r="S225" i="1"/>
  <c r="R225" i="1"/>
  <c r="Q225" i="1"/>
  <c r="P225" i="1"/>
  <c r="T225" i="1" s="1"/>
  <c r="V224" i="1"/>
  <c r="U224" i="1"/>
  <c r="T224" i="1"/>
  <c r="S224" i="1"/>
  <c r="R224" i="1"/>
  <c r="Q224" i="1"/>
  <c r="P224" i="1"/>
  <c r="V223" i="1"/>
  <c r="U223" i="1"/>
  <c r="S223" i="1"/>
  <c r="R223" i="1"/>
  <c r="Q223" i="1"/>
  <c r="P223" i="1"/>
  <c r="T223" i="1" s="1"/>
  <c r="V222" i="1"/>
  <c r="U222" i="1"/>
  <c r="S222" i="1"/>
  <c r="R222" i="1"/>
  <c r="Q222" i="1"/>
  <c r="P222" i="1"/>
  <c r="T222" i="1" s="1"/>
  <c r="V221" i="1"/>
  <c r="U221" i="1"/>
  <c r="S221" i="1"/>
  <c r="R221" i="1"/>
  <c r="Q221" i="1"/>
  <c r="P221" i="1"/>
  <c r="T221" i="1" s="1"/>
  <c r="V220" i="1"/>
  <c r="U220" i="1"/>
  <c r="S220" i="1"/>
  <c r="R220" i="1"/>
  <c r="Q220" i="1"/>
  <c r="P220" i="1"/>
  <c r="T220" i="1" s="1"/>
  <c r="V219" i="1"/>
  <c r="U219" i="1"/>
  <c r="S219" i="1"/>
  <c r="R219" i="1"/>
  <c r="Q219" i="1"/>
  <c r="P219" i="1"/>
  <c r="T219" i="1" s="1"/>
  <c r="V218" i="1"/>
  <c r="U218" i="1"/>
  <c r="S218" i="1"/>
  <c r="R218" i="1"/>
  <c r="Q218" i="1"/>
  <c r="P218" i="1"/>
  <c r="T218" i="1" s="1"/>
  <c r="V217" i="1"/>
  <c r="U217" i="1"/>
  <c r="T217" i="1"/>
  <c r="S217" i="1"/>
  <c r="R217" i="1"/>
  <c r="Q217" i="1"/>
  <c r="P217" i="1"/>
  <c r="V216" i="1"/>
  <c r="U216" i="1"/>
  <c r="S216" i="1"/>
  <c r="R216" i="1"/>
  <c r="Q216" i="1"/>
  <c r="P216" i="1"/>
  <c r="T216" i="1" s="1"/>
  <c r="V215" i="1"/>
  <c r="U215" i="1"/>
  <c r="S215" i="1"/>
  <c r="R215" i="1"/>
  <c r="Q215" i="1"/>
  <c r="P215" i="1"/>
  <c r="T215" i="1" s="1"/>
  <c r="V214" i="1"/>
  <c r="U214" i="1"/>
  <c r="S214" i="1"/>
  <c r="R214" i="1"/>
  <c r="Q214" i="1"/>
  <c r="P214" i="1"/>
  <c r="T214" i="1" s="1"/>
  <c r="V213" i="1"/>
  <c r="U213" i="1"/>
  <c r="S213" i="1"/>
  <c r="R213" i="1"/>
  <c r="Q213" i="1"/>
  <c r="P213" i="1"/>
  <c r="T213" i="1" s="1"/>
  <c r="V212" i="1"/>
  <c r="U212" i="1"/>
  <c r="S212" i="1"/>
  <c r="R212" i="1"/>
  <c r="Q212" i="1"/>
  <c r="P212" i="1"/>
  <c r="T212" i="1" s="1"/>
  <c r="V211" i="1"/>
  <c r="U211" i="1"/>
  <c r="T211" i="1"/>
  <c r="S211" i="1"/>
  <c r="R211" i="1"/>
  <c r="Q211" i="1"/>
  <c r="P211" i="1"/>
  <c r="V210" i="1"/>
  <c r="U210" i="1"/>
  <c r="T210" i="1"/>
  <c r="S210" i="1"/>
  <c r="R210" i="1"/>
  <c r="Q210" i="1"/>
  <c r="P210" i="1"/>
  <c r="V209" i="1"/>
  <c r="U209" i="1"/>
  <c r="S209" i="1"/>
  <c r="R209" i="1"/>
  <c r="Q209" i="1"/>
  <c r="P209" i="1"/>
  <c r="T209" i="1" s="1"/>
  <c r="V208" i="1"/>
  <c r="U208" i="1"/>
  <c r="T208" i="1"/>
  <c r="S208" i="1"/>
  <c r="R208" i="1"/>
  <c r="Q208" i="1"/>
  <c r="P208" i="1"/>
  <c r="V207" i="1"/>
  <c r="U207" i="1"/>
  <c r="S207" i="1"/>
  <c r="R207" i="1"/>
  <c r="Q207" i="1"/>
  <c r="P207" i="1"/>
  <c r="T207" i="1" s="1"/>
  <c r="V206" i="1"/>
  <c r="U206" i="1"/>
  <c r="S206" i="1"/>
  <c r="R206" i="1"/>
  <c r="Q206" i="1"/>
  <c r="P206" i="1"/>
  <c r="T206" i="1" s="1"/>
  <c r="V205" i="1"/>
  <c r="U205" i="1"/>
  <c r="S205" i="1"/>
  <c r="R205" i="1"/>
  <c r="Q205" i="1"/>
  <c r="P205" i="1"/>
  <c r="T205" i="1" s="1"/>
  <c r="V204" i="1"/>
  <c r="U204" i="1"/>
  <c r="S204" i="1"/>
  <c r="R204" i="1"/>
  <c r="Q204" i="1"/>
  <c r="P204" i="1"/>
  <c r="T204" i="1" s="1"/>
  <c r="V203" i="1"/>
  <c r="U203" i="1"/>
  <c r="S203" i="1"/>
  <c r="R203" i="1"/>
  <c r="Q203" i="1"/>
  <c r="P203" i="1"/>
  <c r="T203" i="1" s="1"/>
  <c r="V202" i="1"/>
  <c r="U202" i="1"/>
  <c r="S202" i="1"/>
  <c r="R202" i="1"/>
  <c r="Q202" i="1"/>
  <c r="P202" i="1"/>
  <c r="T202" i="1" s="1"/>
  <c r="V201" i="1"/>
  <c r="U201" i="1"/>
  <c r="T201" i="1"/>
  <c r="S201" i="1"/>
  <c r="R201" i="1"/>
  <c r="Q201" i="1"/>
  <c r="P201" i="1"/>
  <c r="V200" i="1"/>
  <c r="U200" i="1"/>
  <c r="S200" i="1"/>
  <c r="R200" i="1"/>
  <c r="Q200" i="1"/>
  <c r="P200" i="1"/>
  <c r="T200" i="1" s="1"/>
  <c r="V199" i="1"/>
  <c r="U199" i="1"/>
  <c r="S199" i="1"/>
  <c r="R199" i="1"/>
  <c r="Q199" i="1"/>
  <c r="P199" i="1"/>
  <c r="T199" i="1" s="1"/>
  <c r="V198" i="1"/>
  <c r="U198" i="1"/>
  <c r="S198" i="1"/>
  <c r="R198" i="1"/>
  <c r="Q198" i="1"/>
  <c r="P198" i="1"/>
  <c r="T198" i="1" s="1"/>
  <c r="V197" i="1"/>
  <c r="U197" i="1"/>
  <c r="S197" i="1"/>
  <c r="R197" i="1"/>
  <c r="Q197" i="1"/>
  <c r="P197" i="1"/>
  <c r="T197" i="1" s="1"/>
  <c r="V196" i="1"/>
  <c r="U196" i="1"/>
  <c r="S196" i="1"/>
  <c r="R196" i="1"/>
  <c r="Q196" i="1"/>
  <c r="P196" i="1"/>
  <c r="T196" i="1" s="1"/>
  <c r="V195" i="1"/>
  <c r="U195" i="1"/>
  <c r="S195" i="1"/>
  <c r="R195" i="1"/>
  <c r="Q195" i="1"/>
  <c r="P195" i="1"/>
  <c r="T195" i="1" s="1"/>
  <c r="V194" i="1"/>
  <c r="U194" i="1"/>
  <c r="T194" i="1"/>
  <c r="S194" i="1"/>
  <c r="R194" i="1"/>
  <c r="Q194" i="1"/>
  <c r="P194" i="1"/>
  <c r="V193" i="1"/>
  <c r="U193" i="1"/>
  <c r="S193" i="1"/>
  <c r="R193" i="1"/>
  <c r="Q193" i="1"/>
  <c r="P193" i="1"/>
  <c r="T193" i="1" s="1"/>
  <c r="V192" i="1"/>
  <c r="U192" i="1"/>
  <c r="T192" i="1"/>
  <c r="S192" i="1"/>
  <c r="R192" i="1"/>
  <c r="Q192" i="1"/>
  <c r="P192" i="1"/>
  <c r="V191" i="1"/>
  <c r="U191" i="1"/>
  <c r="S191" i="1"/>
  <c r="R191" i="1"/>
  <c r="Q191" i="1"/>
  <c r="P191" i="1"/>
  <c r="T191" i="1" s="1"/>
  <c r="V190" i="1"/>
  <c r="U190" i="1"/>
  <c r="S190" i="1"/>
  <c r="R190" i="1"/>
  <c r="Q190" i="1"/>
  <c r="P190" i="1"/>
  <c r="T190" i="1" s="1"/>
  <c r="V189" i="1"/>
  <c r="U189" i="1"/>
  <c r="S189" i="1"/>
  <c r="R189" i="1"/>
  <c r="Q189" i="1"/>
  <c r="P189" i="1"/>
  <c r="T189" i="1" s="1"/>
  <c r="V188" i="1"/>
  <c r="U188" i="1"/>
  <c r="S188" i="1"/>
  <c r="R188" i="1"/>
  <c r="Q188" i="1"/>
  <c r="P188" i="1"/>
  <c r="T188" i="1" s="1"/>
  <c r="V187" i="1"/>
  <c r="U187" i="1"/>
  <c r="T187" i="1"/>
  <c r="S187" i="1"/>
  <c r="R187" i="1"/>
  <c r="Q187" i="1"/>
  <c r="P187" i="1"/>
  <c r="V186" i="1"/>
  <c r="U186" i="1"/>
  <c r="S186" i="1"/>
  <c r="R186" i="1"/>
  <c r="Q186" i="1"/>
  <c r="P186" i="1"/>
  <c r="T186" i="1" s="1"/>
  <c r="V185" i="1"/>
  <c r="U185" i="1"/>
  <c r="T185" i="1"/>
  <c r="S185" i="1"/>
  <c r="R185" i="1"/>
  <c r="Q185" i="1"/>
  <c r="P185" i="1"/>
  <c r="V184" i="1"/>
  <c r="U184" i="1"/>
  <c r="S184" i="1"/>
  <c r="R184" i="1"/>
  <c r="Q184" i="1"/>
  <c r="P184" i="1"/>
  <c r="T184" i="1" s="1"/>
  <c r="V183" i="1"/>
  <c r="U183" i="1"/>
  <c r="S183" i="1"/>
  <c r="R183" i="1"/>
  <c r="Q183" i="1"/>
  <c r="P183" i="1"/>
  <c r="T183" i="1" s="1"/>
  <c r="V182" i="1"/>
  <c r="U182" i="1"/>
  <c r="S182" i="1"/>
  <c r="R182" i="1"/>
  <c r="Q182" i="1"/>
  <c r="P182" i="1"/>
  <c r="T182" i="1" s="1"/>
  <c r="V181" i="1"/>
  <c r="U181" i="1"/>
  <c r="S181" i="1"/>
  <c r="R181" i="1"/>
  <c r="Q181" i="1"/>
  <c r="P181" i="1"/>
  <c r="T181" i="1" s="1"/>
  <c r="V180" i="1"/>
  <c r="U180" i="1"/>
  <c r="S180" i="1"/>
  <c r="R180" i="1"/>
  <c r="Q180" i="1"/>
  <c r="P180" i="1"/>
  <c r="T180" i="1" s="1"/>
  <c r="V179" i="1"/>
  <c r="U179" i="1"/>
  <c r="S179" i="1"/>
  <c r="R179" i="1"/>
  <c r="Q179" i="1"/>
  <c r="P179" i="1"/>
  <c r="T179" i="1" s="1"/>
  <c r="V178" i="1"/>
  <c r="U178" i="1"/>
  <c r="T178" i="1"/>
  <c r="S178" i="1"/>
  <c r="R178" i="1"/>
  <c r="Q178" i="1"/>
  <c r="P178" i="1"/>
  <c r="V177" i="1"/>
  <c r="U177" i="1"/>
  <c r="S177" i="1"/>
  <c r="R177" i="1"/>
  <c r="Q177" i="1"/>
  <c r="P177" i="1"/>
  <c r="T177" i="1" s="1"/>
  <c r="V176" i="1"/>
  <c r="U176" i="1"/>
  <c r="T176" i="1"/>
  <c r="S176" i="1"/>
  <c r="R176" i="1"/>
  <c r="Q176" i="1"/>
  <c r="P176" i="1"/>
  <c r="V175" i="1"/>
  <c r="U175" i="1"/>
  <c r="S175" i="1"/>
  <c r="R175" i="1"/>
  <c r="Q175" i="1"/>
  <c r="P175" i="1"/>
  <c r="T175" i="1" s="1"/>
  <c r="V174" i="1"/>
  <c r="U174" i="1"/>
  <c r="S174" i="1"/>
  <c r="R174" i="1"/>
  <c r="Q174" i="1"/>
  <c r="P174" i="1"/>
  <c r="T174" i="1" s="1"/>
  <c r="V173" i="1"/>
  <c r="U173" i="1"/>
  <c r="S173" i="1"/>
  <c r="R173" i="1"/>
  <c r="Q173" i="1"/>
  <c r="P173" i="1"/>
  <c r="T173" i="1" s="1"/>
  <c r="V172" i="1"/>
  <c r="U172" i="1"/>
  <c r="S172" i="1"/>
  <c r="R172" i="1"/>
  <c r="Q172" i="1"/>
  <c r="P172" i="1"/>
  <c r="T172" i="1" s="1"/>
  <c r="V171" i="1"/>
  <c r="U171" i="1"/>
  <c r="T171" i="1"/>
  <c r="S171" i="1"/>
  <c r="R171" i="1"/>
  <c r="Q171" i="1"/>
  <c r="P171" i="1"/>
  <c r="V170" i="1"/>
  <c r="U170" i="1"/>
  <c r="S170" i="1"/>
  <c r="R170" i="1"/>
  <c r="Q170" i="1"/>
  <c r="P170" i="1"/>
  <c r="T170" i="1" s="1"/>
  <c r="V169" i="1"/>
  <c r="U169" i="1"/>
  <c r="T169" i="1"/>
  <c r="S169" i="1"/>
  <c r="R169" i="1"/>
  <c r="Q169" i="1"/>
  <c r="P169" i="1"/>
  <c r="V168" i="1"/>
  <c r="U168" i="1"/>
  <c r="S168" i="1"/>
  <c r="R168" i="1"/>
  <c r="Q168" i="1"/>
  <c r="P168" i="1"/>
  <c r="T168" i="1" s="1"/>
  <c r="V167" i="1"/>
  <c r="U167" i="1"/>
  <c r="S167" i="1"/>
  <c r="R167" i="1"/>
  <c r="Q167" i="1"/>
  <c r="P167" i="1"/>
  <c r="T167" i="1" s="1"/>
  <c r="V166" i="1"/>
  <c r="U166" i="1"/>
  <c r="S166" i="1"/>
  <c r="R166" i="1"/>
  <c r="Q166" i="1"/>
  <c r="P166" i="1"/>
  <c r="T166" i="1" s="1"/>
  <c r="V165" i="1"/>
  <c r="U165" i="1"/>
  <c r="S165" i="1"/>
  <c r="R165" i="1"/>
  <c r="Q165" i="1"/>
  <c r="P165" i="1"/>
  <c r="T165" i="1" s="1"/>
  <c r="V164" i="1"/>
  <c r="U164" i="1"/>
  <c r="S164" i="1"/>
  <c r="R164" i="1"/>
  <c r="Q164" i="1"/>
  <c r="P164" i="1"/>
  <c r="T164" i="1" s="1"/>
  <c r="V163" i="1"/>
  <c r="U163" i="1"/>
  <c r="S163" i="1"/>
  <c r="R163" i="1"/>
  <c r="Q163" i="1"/>
  <c r="P163" i="1"/>
  <c r="T163" i="1" s="1"/>
  <c r="V162" i="1"/>
  <c r="U162" i="1"/>
  <c r="T162" i="1"/>
  <c r="S162" i="1"/>
  <c r="R162" i="1"/>
  <c r="Q162" i="1"/>
  <c r="P162" i="1"/>
  <c r="V161" i="1"/>
  <c r="U161" i="1"/>
  <c r="S161" i="1"/>
  <c r="R161" i="1"/>
  <c r="Q161" i="1"/>
  <c r="P161" i="1"/>
  <c r="T161" i="1" s="1"/>
  <c r="V160" i="1"/>
  <c r="U160" i="1"/>
  <c r="T160" i="1"/>
  <c r="S160" i="1"/>
  <c r="R160" i="1"/>
  <c r="Q160" i="1"/>
  <c r="P160" i="1"/>
  <c r="V159" i="1"/>
  <c r="U159" i="1"/>
  <c r="S159" i="1"/>
  <c r="R159" i="1"/>
  <c r="Q159" i="1"/>
  <c r="P159" i="1"/>
  <c r="T159" i="1" s="1"/>
  <c r="V158" i="1"/>
  <c r="U158" i="1"/>
  <c r="S158" i="1"/>
  <c r="R158" i="1"/>
  <c r="Q158" i="1"/>
  <c r="P158" i="1"/>
  <c r="T158" i="1" s="1"/>
  <c r="V157" i="1"/>
  <c r="U157" i="1"/>
  <c r="S157" i="1"/>
  <c r="R157" i="1"/>
  <c r="Q157" i="1"/>
  <c r="P157" i="1"/>
  <c r="T157" i="1" s="1"/>
  <c r="V156" i="1"/>
  <c r="U156" i="1"/>
  <c r="S156" i="1"/>
  <c r="R156" i="1"/>
  <c r="Q156" i="1"/>
  <c r="P156" i="1"/>
  <c r="T156" i="1" s="1"/>
  <c r="V155" i="1"/>
  <c r="U155" i="1"/>
  <c r="T155" i="1"/>
  <c r="S155" i="1"/>
  <c r="R155" i="1"/>
  <c r="Q155" i="1"/>
  <c r="P155" i="1"/>
  <c r="V154" i="1"/>
  <c r="U154" i="1"/>
  <c r="S154" i="1"/>
  <c r="R154" i="1"/>
  <c r="Q154" i="1"/>
  <c r="P154" i="1"/>
  <c r="T154" i="1" s="1"/>
  <c r="V153" i="1"/>
  <c r="U153" i="1"/>
  <c r="T153" i="1"/>
  <c r="S153" i="1"/>
  <c r="R153" i="1"/>
  <c r="Q153" i="1"/>
  <c r="P153" i="1"/>
  <c r="V152" i="1"/>
  <c r="U152" i="1"/>
  <c r="S152" i="1"/>
  <c r="R152" i="1"/>
  <c r="Q152" i="1"/>
  <c r="P152" i="1"/>
  <c r="T152" i="1" s="1"/>
  <c r="V151" i="1"/>
  <c r="U151" i="1"/>
  <c r="S151" i="1"/>
  <c r="R151" i="1"/>
  <c r="Q151" i="1"/>
  <c r="P151" i="1"/>
  <c r="T151" i="1" s="1"/>
  <c r="V150" i="1"/>
  <c r="U150" i="1"/>
  <c r="S150" i="1"/>
  <c r="R150" i="1"/>
  <c r="Q150" i="1"/>
  <c r="P150" i="1"/>
  <c r="T150" i="1" s="1"/>
  <c r="V149" i="1"/>
  <c r="U149" i="1"/>
  <c r="S149" i="1"/>
  <c r="R149" i="1"/>
  <c r="Q149" i="1"/>
  <c r="P149" i="1"/>
  <c r="T149" i="1" s="1"/>
  <c r="V148" i="1"/>
  <c r="U148" i="1"/>
  <c r="S148" i="1"/>
  <c r="R148" i="1"/>
  <c r="Q148" i="1"/>
  <c r="P148" i="1"/>
  <c r="T148" i="1" s="1"/>
  <c r="V147" i="1"/>
  <c r="U147" i="1"/>
  <c r="S147" i="1"/>
  <c r="R147" i="1"/>
  <c r="Q147" i="1"/>
  <c r="P147" i="1"/>
  <c r="T147" i="1" s="1"/>
  <c r="V146" i="1"/>
  <c r="U146" i="1"/>
  <c r="T146" i="1"/>
  <c r="S146" i="1"/>
  <c r="R146" i="1"/>
  <c r="Q146" i="1"/>
  <c r="P146" i="1"/>
  <c r="V145" i="1"/>
  <c r="U145" i="1"/>
  <c r="S145" i="1"/>
  <c r="R145" i="1"/>
  <c r="Q145" i="1"/>
  <c r="P145" i="1"/>
  <c r="T145" i="1" s="1"/>
  <c r="V144" i="1"/>
  <c r="U144" i="1"/>
  <c r="T144" i="1"/>
  <c r="S144" i="1"/>
  <c r="R144" i="1"/>
  <c r="Q144" i="1"/>
  <c r="P144" i="1"/>
  <c r="V143" i="1"/>
  <c r="U143" i="1"/>
  <c r="S143" i="1"/>
  <c r="R143" i="1"/>
  <c r="Q143" i="1"/>
  <c r="P143" i="1"/>
  <c r="T143" i="1" s="1"/>
  <c r="V142" i="1"/>
  <c r="U142" i="1"/>
  <c r="S142" i="1"/>
  <c r="R142" i="1"/>
  <c r="Q142" i="1"/>
  <c r="P142" i="1"/>
  <c r="T142" i="1" s="1"/>
  <c r="V141" i="1"/>
  <c r="U141" i="1"/>
  <c r="S141" i="1"/>
  <c r="R141" i="1"/>
  <c r="Q141" i="1"/>
  <c r="P141" i="1"/>
  <c r="T141" i="1" s="1"/>
  <c r="V140" i="1"/>
  <c r="U140" i="1"/>
  <c r="S140" i="1"/>
  <c r="R140" i="1"/>
  <c r="Q140" i="1"/>
  <c r="P140" i="1"/>
  <c r="T140" i="1" s="1"/>
  <c r="V139" i="1"/>
  <c r="U139" i="1"/>
  <c r="T139" i="1"/>
  <c r="S139" i="1"/>
  <c r="R139" i="1"/>
  <c r="Q139" i="1"/>
  <c r="P139" i="1"/>
  <c r="V138" i="1"/>
  <c r="U138" i="1"/>
  <c r="S138" i="1"/>
  <c r="R138" i="1"/>
  <c r="Q138" i="1"/>
  <c r="P138" i="1"/>
  <c r="T138" i="1" s="1"/>
  <c r="V137" i="1"/>
  <c r="U137" i="1"/>
  <c r="T137" i="1"/>
  <c r="S137" i="1"/>
  <c r="R137" i="1"/>
  <c r="Q137" i="1"/>
  <c r="P137" i="1"/>
  <c r="V136" i="1"/>
  <c r="U136" i="1"/>
  <c r="S136" i="1"/>
  <c r="R136" i="1"/>
  <c r="Q136" i="1"/>
  <c r="P136" i="1"/>
  <c r="T136" i="1" s="1"/>
  <c r="V135" i="1"/>
  <c r="U135" i="1"/>
  <c r="S135" i="1"/>
  <c r="R135" i="1"/>
  <c r="Q135" i="1"/>
  <c r="P135" i="1"/>
  <c r="T135" i="1" s="1"/>
  <c r="V134" i="1"/>
  <c r="U134" i="1"/>
  <c r="S134" i="1"/>
  <c r="R134" i="1"/>
  <c r="Q134" i="1"/>
  <c r="P134" i="1"/>
  <c r="T134" i="1" s="1"/>
  <c r="V133" i="1"/>
  <c r="U133" i="1"/>
  <c r="S133" i="1"/>
  <c r="R133" i="1"/>
  <c r="Q133" i="1"/>
  <c r="P133" i="1"/>
  <c r="T133" i="1" s="1"/>
  <c r="V132" i="1"/>
  <c r="U132" i="1"/>
  <c r="S132" i="1"/>
  <c r="R132" i="1"/>
  <c r="Q132" i="1"/>
  <c r="P132" i="1"/>
  <c r="T132" i="1" s="1"/>
  <c r="V131" i="1"/>
  <c r="U131" i="1"/>
  <c r="S131" i="1"/>
  <c r="R131" i="1"/>
  <c r="Q131" i="1"/>
  <c r="P131" i="1"/>
  <c r="T131" i="1" s="1"/>
  <c r="V130" i="1"/>
  <c r="U130" i="1"/>
  <c r="T130" i="1"/>
  <c r="S130" i="1"/>
  <c r="R130" i="1"/>
  <c r="Q130" i="1"/>
  <c r="P130" i="1"/>
  <c r="V129" i="1"/>
  <c r="U129" i="1"/>
  <c r="S129" i="1"/>
  <c r="R129" i="1"/>
  <c r="Q129" i="1"/>
  <c r="P129" i="1"/>
  <c r="T129" i="1" s="1"/>
  <c r="V128" i="1"/>
  <c r="U128" i="1"/>
  <c r="T128" i="1"/>
  <c r="S128" i="1"/>
  <c r="R128" i="1"/>
  <c r="Q128" i="1"/>
  <c r="P128" i="1"/>
  <c r="V127" i="1"/>
  <c r="U127" i="1"/>
  <c r="S127" i="1"/>
  <c r="R127" i="1"/>
  <c r="Q127" i="1"/>
  <c r="P127" i="1"/>
  <c r="T127" i="1" s="1"/>
  <c r="V126" i="1"/>
  <c r="U126" i="1"/>
  <c r="S126" i="1"/>
  <c r="R126" i="1"/>
  <c r="Q126" i="1"/>
  <c r="P126" i="1"/>
  <c r="T126" i="1" s="1"/>
  <c r="V125" i="1"/>
  <c r="U125" i="1"/>
  <c r="S125" i="1"/>
  <c r="R125" i="1"/>
  <c r="Q125" i="1"/>
  <c r="P125" i="1"/>
  <c r="T125" i="1" s="1"/>
  <c r="V124" i="1"/>
  <c r="U124" i="1"/>
  <c r="S124" i="1"/>
  <c r="R124" i="1"/>
  <c r="Q124" i="1"/>
  <c r="P124" i="1"/>
  <c r="T124" i="1" s="1"/>
  <c r="V123" i="1"/>
  <c r="U123" i="1"/>
  <c r="T123" i="1"/>
  <c r="S123" i="1"/>
  <c r="R123" i="1"/>
  <c r="Q123" i="1"/>
  <c r="P123" i="1"/>
  <c r="V122" i="1"/>
  <c r="U122" i="1"/>
  <c r="S122" i="1"/>
  <c r="R122" i="1"/>
  <c r="Q122" i="1"/>
  <c r="P122" i="1"/>
  <c r="T122" i="1" s="1"/>
  <c r="V121" i="1"/>
  <c r="U121" i="1"/>
  <c r="T121" i="1"/>
  <c r="S121" i="1"/>
  <c r="R121" i="1"/>
  <c r="Q121" i="1"/>
  <c r="P121" i="1"/>
  <c r="V120" i="1"/>
  <c r="U120" i="1"/>
  <c r="S120" i="1"/>
  <c r="R120" i="1"/>
  <c r="Q120" i="1"/>
  <c r="P120" i="1"/>
  <c r="T120" i="1" s="1"/>
  <c r="V119" i="1"/>
  <c r="U119" i="1"/>
  <c r="S119" i="1"/>
  <c r="R119" i="1"/>
  <c r="Q119" i="1"/>
  <c r="P119" i="1"/>
  <c r="T119" i="1" s="1"/>
  <c r="V118" i="1"/>
  <c r="U118" i="1"/>
  <c r="S118" i="1"/>
  <c r="R118" i="1"/>
  <c r="Q118" i="1"/>
  <c r="P118" i="1"/>
  <c r="T118" i="1" s="1"/>
  <c r="V117" i="1"/>
  <c r="U117" i="1"/>
  <c r="S117" i="1"/>
  <c r="R117" i="1"/>
  <c r="Q117" i="1"/>
  <c r="P117" i="1"/>
  <c r="T117" i="1" s="1"/>
  <c r="V116" i="1"/>
  <c r="U116" i="1"/>
  <c r="S116" i="1"/>
  <c r="R116" i="1"/>
  <c r="Q116" i="1"/>
  <c r="P116" i="1"/>
  <c r="T116" i="1" s="1"/>
  <c r="V115" i="1"/>
  <c r="U115" i="1"/>
  <c r="S115" i="1"/>
  <c r="R115" i="1"/>
  <c r="Q115" i="1"/>
  <c r="P115" i="1"/>
  <c r="T115" i="1" s="1"/>
  <c r="V114" i="1"/>
  <c r="U114" i="1"/>
  <c r="T114" i="1"/>
  <c r="S114" i="1"/>
  <c r="R114" i="1"/>
  <c r="Q114" i="1"/>
  <c r="P114" i="1"/>
  <c r="V113" i="1"/>
  <c r="U113" i="1"/>
  <c r="S113" i="1"/>
  <c r="R113" i="1"/>
  <c r="Q113" i="1"/>
  <c r="P113" i="1"/>
  <c r="T113" i="1" s="1"/>
  <c r="V112" i="1"/>
  <c r="U112" i="1"/>
  <c r="T112" i="1"/>
  <c r="S112" i="1"/>
  <c r="R112" i="1"/>
  <c r="Q112" i="1"/>
  <c r="P112" i="1"/>
  <c r="V111" i="1"/>
  <c r="U111" i="1"/>
  <c r="S111" i="1"/>
  <c r="R111" i="1"/>
  <c r="Q111" i="1"/>
  <c r="P111" i="1"/>
  <c r="T111" i="1" s="1"/>
  <c r="V110" i="1"/>
  <c r="U110" i="1"/>
  <c r="S110" i="1"/>
  <c r="R110" i="1"/>
  <c r="Q110" i="1"/>
  <c r="P110" i="1"/>
  <c r="T110" i="1" s="1"/>
  <c r="V109" i="1"/>
  <c r="U109" i="1"/>
  <c r="S109" i="1"/>
  <c r="R109" i="1"/>
  <c r="Q109" i="1"/>
  <c r="P109" i="1"/>
  <c r="T109" i="1" s="1"/>
  <c r="V108" i="1"/>
  <c r="U108" i="1"/>
  <c r="S108" i="1"/>
  <c r="R108" i="1"/>
  <c r="Q108" i="1"/>
  <c r="P108" i="1"/>
  <c r="T108" i="1" s="1"/>
  <c r="V107" i="1"/>
  <c r="U107" i="1"/>
  <c r="T107" i="1"/>
  <c r="S107" i="1"/>
  <c r="R107" i="1"/>
  <c r="Q107" i="1"/>
  <c r="P107" i="1"/>
  <c r="V106" i="1"/>
  <c r="U106" i="1"/>
  <c r="S106" i="1"/>
  <c r="R106" i="1"/>
  <c r="Q106" i="1"/>
  <c r="P106" i="1"/>
  <c r="T106" i="1" s="1"/>
  <c r="V105" i="1"/>
  <c r="U105" i="1"/>
  <c r="T105" i="1"/>
  <c r="S105" i="1"/>
  <c r="R105" i="1"/>
  <c r="Q105" i="1"/>
  <c r="P105" i="1"/>
  <c r="V104" i="1"/>
  <c r="U104" i="1"/>
  <c r="S104" i="1"/>
  <c r="R104" i="1"/>
  <c r="Q104" i="1"/>
  <c r="P104" i="1"/>
  <c r="T104" i="1" s="1"/>
  <c r="V103" i="1"/>
  <c r="U103" i="1"/>
  <c r="S103" i="1"/>
  <c r="R103" i="1"/>
  <c r="Q103" i="1"/>
  <c r="P103" i="1"/>
  <c r="T103" i="1" s="1"/>
  <c r="V102" i="1"/>
  <c r="U102" i="1"/>
  <c r="S102" i="1"/>
  <c r="R102" i="1"/>
  <c r="Q102" i="1"/>
  <c r="P102" i="1"/>
  <c r="T102" i="1" s="1"/>
  <c r="V101" i="1"/>
  <c r="U101" i="1"/>
  <c r="S101" i="1"/>
  <c r="R101" i="1"/>
  <c r="Q101" i="1"/>
  <c r="P101" i="1"/>
  <c r="T101" i="1" s="1"/>
  <c r="V100" i="1"/>
  <c r="U100" i="1"/>
  <c r="S100" i="1"/>
  <c r="R100" i="1"/>
  <c r="Q100" i="1"/>
  <c r="P100" i="1"/>
  <c r="T100" i="1" s="1"/>
  <c r="V99" i="1"/>
  <c r="U99" i="1"/>
  <c r="S99" i="1"/>
  <c r="R99" i="1"/>
  <c r="Q99" i="1"/>
  <c r="P99" i="1"/>
  <c r="T99" i="1" s="1"/>
  <c r="V98" i="1"/>
  <c r="U98" i="1"/>
  <c r="T98" i="1"/>
  <c r="S98" i="1"/>
  <c r="R98" i="1"/>
  <c r="Q98" i="1"/>
  <c r="P98" i="1"/>
  <c r="V97" i="1"/>
  <c r="U97" i="1"/>
  <c r="S97" i="1"/>
  <c r="R97" i="1"/>
  <c r="Q97" i="1"/>
  <c r="P97" i="1"/>
  <c r="T97" i="1" s="1"/>
  <c r="V96" i="1"/>
  <c r="U96" i="1"/>
  <c r="T96" i="1"/>
  <c r="S96" i="1"/>
  <c r="R96" i="1"/>
  <c r="Q96" i="1"/>
  <c r="P96" i="1"/>
  <c r="V95" i="1"/>
  <c r="U95" i="1"/>
  <c r="S95" i="1"/>
  <c r="R95" i="1"/>
  <c r="Q95" i="1"/>
  <c r="P95" i="1"/>
  <c r="T95" i="1" s="1"/>
  <c r="V94" i="1"/>
  <c r="U94" i="1"/>
  <c r="S94" i="1"/>
  <c r="R94" i="1"/>
  <c r="Q94" i="1"/>
  <c r="P94" i="1"/>
  <c r="T94" i="1" s="1"/>
  <c r="V93" i="1"/>
  <c r="U93" i="1"/>
  <c r="S93" i="1"/>
  <c r="R93" i="1"/>
  <c r="Q93" i="1"/>
  <c r="P93" i="1"/>
  <c r="T93" i="1" s="1"/>
  <c r="V92" i="1"/>
  <c r="U92" i="1"/>
  <c r="S92" i="1"/>
  <c r="R92" i="1"/>
  <c r="Q92" i="1"/>
  <c r="P92" i="1"/>
  <c r="T92" i="1" s="1"/>
  <c r="V91" i="1"/>
  <c r="U91" i="1"/>
  <c r="T91" i="1"/>
  <c r="S91" i="1"/>
  <c r="R91" i="1"/>
  <c r="Q91" i="1"/>
  <c r="P91" i="1"/>
  <c r="V90" i="1"/>
  <c r="U90" i="1"/>
  <c r="S90" i="1"/>
  <c r="R90" i="1"/>
  <c r="Q90" i="1"/>
  <c r="P90" i="1"/>
  <c r="T90" i="1" s="1"/>
  <c r="V89" i="1"/>
  <c r="U89" i="1"/>
  <c r="T89" i="1"/>
  <c r="S89" i="1"/>
  <c r="R89" i="1"/>
  <c r="Q89" i="1"/>
  <c r="P89" i="1"/>
  <c r="V88" i="1"/>
  <c r="U88" i="1"/>
  <c r="S88" i="1"/>
  <c r="R88" i="1"/>
  <c r="Q88" i="1"/>
  <c r="P88" i="1"/>
  <c r="T88" i="1" s="1"/>
  <c r="V87" i="1"/>
  <c r="U87" i="1"/>
  <c r="S87" i="1"/>
  <c r="R87" i="1"/>
  <c r="Q87" i="1"/>
  <c r="P87" i="1"/>
  <c r="T87" i="1" s="1"/>
  <c r="V86" i="1"/>
  <c r="U86" i="1"/>
  <c r="S86" i="1"/>
  <c r="R86" i="1"/>
  <c r="Q86" i="1"/>
  <c r="P86" i="1"/>
  <c r="T86" i="1" s="1"/>
  <c r="V85" i="1"/>
  <c r="U85" i="1"/>
  <c r="S85" i="1"/>
  <c r="R85" i="1"/>
  <c r="Q85" i="1"/>
  <c r="P85" i="1"/>
  <c r="T85" i="1" s="1"/>
  <c r="V84" i="1"/>
  <c r="U84" i="1"/>
  <c r="S84" i="1"/>
  <c r="R84" i="1"/>
  <c r="Q84" i="1"/>
  <c r="P84" i="1"/>
  <c r="T84" i="1" s="1"/>
  <c r="V83" i="1"/>
  <c r="U83" i="1"/>
  <c r="S83" i="1"/>
  <c r="R83" i="1"/>
  <c r="Q83" i="1"/>
  <c r="P83" i="1"/>
  <c r="T83" i="1" s="1"/>
  <c r="V82" i="1"/>
  <c r="U82" i="1"/>
  <c r="T82" i="1"/>
  <c r="S82" i="1"/>
  <c r="R82" i="1"/>
  <c r="Q82" i="1"/>
  <c r="P82" i="1"/>
  <c r="V81" i="1"/>
  <c r="U81" i="1"/>
  <c r="S81" i="1"/>
  <c r="R81" i="1"/>
  <c r="Q81" i="1"/>
  <c r="P81" i="1"/>
  <c r="T81" i="1" s="1"/>
  <c r="V80" i="1"/>
  <c r="U80" i="1"/>
  <c r="T80" i="1"/>
  <c r="S80" i="1"/>
  <c r="R80" i="1"/>
  <c r="Q80" i="1"/>
  <c r="P80" i="1"/>
  <c r="V79" i="1"/>
  <c r="U79" i="1"/>
  <c r="S79" i="1"/>
  <c r="R79" i="1"/>
  <c r="Q79" i="1"/>
  <c r="P79" i="1"/>
  <c r="T79" i="1" s="1"/>
  <c r="V78" i="1"/>
  <c r="U78" i="1"/>
  <c r="S78" i="1"/>
  <c r="R78" i="1"/>
  <c r="Q78" i="1"/>
  <c r="P78" i="1"/>
  <c r="T78" i="1" s="1"/>
  <c r="V77" i="1"/>
  <c r="U77" i="1"/>
  <c r="S77" i="1"/>
  <c r="R77" i="1"/>
  <c r="Q77" i="1"/>
  <c r="P77" i="1"/>
  <c r="T77" i="1" s="1"/>
  <c r="V76" i="1"/>
  <c r="U76" i="1"/>
  <c r="S76" i="1"/>
  <c r="R76" i="1"/>
  <c r="Q76" i="1"/>
  <c r="P76" i="1"/>
  <c r="T76" i="1" s="1"/>
  <c r="V75" i="1"/>
  <c r="U75" i="1"/>
  <c r="T75" i="1"/>
  <c r="S75" i="1"/>
  <c r="R75" i="1"/>
  <c r="Q75" i="1"/>
  <c r="P75" i="1"/>
  <c r="V74" i="1"/>
  <c r="U74" i="1"/>
  <c r="S74" i="1"/>
  <c r="R74" i="1"/>
  <c r="Q74" i="1"/>
  <c r="P74" i="1"/>
  <c r="T74" i="1" s="1"/>
  <c r="V73" i="1"/>
  <c r="U73" i="1"/>
  <c r="T73" i="1"/>
  <c r="S73" i="1"/>
  <c r="R73" i="1"/>
  <c r="Q73" i="1"/>
  <c r="P73" i="1"/>
  <c r="V72" i="1"/>
  <c r="U72" i="1"/>
  <c r="S72" i="1"/>
  <c r="R72" i="1"/>
  <c r="Q72" i="1"/>
  <c r="P72" i="1"/>
  <c r="T72" i="1" s="1"/>
  <c r="V71" i="1"/>
  <c r="U71" i="1"/>
  <c r="S71" i="1"/>
  <c r="R71" i="1"/>
  <c r="Q71" i="1"/>
  <c r="P71" i="1"/>
  <c r="T71" i="1" s="1"/>
  <c r="V70" i="1"/>
  <c r="U70" i="1"/>
  <c r="S70" i="1"/>
  <c r="R70" i="1"/>
  <c r="Q70" i="1"/>
  <c r="P70" i="1"/>
  <c r="T70" i="1" s="1"/>
  <c r="V69" i="1"/>
  <c r="U69" i="1"/>
  <c r="S69" i="1"/>
  <c r="R69" i="1"/>
  <c r="Q69" i="1"/>
  <c r="P69" i="1"/>
  <c r="T69" i="1" s="1"/>
  <c r="V68" i="1"/>
  <c r="U68" i="1"/>
  <c r="S68" i="1"/>
  <c r="R68" i="1"/>
  <c r="Q68" i="1"/>
  <c r="P68" i="1"/>
  <c r="T68" i="1" s="1"/>
  <c r="V67" i="1"/>
  <c r="U67" i="1"/>
  <c r="S67" i="1"/>
  <c r="R67" i="1"/>
  <c r="Q67" i="1"/>
  <c r="P67" i="1"/>
  <c r="T67" i="1" s="1"/>
  <c r="V66" i="1"/>
  <c r="U66" i="1"/>
  <c r="T66" i="1"/>
  <c r="S66" i="1"/>
  <c r="R66" i="1"/>
  <c r="Q66" i="1"/>
  <c r="P66" i="1"/>
  <c r="V65" i="1"/>
  <c r="U65" i="1"/>
  <c r="S65" i="1"/>
  <c r="R65" i="1"/>
  <c r="Q65" i="1"/>
  <c r="P65" i="1"/>
  <c r="T65" i="1" s="1"/>
  <c r="V64" i="1"/>
  <c r="U64" i="1"/>
  <c r="T64" i="1"/>
  <c r="S64" i="1"/>
  <c r="R64" i="1"/>
  <c r="Q64" i="1"/>
  <c r="P64" i="1"/>
  <c r="V63" i="1"/>
  <c r="U63" i="1"/>
  <c r="S63" i="1"/>
  <c r="R63" i="1"/>
  <c r="Q63" i="1"/>
  <c r="P63" i="1"/>
  <c r="T63" i="1" s="1"/>
  <c r="V62" i="1"/>
  <c r="U62" i="1"/>
  <c r="S62" i="1"/>
  <c r="R62" i="1"/>
  <c r="Q62" i="1"/>
  <c r="P62" i="1"/>
  <c r="T62" i="1" s="1"/>
  <c r="V61" i="1"/>
  <c r="U61" i="1"/>
  <c r="S61" i="1"/>
  <c r="R61" i="1"/>
  <c r="Q61" i="1"/>
  <c r="P61" i="1"/>
  <c r="T61" i="1" s="1"/>
  <c r="V60" i="1"/>
  <c r="U60" i="1"/>
  <c r="S60" i="1"/>
  <c r="R60" i="1"/>
  <c r="Q60" i="1"/>
  <c r="P60" i="1"/>
  <c r="T60" i="1" s="1"/>
  <c r="V59" i="1"/>
  <c r="U59" i="1"/>
  <c r="T59" i="1"/>
  <c r="S59" i="1"/>
  <c r="R59" i="1"/>
  <c r="Q59" i="1"/>
  <c r="P59" i="1"/>
  <c r="V58" i="1"/>
  <c r="U58" i="1"/>
  <c r="S58" i="1"/>
  <c r="R58" i="1"/>
  <c r="Q58" i="1"/>
  <c r="P58" i="1"/>
  <c r="T58" i="1" s="1"/>
  <c r="V57" i="1"/>
  <c r="U57" i="1"/>
  <c r="T57" i="1"/>
  <c r="S57" i="1"/>
  <c r="R57" i="1"/>
  <c r="Q57" i="1"/>
  <c r="P57" i="1"/>
  <c r="V56" i="1"/>
  <c r="U56" i="1"/>
  <c r="S56" i="1"/>
  <c r="R56" i="1"/>
  <c r="Q56" i="1"/>
  <c r="P56" i="1"/>
  <c r="T56" i="1" s="1"/>
  <c r="V55" i="1"/>
  <c r="U55" i="1"/>
  <c r="S55" i="1"/>
  <c r="R55" i="1"/>
  <c r="Q55" i="1"/>
  <c r="P55" i="1"/>
  <c r="T55" i="1" s="1"/>
  <c r="V54" i="1"/>
  <c r="U54" i="1"/>
  <c r="S54" i="1"/>
  <c r="R54" i="1"/>
  <c r="Q54" i="1"/>
  <c r="P54" i="1"/>
  <c r="T54" i="1" s="1"/>
  <c r="V53" i="1"/>
  <c r="U53" i="1"/>
  <c r="S53" i="1"/>
  <c r="R53" i="1"/>
  <c r="Q53" i="1"/>
  <c r="P53" i="1"/>
  <c r="T53" i="1" s="1"/>
  <c r="V52" i="1"/>
  <c r="U52" i="1"/>
  <c r="S52" i="1"/>
  <c r="R52" i="1"/>
  <c r="Q52" i="1"/>
  <c r="P52" i="1"/>
  <c r="T52" i="1" s="1"/>
  <c r="V51" i="1"/>
  <c r="U51" i="1"/>
  <c r="S51" i="1"/>
  <c r="R51" i="1"/>
  <c r="Q51" i="1"/>
  <c r="P51" i="1"/>
  <c r="T51" i="1" s="1"/>
  <c r="V50" i="1"/>
  <c r="U50" i="1"/>
  <c r="T50" i="1"/>
  <c r="S50" i="1"/>
  <c r="R50" i="1"/>
  <c r="Q50" i="1"/>
  <c r="P50" i="1"/>
  <c r="V49" i="1"/>
  <c r="U49" i="1"/>
  <c r="S49" i="1"/>
  <c r="R49" i="1"/>
  <c r="Q49" i="1"/>
  <c r="P49" i="1"/>
  <c r="T49" i="1" s="1"/>
  <c r="V48" i="1"/>
  <c r="U48" i="1"/>
  <c r="T48" i="1"/>
  <c r="S48" i="1"/>
  <c r="R48" i="1"/>
  <c r="Q48" i="1"/>
  <c r="P48" i="1"/>
  <c r="V47" i="1"/>
  <c r="U47" i="1"/>
  <c r="S47" i="1"/>
  <c r="R47" i="1"/>
  <c r="Q47" i="1"/>
  <c r="P47" i="1"/>
  <c r="T47" i="1" s="1"/>
  <c r="V46" i="1"/>
  <c r="U46" i="1"/>
  <c r="S46" i="1"/>
  <c r="R46" i="1"/>
  <c r="Q46" i="1"/>
  <c r="P46" i="1"/>
  <c r="T46" i="1" s="1"/>
  <c r="V45" i="1"/>
  <c r="U45" i="1"/>
  <c r="S45" i="1"/>
  <c r="R45" i="1"/>
  <c r="Q45" i="1"/>
  <c r="P45" i="1"/>
  <c r="T45" i="1" s="1"/>
  <c r="V44" i="1"/>
  <c r="U44" i="1"/>
  <c r="S44" i="1"/>
  <c r="R44" i="1"/>
  <c r="Q44" i="1"/>
  <c r="P44" i="1"/>
  <c r="T44" i="1" s="1"/>
  <c r="V43" i="1"/>
  <c r="U43" i="1"/>
  <c r="T43" i="1"/>
  <c r="S43" i="1"/>
  <c r="R43" i="1"/>
  <c r="Q43" i="1"/>
  <c r="P43" i="1"/>
  <c r="V42" i="1"/>
  <c r="U42" i="1"/>
  <c r="S42" i="1"/>
  <c r="R42" i="1"/>
  <c r="Q42" i="1"/>
  <c r="P42" i="1"/>
  <c r="T42" i="1" s="1"/>
  <c r="V41" i="1"/>
  <c r="U41" i="1"/>
  <c r="T41" i="1"/>
  <c r="S41" i="1"/>
  <c r="R41" i="1"/>
  <c r="Q41" i="1"/>
  <c r="P41" i="1"/>
  <c r="V40" i="1"/>
  <c r="U40" i="1"/>
  <c r="S40" i="1"/>
  <c r="R40" i="1"/>
  <c r="Q40" i="1"/>
  <c r="P40" i="1"/>
  <c r="T40" i="1" s="1"/>
  <c r="V39" i="1"/>
  <c r="U39" i="1"/>
  <c r="S39" i="1"/>
  <c r="R39" i="1"/>
  <c r="Q39" i="1"/>
  <c r="P39" i="1"/>
  <c r="T39" i="1" s="1"/>
  <c r="V38" i="1"/>
  <c r="U38" i="1"/>
  <c r="S38" i="1"/>
  <c r="R38" i="1"/>
  <c r="Q38" i="1"/>
  <c r="P38" i="1"/>
  <c r="T38" i="1" s="1"/>
  <c r="V37" i="1"/>
  <c r="U37" i="1"/>
  <c r="S37" i="1"/>
  <c r="R37" i="1"/>
  <c r="Q37" i="1"/>
  <c r="P37" i="1"/>
  <c r="T37" i="1" s="1"/>
  <c r="V36" i="1"/>
  <c r="U36" i="1"/>
  <c r="S36" i="1"/>
  <c r="R36" i="1"/>
  <c r="Q36" i="1"/>
  <c r="P36" i="1"/>
  <c r="T36" i="1" s="1"/>
  <c r="V35" i="1"/>
  <c r="U35" i="1"/>
  <c r="S35" i="1"/>
  <c r="R35" i="1"/>
  <c r="Q35" i="1"/>
  <c r="P35" i="1"/>
  <c r="T35" i="1" s="1"/>
  <c r="V34" i="1"/>
  <c r="U34" i="1"/>
  <c r="T34" i="1"/>
  <c r="S34" i="1"/>
  <c r="R34" i="1"/>
  <c r="Q34" i="1"/>
  <c r="P34" i="1"/>
  <c r="V33" i="1"/>
  <c r="U33" i="1"/>
  <c r="S33" i="1"/>
  <c r="R33" i="1"/>
  <c r="Q33" i="1"/>
  <c r="P33" i="1"/>
  <c r="T33" i="1" s="1"/>
  <c r="V32" i="1"/>
  <c r="U32" i="1"/>
  <c r="T32" i="1"/>
  <c r="S32" i="1"/>
  <c r="R32" i="1"/>
  <c r="Q32" i="1"/>
  <c r="P32" i="1"/>
  <c r="V31" i="1"/>
  <c r="U31" i="1"/>
  <c r="S31" i="1"/>
  <c r="R31" i="1"/>
  <c r="Q31" i="1"/>
  <c r="P31" i="1"/>
  <c r="T31" i="1" s="1"/>
  <c r="V30" i="1"/>
  <c r="U30" i="1"/>
  <c r="S30" i="1"/>
  <c r="R30" i="1"/>
  <c r="Q30" i="1"/>
  <c r="P30" i="1"/>
  <c r="T30" i="1" s="1"/>
  <c r="V29" i="1"/>
  <c r="U29" i="1"/>
  <c r="S29" i="1"/>
  <c r="R29" i="1"/>
  <c r="Q29" i="1"/>
  <c r="P29" i="1"/>
  <c r="T29" i="1" s="1"/>
  <c r="V28" i="1"/>
  <c r="U28" i="1"/>
  <c r="S28" i="1"/>
  <c r="R28" i="1"/>
  <c r="Q28" i="1"/>
  <c r="P28" i="1"/>
  <c r="T28" i="1" s="1"/>
  <c r="V27" i="1"/>
  <c r="U27" i="1"/>
  <c r="T27" i="1"/>
  <c r="S27" i="1"/>
  <c r="R27" i="1"/>
  <c r="Q27" i="1"/>
  <c r="P27" i="1"/>
  <c r="V26" i="1"/>
  <c r="U26" i="1"/>
  <c r="S26" i="1"/>
  <c r="R26" i="1"/>
  <c r="Q26" i="1"/>
  <c r="P26" i="1"/>
  <c r="T26" i="1" s="1"/>
  <c r="V25" i="1"/>
  <c r="U25" i="1"/>
  <c r="T25" i="1"/>
  <c r="S25" i="1"/>
  <c r="R25" i="1"/>
  <c r="Q25" i="1"/>
  <c r="P25" i="1"/>
  <c r="V24" i="1"/>
  <c r="U24" i="1"/>
  <c r="S24" i="1"/>
  <c r="R24" i="1"/>
  <c r="Q24" i="1"/>
  <c r="P24" i="1"/>
  <c r="T24" i="1" s="1"/>
  <c r="V23" i="1"/>
  <c r="U23" i="1"/>
  <c r="S23" i="1"/>
  <c r="R23" i="1"/>
  <c r="Q23" i="1"/>
  <c r="P23" i="1"/>
  <c r="T23" i="1" s="1"/>
  <c r="V22" i="1"/>
  <c r="U22" i="1"/>
  <c r="S22" i="1"/>
  <c r="R22" i="1"/>
  <c r="Q22" i="1"/>
  <c r="P22" i="1"/>
  <c r="T22" i="1" s="1"/>
  <c r="V21" i="1"/>
  <c r="U21" i="1"/>
  <c r="S21" i="1"/>
  <c r="R21" i="1"/>
  <c r="Q21" i="1"/>
  <c r="P21" i="1"/>
  <c r="T21" i="1" s="1"/>
  <c r="V20" i="1"/>
  <c r="U20" i="1"/>
  <c r="S20" i="1"/>
  <c r="R20" i="1"/>
  <c r="Q20" i="1"/>
  <c r="P20" i="1"/>
  <c r="T20" i="1" s="1"/>
  <c r="V19" i="1"/>
  <c r="U19" i="1"/>
  <c r="S19" i="1"/>
  <c r="R19" i="1"/>
  <c r="Q19" i="1"/>
  <c r="P19" i="1"/>
  <c r="T19" i="1" s="1"/>
  <c r="V18" i="1"/>
  <c r="U18" i="1"/>
  <c r="T18" i="1"/>
  <c r="S18" i="1"/>
  <c r="R18" i="1"/>
  <c r="Q18" i="1"/>
  <c r="P18" i="1"/>
  <c r="V17" i="1"/>
  <c r="U17" i="1"/>
  <c r="S17" i="1"/>
  <c r="R17" i="1"/>
  <c r="Q17" i="1"/>
  <c r="P17" i="1"/>
  <c r="T17" i="1" s="1"/>
  <c r="V16" i="1"/>
  <c r="U16" i="1"/>
  <c r="T16" i="1"/>
  <c r="S16" i="1"/>
  <c r="R16" i="1"/>
  <c r="Q16" i="1"/>
  <c r="P16" i="1"/>
  <c r="V15" i="1"/>
  <c r="U15" i="1"/>
  <c r="S15" i="1"/>
  <c r="R15" i="1"/>
  <c r="Q15" i="1"/>
  <c r="P15" i="1"/>
  <c r="T15" i="1" s="1"/>
  <c r="V14" i="1"/>
  <c r="U14" i="1"/>
  <c r="S14" i="1"/>
  <c r="R14" i="1"/>
  <c r="Q14" i="1"/>
  <c r="P14" i="1"/>
  <c r="T14" i="1" s="1"/>
  <c r="V13" i="1"/>
  <c r="U13" i="1"/>
  <c r="S13" i="1"/>
  <c r="R13" i="1"/>
  <c r="Q13" i="1"/>
  <c r="P13" i="1"/>
  <c r="T13" i="1" s="1"/>
  <c r="V12" i="1"/>
  <c r="U12" i="1"/>
  <c r="S12" i="1"/>
  <c r="R12" i="1"/>
  <c r="Q12" i="1"/>
  <c r="P12" i="1"/>
  <c r="T12" i="1" s="1"/>
  <c r="V11" i="1"/>
  <c r="U11" i="1"/>
  <c r="T11" i="1"/>
  <c r="S11" i="1"/>
  <c r="R11" i="1"/>
  <c r="Q11" i="1"/>
  <c r="P11" i="1"/>
  <c r="V10" i="1"/>
  <c r="U10" i="1"/>
  <c r="S10" i="1"/>
  <c r="R10" i="1"/>
  <c r="Q10" i="1"/>
  <c r="P10" i="1"/>
  <c r="T10" i="1" s="1"/>
  <c r="V9" i="1"/>
  <c r="U9" i="1"/>
  <c r="T9" i="1"/>
  <c r="S9" i="1"/>
  <c r="R9" i="1"/>
  <c r="Q9" i="1"/>
  <c r="P9" i="1"/>
  <c r="V8" i="1"/>
  <c r="U8" i="1"/>
  <c r="S8" i="1"/>
  <c r="R8" i="1"/>
  <c r="Q8" i="1"/>
  <c r="T8" i="1"/>
  <c r="V7" i="1"/>
  <c r="U7" i="1"/>
  <c r="S7" i="1"/>
  <c r="R7" i="1"/>
  <c r="Q7" i="1"/>
  <c r="P7" i="1"/>
  <c r="T7" i="1" s="1"/>
  <c r="V6" i="1"/>
  <c r="U6" i="1"/>
  <c r="S6" i="1"/>
  <c r="R6" i="1"/>
  <c r="Q6" i="1"/>
  <c r="P6" i="1"/>
  <c r="T6" i="1" s="1"/>
  <c r="V5" i="1"/>
  <c r="U5" i="1"/>
  <c r="S5" i="1"/>
  <c r="R5" i="1"/>
  <c r="Q5" i="1"/>
  <c r="P5" i="1"/>
  <c r="T5" i="1" s="1"/>
  <c r="V4" i="1"/>
  <c r="U4" i="1"/>
  <c r="S4" i="1"/>
  <c r="R4" i="1"/>
  <c r="Q4" i="1"/>
  <c r="P4" i="1"/>
  <c r="T4" i="1" s="1"/>
  <c r="V3" i="1"/>
  <c r="U3" i="1"/>
  <c r="S3" i="1"/>
  <c r="R3" i="1"/>
  <c r="Q3" i="1"/>
  <c r="P3" i="1"/>
  <c r="T3" i="1" s="1"/>
  <c r="V2" i="1"/>
  <c r="U2" i="1"/>
  <c r="T2" i="1"/>
  <c r="S2" i="1"/>
  <c r="R2" i="1"/>
  <c r="Q2" i="1"/>
  <c r="P2" i="1"/>
</calcChain>
</file>

<file path=xl/sharedStrings.xml><?xml version="1.0" encoding="utf-8"?>
<sst xmlns="http://schemas.openxmlformats.org/spreadsheetml/2006/main" count="16109" uniqueCount="1180">
  <si>
    <t>Date</t>
  </si>
  <si>
    <t>Ship ID</t>
  </si>
  <si>
    <t>Ship Name</t>
  </si>
  <si>
    <t>Voyage</t>
  </si>
  <si>
    <t>Departure Port</t>
  </si>
  <si>
    <t>Arrival Port</t>
  </si>
  <si>
    <t>Fuel Type</t>
  </si>
  <si>
    <t>Fuel Consumed (MT)</t>
  </si>
  <si>
    <t>Distance (NM)</t>
  </si>
  <si>
    <t>Engine Hours</t>
  </si>
  <si>
    <t>Avg Speed</t>
  </si>
  <si>
    <t>Weather</t>
  </si>
  <si>
    <t>Fuel Cost (USD)</t>
  </si>
  <si>
    <t>Cargo Weight (Tons)</t>
  </si>
  <si>
    <t>Captain</t>
  </si>
  <si>
    <t>Delay</t>
  </si>
  <si>
    <t xml:space="preserve">fuel efficiency </t>
  </si>
  <si>
    <t>cost per NM</t>
  </si>
  <si>
    <t>cost per ton</t>
  </si>
  <si>
    <t>voyage status</t>
  </si>
  <si>
    <t>fuel category</t>
  </si>
  <si>
    <t>weather risk</t>
  </si>
  <si>
    <t>Month</t>
  </si>
  <si>
    <t>Year</t>
  </si>
  <si>
    <t>S177</t>
  </si>
  <si>
    <t>Marine Pearl</t>
  </si>
  <si>
    <t>V1002</t>
  </si>
  <si>
    <t>Colombo</t>
  </si>
  <si>
    <t>Dubai</t>
  </si>
  <si>
    <t>LNG</t>
  </si>
  <si>
    <t>Rain</t>
  </si>
  <si>
    <t>John</t>
  </si>
  <si>
    <t>Mar</t>
  </si>
  <si>
    <t>S134</t>
  </si>
  <si>
    <t>V1003</t>
  </si>
  <si>
    <t>HSFO</t>
  </si>
  <si>
    <t>Chen</t>
  </si>
  <si>
    <t>Jun</t>
  </si>
  <si>
    <t>S154</t>
  </si>
  <si>
    <t>Neptune</t>
  </si>
  <si>
    <t>V1004</t>
  </si>
  <si>
    <t>Singapore</t>
  </si>
  <si>
    <t>MGO</t>
  </si>
  <si>
    <t>Fog</t>
  </si>
  <si>
    <t>Sato</t>
  </si>
  <si>
    <t>Apr</t>
  </si>
  <si>
    <t>S136</t>
  </si>
  <si>
    <t>V1005</t>
  </si>
  <si>
    <t>Hamburg</t>
  </si>
  <si>
    <t>Storm</t>
  </si>
  <si>
    <t>Ahmed</t>
  </si>
  <si>
    <t>Dec</t>
  </si>
  <si>
    <t>Ocean Star</t>
  </si>
  <si>
    <t>V1006</t>
  </si>
  <si>
    <t>Mumbai</t>
  </si>
  <si>
    <t>Rotterdam</t>
  </si>
  <si>
    <t>S146</t>
  </si>
  <si>
    <t>Coral Wave</t>
  </si>
  <si>
    <t>V1007</t>
  </si>
  <si>
    <t>Rahul</t>
  </si>
  <si>
    <t>Nov</t>
  </si>
  <si>
    <t>S118</t>
  </si>
  <si>
    <t>V1008</t>
  </si>
  <si>
    <t>Chennai</t>
  </si>
  <si>
    <t>S160</t>
  </si>
  <si>
    <t>V1009</t>
  </si>
  <si>
    <t>Busan</t>
  </si>
  <si>
    <t>Michael</t>
  </si>
  <si>
    <t>S155</t>
  </si>
  <si>
    <t>Blue Whale</t>
  </si>
  <si>
    <t>V1010</t>
  </si>
  <si>
    <t>VLSFO</t>
  </si>
  <si>
    <t>Feb</t>
  </si>
  <si>
    <t>S157</t>
  </si>
  <si>
    <t>V1011</t>
  </si>
  <si>
    <t>Aug</t>
  </si>
  <si>
    <t>S131</t>
  </si>
  <si>
    <t>V1012</t>
  </si>
  <si>
    <t>Clear</t>
  </si>
  <si>
    <t>Oct</t>
  </si>
  <si>
    <t>S101</t>
  </si>
  <si>
    <t>V1013</t>
  </si>
  <si>
    <t>S112</t>
  </si>
  <si>
    <t>V1014</t>
  </si>
  <si>
    <t>Arun</t>
  </si>
  <si>
    <t>Sep</t>
  </si>
  <si>
    <t>V1015</t>
  </si>
  <si>
    <t>S129</t>
  </si>
  <si>
    <t>V1016</t>
  </si>
  <si>
    <t>S175</t>
  </si>
  <si>
    <t>V1017</t>
  </si>
  <si>
    <t>David</t>
  </si>
  <si>
    <t>S130</t>
  </si>
  <si>
    <t>V1018</t>
  </si>
  <si>
    <t>S165</t>
  </si>
  <si>
    <t>Sea Queen</t>
  </si>
  <si>
    <t>V1019</t>
  </si>
  <si>
    <t>Jan</t>
  </si>
  <si>
    <t>S151</t>
  </si>
  <si>
    <t>V1020</t>
  </si>
  <si>
    <t>S153</t>
  </si>
  <si>
    <t>V1021</t>
  </si>
  <si>
    <t>S104</t>
  </si>
  <si>
    <t>V1022</t>
  </si>
  <si>
    <t>S116</t>
  </si>
  <si>
    <t>V1023</t>
  </si>
  <si>
    <t>S174</t>
  </si>
  <si>
    <t>V1024</t>
  </si>
  <si>
    <t>S121</t>
  </si>
  <si>
    <t>Atlantic King</t>
  </si>
  <si>
    <t>V1025</t>
  </si>
  <si>
    <t>S161</t>
  </si>
  <si>
    <t>V1026</t>
  </si>
  <si>
    <t>S143</t>
  </si>
  <si>
    <t>V1027</t>
  </si>
  <si>
    <t>S152</t>
  </si>
  <si>
    <t>V1028</t>
  </si>
  <si>
    <t>V1029</t>
  </si>
  <si>
    <t>S123</t>
  </si>
  <si>
    <t>V1030</t>
  </si>
  <si>
    <t>S156</t>
  </si>
  <si>
    <t>V1031</t>
  </si>
  <si>
    <t>V1032</t>
  </si>
  <si>
    <t>S107</t>
  </si>
  <si>
    <t>V1033</t>
  </si>
  <si>
    <t>S163</t>
  </si>
  <si>
    <t>V1034</t>
  </si>
  <si>
    <t>S124</t>
  </si>
  <si>
    <t>V1035</t>
  </si>
  <si>
    <t>S170</t>
  </si>
  <si>
    <t>Ocean Glory</t>
  </si>
  <si>
    <t>V1036</t>
  </si>
  <si>
    <t>V1037</t>
  </si>
  <si>
    <t>S103</t>
  </si>
  <si>
    <t>V1038</t>
  </si>
  <si>
    <t>V1039</t>
  </si>
  <si>
    <t>S102</t>
  </si>
  <si>
    <t>V1040</t>
  </si>
  <si>
    <t>V1041</t>
  </si>
  <si>
    <t>S149</t>
  </si>
  <si>
    <t>V1042</t>
  </si>
  <si>
    <t>May</t>
  </si>
  <si>
    <t>S140</t>
  </si>
  <si>
    <t>V1043</t>
  </si>
  <si>
    <t>Jul</t>
  </si>
  <si>
    <t>V1044</t>
  </si>
  <si>
    <t>S125</t>
  </si>
  <si>
    <t>V1045</t>
  </si>
  <si>
    <t>S115</t>
  </si>
  <si>
    <t>V1046</t>
  </si>
  <si>
    <t>S105</t>
  </si>
  <si>
    <t>V1047</t>
  </si>
  <si>
    <t>S126</t>
  </si>
  <si>
    <t>V1048</t>
  </si>
  <si>
    <t>S142</t>
  </si>
  <si>
    <t>V1049</t>
  </si>
  <si>
    <t>V1050</t>
  </si>
  <si>
    <t>S114</t>
  </si>
  <si>
    <t>V1051</t>
  </si>
  <si>
    <t>S148</t>
  </si>
  <si>
    <t>V1052</t>
  </si>
  <si>
    <t>V1053</t>
  </si>
  <si>
    <t>S117</t>
  </si>
  <si>
    <t>V1054</t>
  </si>
  <si>
    <t>V1055</t>
  </si>
  <si>
    <t>S171</t>
  </si>
  <si>
    <t>V1056</t>
  </si>
  <si>
    <t>S178</t>
  </si>
  <si>
    <t>V1057</t>
  </si>
  <si>
    <t>V1058</t>
  </si>
  <si>
    <t>V1059</t>
  </si>
  <si>
    <t>S119</t>
  </si>
  <si>
    <t>V1060</t>
  </si>
  <si>
    <t>S167</t>
  </si>
  <si>
    <t>V1061</t>
  </si>
  <si>
    <t>V1062</t>
  </si>
  <si>
    <t>V1063</t>
  </si>
  <si>
    <t>V1064</t>
  </si>
  <si>
    <t>V1065</t>
  </si>
  <si>
    <t>V1066</t>
  </si>
  <si>
    <t>V1067</t>
  </si>
  <si>
    <t>V1068</t>
  </si>
  <si>
    <t>V1069</t>
  </si>
  <si>
    <t>V1070</t>
  </si>
  <si>
    <t>V1071</t>
  </si>
  <si>
    <t>S164</t>
  </si>
  <si>
    <t>V1072</t>
  </si>
  <si>
    <t>V1073</t>
  </si>
  <si>
    <t>S166</t>
  </si>
  <si>
    <t>V1074</t>
  </si>
  <si>
    <t>S137</t>
  </si>
  <si>
    <t>V1075</t>
  </si>
  <si>
    <t>V1076</t>
  </si>
  <si>
    <t>S159</t>
  </si>
  <si>
    <t>V1077</t>
  </si>
  <si>
    <t>S150</t>
  </si>
  <si>
    <t>V1078</t>
  </si>
  <si>
    <t>V1079</t>
  </si>
  <si>
    <t>V1080</t>
  </si>
  <si>
    <t>S168</t>
  </si>
  <si>
    <t>V1081</t>
  </si>
  <si>
    <t>S172</t>
  </si>
  <si>
    <t>V1082</t>
  </si>
  <si>
    <t>S144</t>
  </si>
  <si>
    <t>V1083</t>
  </si>
  <si>
    <t>V1084</t>
  </si>
  <si>
    <t>V1085</t>
  </si>
  <si>
    <t>S113</t>
  </si>
  <si>
    <t>V1086</t>
  </si>
  <si>
    <t>V1087</t>
  </si>
  <si>
    <t>S133</t>
  </si>
  <si>
    <t>V1088</t>
  </si>
  <si>
    <t>V1089</t>
  </si>
  <si>
    <t>V1090</t>
  </si>
  <si>
    <t>S139</t>
  </si>
  <si>
    <t>V1091</t>
  </si>
  <si>
    <t>V1092</t>
  </si>
  <si>
    <t>S145</t>
  </si>
  <si>
    <t>V1093</t>
  </si>
  <si>
    <t>V1094</t>
  </si>
  <si>
    <t>V1095</t>
  </si>
  <si>
    <t>S147</t>
  </si>
  <si>
    <t>V1096</t>
  </si>
  <si>
    <t>S127</t>
  </si>
  <si>
    <t>V1097</t>
  </si>
  <si>
    <t>V1098</t>
  </si>
  <si>
    <t>V1099</t>
  </si>
  <si>
    <t>V1100</t>
  </si>
  <si>
    <t>V1101</t>
  </si>
  <si>
    <t>V1102</t>
  </si>
  <si>
    <t>V1103</t>
  </si>
  <si>
    <t>V1104</t>
  </si>
  <si>
    <t>V1105</t>
  </si>
  <si>
    <t>S106</t>
  </si>
  <si>
    <t>V1106</t>
  </si>
  <si>
    <t>V1107</t>
  </si>
  <si>
    <t>S179</t>
  </si>
  <si>
    <t>V1108</t>
  </si>
  <si>
    <t>V1109</t>
  </si>
  <si>
    <t>V1110</t>
  </si>
  <si>
    <t>V1111</t>
  </si>
  <si>
    <t>V1112</t>
  </si>
  <si>
    <t>V1113</t>
  </si>
  <si>
    <t>V1114</t>
  </si>
  <si>
    <t>S158</t>
  </si>
  <si>
    <t>V1115</t>
  </si>
  <si>
    <t>S128</t>
  </si>
  <si>
    <t>V1116</t>
  </si>
  <si>
    <t>V1117</t>
  </si>
  <si>
    <t>V1118</t>
  </si>
  <si>
    <t>S169</t>
  </si>
  <si>
    <t>V1119</t>
  </si>
  <si>
    <t>V1120</t>
  </si>
  <si>
    <t>V1121</t>
  </si>
  <si>
    <t>V1122</t>
  </si>
  <si>
    <t>V1123</t>
  </si>
  <si>
    <t>S108</t>
  </si>
  <si>
    <t>V1124</t>
  </si>
  <si>
    <t>V1125</t>
  </si>
  <si>
    <t>V1126</t>
  </si>
  <si>
    <t>V1127</t>
  </si>
  <si>
    <t>V1128</t>
  </si>
  <si>
    <t>V1129</t>
  </si>
  <si>
    <t>V1130</t>
  </si>
  <si>
    <t>V1131</t>
  </si>
  <si>
    <t>V1132</t>
  </si>
  <si>
    <t>V1133</t>
  </si>
  <si>
    <t>V1134</t>
  </si>
  <si>
    <t>V1135</t>
  </si>
  <si>
    <t>V1136</t>
  </si>
  <si>
    <t>V1137</t>
  </si>
  <si>
    <t>V1138</t>
  </si>
  <si>
    <t>V1139</t>
  </si>
  <si>
    <t>V1140</t>
  </si>
  <si>
    <t>V1141</t>
  </si>
  <si>
    <t>S111</t>
  </si>
  <si>
    <t>V1142</t>
  </si>
  <si>
    <t>S135</t>
  </si>
  <si>
    <t>V1143</t>
  </si>
  <si>
    <t>V1144</t>
  </si>
  <si>
    <t>V1145</t>
  </si>
  <si>
    <t>V1146</t>
  </si>
  <si>
    <t>V1147</t>
  </si>
  <si>
    <t>V1148</t>
  </si>
  <si>
    <t>V1149</t>
  </si>
  <si>
    <t>V1150</t>
  </si>
  <si>
    <t>V1151</t>
  </si>
  <si>
    <t>V1152</t>
  </si>
  <si>
    <t>V1153</t>
  </si>
  <si>
    <t>V1154</t>
  </si>
  <si>
    <t>V1155</t>
  </si>
  <si>
    <t>S173</t>
  </si>
  <si>
    <t>V1156</t>
  </si>
  <si>
    <t>V1157</t>
  </si>
  <si>
    <t>V1158</t>
  </si>
  <si>
    <t>V1159</t>
  </si>
  <si>
    <t>V1160</t>
  </si>
  <si>
    <t>V1161</t>
  </si>
  <si>
    <t>V1162</t>
  </si>
  <si>
    <t>V1163</t>
  </si>
  <si>
    <t>S180</t>
  </si>
  <si>
    <t>V1164</t>
  </si>
  <si>
    <t>V1165</t>
  </si>
  <si>
    <t>V1166</t>
  </si>
  <si>
    <t>V1167</t>
  </si>
  <si>
    <t>V1168</t>
  </si>
  <si>
    <t>V1169</t>
  </si>
  <si>
    <t>V1170</t>
  </si>
  <si>
    <t>V1171</t>
  </si>
  <si>
    <t>S109</t>
  </si>
  <si>
    <t>V1172</t>
  </si>
  <si>
    <t>S122</t>
  </si>
  <si>
    <t>V1173</t>
  </si>
  <si>
    <t>V1174</t>
  </si>
  <si>
    <t>V1175</t>
  </si>
  <si>
    <t>V1176</t>
  </si>
  <si>
    <t>V1177</t>
  </si>
  <si>
    <t>S162</t>
  </si>
  <si>
    <t>V1178</t>
  </si>
  <si>
    <t>V1179</t>
  </si>
  <si>
    <t>V1180</t>
  </si>
  <si>
    <t>V1181</t>
  </si>
  <si>
    <t>V1182</t>
  </si>
  <si>
    <t>V1183</t>
  </si>
  <si>
    <t>V1184</t>
  </si>
  <si>
    <t>V1185</t>
  </si>
  <si>
    <t>V1186</t>
  </si>
  <si>
    <t>V1187</t>
  </si>
  <si>
    <t>V1188</t>
  </si>
  <si>
    <t>V1189</t>
  </si>
  <si>
    <t>V1190</t>
  </si>
  <si>
    <t>V1191</t>
  </si>
  <si>
    <t>V1192</t>
  </si>
  <si>
    <t>V1193</t>
  </si>
  <si>
    <t>V1194</t>
  </si>
  <si>
    <t>V1195</t>
  </si>
  <si>
    <t>V1196</t>
  </si>
  <si>
    <t>V1197</t>
  </si>
  <si>
    <t>V1198</t>
  </si>
  <si>
    <t>V1199</t>
  </si>
  <si>
    <t>V1200</t>
  </si>
  <si>
    <t>V1201</t>
  </si>
  <si>
    <t>V1202</t>
  </si>
  <si>
    <t>V1203</t>
  </si>
  <si>
    <t>V1204</t>
  </si>
  <si>
    <t>V1205</t>
  </si>
  <si>
    <t>V1206</t>
  </si>
  <si>
    <t>V1207</t>
  </si>
  <si>
    <t>V1208</t>
  </si>
  <si>
    <t>S110</t>
  </si>
  <si>
    <t>V1209</t>
  </si>
  <si>
    <t>V1210</t>
  </si>
  <si>
    <t>V1211</t>
  </si>
  <si>
    <t>V1212</t>
  </si>
  <si>
    <t>V1213</t>
  </si>
  <si>
    <t>V1214</t>
  </si>
  <si>
    <t>V1215</t>
  </si>
  <si>
    <t>V1216</t>
  </si>
  <si>
    <t>V1217</t>
  </si>
  <si>
    <t>V1218</t>
  </si>
  <si>
    <t>V1219</t>
  </si>
  <si>
    <t>V1220</t>
  </si>
  <si>
    <t>V1221</t>
  </si>
  <si>
    <t>V1222</t>
  </si>
  <si>
    <t>V1223</t>
  </si>
  <si>
    <t>V1224</t>
  </si>
  <si>
    <t>S138</t>
  </si>
  <si>
    <t>V1225</t>
  </si>
  <si>
    <t>S141</t>
  </si>
  <si>
    <t>V1226</t>
  </si>
  <si>
    <t>V1227</t>
  </si>
  <si>
    <t>V1228</t>
  </si>
  <si>
    <t>V1229</t>
  </si>
  <si>
    <t>V1230</t>
  </si>
  <si>
    <t>V1231</t>
  </si>
  <si>
    <t>V1232</t>
  </si>
  <si>
    <t>V1233</t>
  </si>
  <si>
    <t>V1234</t>
  </si>
  <si>
    <t>V1235</t>
  </si>
  <si>
    <t>V1236</t>
  </si>
  <si>
    <t>V1237</t>
  </si>
  <si>
    <t>V1238</t>
  </si>
  <si>
    <t>V1239</t>
  </si>
  <si>
    <t>V1240</t>
  </si>
  <si>
    <t>V1241</t>
  </si>
  <si>
    <t>V1242</t>
  </si>
  <si>
    <t>V1243</t>
  </si>
  <si>
    <t>V1244</t>
  </si>
  <si>
    <t>V1245</t>
  </si>
  <si>
    <t>V1246</t>
  </si>
  <si>
    <t>V1247</t>
  </si>
  <si>
    <t>V1248</t>
  </si>
  <si>
    <t>V1249</t>
  </si>
  <si>
    <t>V1250</t>
  </si>
  <si>
    <t>V1251</t>
  </si>
  <si>
    <t>V1252</t>
  </si>
  <si>
    <t>V1253</t>
  </si>
  <si>
    <t>V1254</t>
  </si>
  <si>
    <t>V1255</t>
  </si>
  <si>
    <t>V1256</t>
  </si>
  <si>
    <t>V1257</t>
  </si>
  <si>
    <t>V1258</t>
  </si>
  <si>
    <t>V1259</t>
  </si>
  <si>
    <t>V1260</t>
  </si>
  <si>
    <t>V1261</t>
  </si>
  <si>
    <t>V1262</t>
  </si>
  <si>
    <t>V1263</t>
  </si>
  <si>
    <t>V1264</t>
  </si>
  <si>
    <t>V1265</t>
  </si>
  <si>
    <t>V1266</t>
  </si>
  <si>
    <t>V1267</t>
  </si>
  <si>
    <t>V1268</t>
  </si>
  <si>
    <t>V1269</t>
  </si>
  <si>
    <t>V1270</t>
  </si>
  <si>
    <t>V1271</t>
  </si>
  <si>
    <t>V1272</t>
  </si>
  <si>
    <t>V1273</t>
  </si>
  <si>
    <t>S120</t>
  </si>
  <si>
    <t>V1274</t>
  </si>
  <si>
    <t>V1275</t>
  </si>
  <si>
    <t>V1276</t>
  </si>
  <si>
    <t>V1277</t>
  </si>
  <si>
    <t>V1278</t>
  </si>
  <si>
    <t>V1279</t>
  </si>
  <si>
    <t>V1280</t>
  </si>
  <si>
    <t>V1281</t>
  </si>
  <si>
    <t>V1282</t>
  </si>
  <si>
    <t>V1283</t>
  </si>
  <si>
    <t>V1284</t>
  </si>
  <si>
    <t>V1285</t>
  </si>
  <si>
    <t>S176</t>
  </si>
  <si>
    <t>V1286</t>
  </si>
  <si>
    <t>V1287</t>
  </si>
  <si>
    <t>V1288</t>
  </si>
  <si>
    <t>V1289</t>
  </si>
  <si>
    <t>V1290</t>
  </si>
  <si>
    <t>V1291</t>
  </si>
  <si>
    <t>V1292</t>
  </si>
  <si>
    <t>V1293</t>
  </si>
  <si>
    <t>V1294</t>
  </si>
  <si>
    <t>V1295</t>
  </si>
  <si>
    <t>V1296</t>
  </si>
  <si>
    <t>V1297</t>
  </si>
  <si>
    <t>V1298</t>
  </si>
  <si>
    <t>V1299</t>
  </si>
  <si>
    <t>V1300</t>
  </si>
  <si>
    <t>V1301</t>
  </si>
  <si>
    <t>V1302</t>
  </si>
  <si>
    <t>V1303</t>
  </si>
  <si>
    <t>V1304</t>
  </si>
  <si>
    <t>V1305</t>
  </si>
  <si>
    <t>V1306</t>
  </si>
  <si>
    <t>V1307</t>
  </si>
  <si>
    <t>V1308</t>
  </si>
  <si>
    <t>V1309</t>
  </si>
  <si>
    <t>V1310</t>
  </si>
  <si>
    <t>V1311</t>
  </si>
  <si>
    <t>V1312</t>
  </si>
  <si>
    <t>V1313</t>
  </si>
  <si>
    <t>V1314</t>
  </si>
  <si>
    <t>V1315</t>
  </si>
  <si>
    <t>V1316</t>
  </si>
  <si>
    <t>V1317</t>
  </si>
  <si>
    <t>S132</t>
  </si>
  <si>
    <t>V1318</t>
  </si>
  <si>
    <t>V1319</t>
  </si>
  <si>
    <t>V1320</t>
  </si>
  <si>
    <t>V1321</t>
  </si>
  <si>
    <t>V1322</t>
  </si>
  <si>
    <t>V1323</t>
  </si>
  <si>
    <t>V1324</t>
  </si>
  <si>
    <t>V1325</t>
  </si>
  <si>
    <t>V1326</t>
  </si>
  <si>
    <t>V1327</t>
  </si>
  <si>
    <t>V1328</t>
  </si>
  <si>
    <t>V1329</t>
  </si>
  <si>
    <t>V1330</t>
  </si>
  <si>
    <t>V1331</t>
  </si>
  <si>
    <t>V1332</t>
  </si>
  <si>
    <t>V1333</t>
  </si>
  <si>
    <t>V1334</t>
  </si>
  <si>
    <t>V1335</t>
  </si>
  <si>
    <t>V1336</t>
  </si>
  <si>
    <t>V1337</t>
  </si>
  <si>
    <t>V1338</t>
  </si>
  <si>
    <t>V1339</t>
  </si>
  <si>
    <t>V1340</t>
  </si>
  <si>
    <t>V1341</t>
  </si>
  <si>
    <t>V1342</t>
  </si>
  <si>
    <t>V1343</t>
  </si>
  <si>
    <t>V1344</t>
  </si>
  <si>
    <t>V1345</t>
  </si>
  <si>
    <t>V1346</t>
  </si>
  <si>
    <t>V1347</t>
  </si>
  <si>
    <t>V1348</t>
  </si>
  <si>
    <t>V1349</t>
  </si>
  <si>
    <t>V1350</t>
  </si>
  <si>
    <t>V1351</t>
  </si>
  <si>
    <t>V1352</t>
  </si>
  <si>
    <t>V1353</t>
  </si>
  <si>
    <t>V1354</t>
  </si>
  <si>
    <t>V1355</t>
  </si>
  <si>
    <t>V1356</t>
  </si>
  <si>
    <t>V1357</t>
  </si>
  <si>
    <t>V1358</t>
  </si>
  <si>
    <t>V1359</t>
  </si>
  <si>
    <t>V1360</t>
  </si>
  <si>
    <t>V1361</t>
  </si>
  <si>
    <t>V1362</t>
  </si>
  <si>
    <t>V1363</t>
  </si>
  <si>
    <t>V1364</t>
  </si>
  <si>
    <t>V1365</t>
  </si>
  <si>
    <t>V1366</t>
  </si>
  <si>
    <t>V1367</t>
  </si>
  <si>
    <t>V1368</t>
  </si>
  <si>
    <t>V1369</t>
  </si>
  <si>
    <t>V1370</t>
  </si>
  <si>
    <t>V1371</t>
  </si>
  <si>
    <t>V1372</t>
  </si>
  <si>
    <t>V1373</t>
  </si>
  <si>
    <t>V1374</t>
  </si>
  <si>
    <t>V1375</t>
  </si>
  <si>
    <t>V1376</t>
  </si>
  <si>
    <t>V1377</t>
  </si>
  <si>
    <t>V1378</t>
  </si>
  <si>
    <t>V1379</t>
  </si>
  <si>
    <t>V1380</t>
  </si>
  <si>
    <t>V1381</t>
  </si>
  <si>
    <t>V1382</t>
  </si>
  <si>
    <t>V1383</t>
  </si>
  <si>
    <t>V1384</t>
  </si>
  <si>
    <t>V1385</t>
  </si>
  <si>
    <t>V1386</t>
  </si>
  <si>
    <t>V1387</t>
  </si>
  <si>
    <t>V1388</t>
  </si>
  <si>
    <t>V1389</t>
  </si>
  <si>
    <t>V1390</t>
  </si>
  <si>
    <t>V1391</t>
  </si>
  <si>
    <t>V1392</t>
  </si>
  <si>
    <t>V1393</t>
  </si>
  <si>
    <t>V1394</t>
  </si>
  <si>
    <t>V1395</t>
  </si>
  <si>
    <t>V1396</t>
  </si>
  <si>
    <t>V1397</t>
  </si>
  <si>
    <t>V1398</t>
  </si>
  <si>
    <t>V1399</t>
  </si>
  <si>
    <t>V1400</t>
  </si>
  <si>
    <t>V1401</t>
  </si>
  <si>
    <t>V1402</t>
  </si>
  <si>
    <t>V1403</t>
  </si>
  <si>
    <t>V1404</t>
  </si>
  <si>
    <t>V1405</t>
  </si>
  <si>
    <t>V1406</t>
  </si>
  <si>
    <t>V1407</t>
  </si>
  <si>
    <t>V1408</t>
  </si>
  <si>
    <t>V1409</t>
  </si>
  <si>
    <t>V1410</t>
  </si>
  <si>
    <t>V1411</t>
  </si>
  <si>
    <t>V1412</t>
  </si>
  <si>
    <t>V1413</t>
  </si>
  <si>
    <t>V1414</t>
  </si>
  <si>
    <t>V1415</t>
  </si>
  <si>
    <t>V1416</t>
  </si>
  <si>
    <t>V1417</t>
  </si>
  <si>
    <t>V1418</t>
  </si>
  <si>
    <t>V1419</t>
  </si>
  <si>
    <t>V1420</t>
  </si>
  <si>
    <t>V1421</t>
  </si>
  <si>
    <t>V1422</t>
  </si>
  <si>
    <t>V1423</t>
  </si>
  <si>
    <t>V1424</t>
  </si>
  <si>
    <t>V1425</t>
  </si>
  <si>
    <t>V1426</t>
  </si>
  <si>
    <t>V1427</t>
  </si>
  <si>
    <t>V1428</t>
  </si>
  <si>
    <t>V1429</t>
  </si>
  <si>
    <t>V1430</t>
  </si>
  <si>
    <t>V1431</t>
  </si>
  <si>
    <t>V1432</t>
  </si>
  <si>
    <t>V1433</t>
  </si>
  <si>
    <t>V1434</t>
  </si>
  <si>
    <t>V1435</t>
  </si>
  <si>
    <t>V1436</t>
  </si>
  <si>
    <t>V1437</t>
  </si>
  <si>
    <t>V1438</t>
  </si>
  <si>
    <t>V1439</t>
  </si>
  <si>
    <t>V1440</t>
  </si>
  <si>
    <t>V1441</t>
  </si>
  <si>
    <t>V1442</t>
  </si>
  <si>
    <t>V1443</t>
  </si>
  <si>
    <t>V1444</t>
  </si>
  <si>
    <t>V1445</t>
  </si>
  <si>
    <t>V1446</t>
  </si>
  <si>
    <t>V1447</t>
  </si>
  <si>
    <t>V1448</t>
  </si>
  <si>
    <t>V1449</t>
  </si>
  <si>
    <t>V1450</t>
  </si>
  <si>
    <t>V1451</t>
  </si>
  <si>
    <t>V1452</t>
  </si>
  <si>
    <t>V1453</t>
  </si>
  <si>
    <t>V1454</t>
  </si>
  <si>
    <t>V1455</t>
  </si>
  <si>
    <t>V1456</t>
  </si>
  <si>
    <t>V1457</t>
  </si>
  <si>
    <t>V1458</t>
  </si>
  <si>
    <t>V1459</t>
  </si>
  <si>
    <t>V1460</t>
  </si>
  <si>
    <t>V1461</t>
  </si>
  <si>
    <t>V1462</t>
  </si>
  <si>
    <t>V1463</t>
  </si>
  <si>
    <t>V1464</t>
  </si>
  <si>
    <t>V1465</t>
  </si>
  <si>
    <t>V1466</t>
  </si>
  <si>
    <t>V1467</t>
  </si>
  <si>
    <t>V1468</t>
  </si>
  <si>
    <t>V1469</t>
  </si>
  <si>
    <t>V1470</t>
  </si>
  <si>
    <t>V1471</t>
  </si>
  <si>
    <t>V1472</t>
  </si>
  <si>
    <t>V1473</t>
  </si>
  <si>
    <t>V1474</t>
  </si>
  <si>
    <t>V1475</t>
  </si>
  <si>
    <t>V1476</t>
  </si>
  <si>
    <t>V1477</t>
  </si>
  <si>
    <t>V1478</t>
  </si>
  <si>
    <t>V1479</t>
  </si>
  <si>
    <t>V1480</t>
  </si>
  <si>
    <t>V1481</t>
  </si>
  <si>
    <t>V1482</t>
  </si>
  <si>
    <t>V1483</t>
  </si>
  <si>
    <t>V1484</t>
  </si>
  <si>
    <t>V1485</t>
  </si>
  <si>
    <t>V1486</t>
  </si>
  <si>
    <t>V1487</t>
  </si>
  <si>
    <t>V1488</t>
  </si>
  <si>
    <t>V1489</t>
  </si>
  <si>
    <t>V1490</t>
  </si>
  <si>
    <t>V1491</t>
  </si>
  <si>
    <t>V1492</t>
  </si>
  <si>
    <t>V1493</t>
  </si>
  <si>
    <t>V1494</t>
  </si>
  <si>
    <t>V1495</t>
  </si>
  <si>
    <t>V1496</t>
  </si>
  <si>
    <t>V1497</t>
  </si>
  <si>
    <t>V1498</t>
  </si>
  <si>
    <t>V1499</t>
  </si>
  <si>
    <t>V1500</t>
  </si>
  <si>
    <t>V1501</t>
  </si>
  <si>
    <t>V1502</t>
  </si>
  <si>
    <t>V1503</t>
  </si>
  <si>
    <t>V1504</t>
  </si>
  <si>
    <t>V1505</t>
  </si>
  <si>
    <t>V1506</t>
  </si>
  <si>
    <t>V1507</t>
  </si>
  <si>
    <t>V1508</t>
  </si>
  <si>
    <t>V1509</t>
  </si>
  <si>
    <t>V1510</t>
  </si>
  <si>
    <t>V1511</t>
  </si>
  <si>
    <t>V1512</t>
  </si>
  <si>
    <t>V1513</t>
  </si>
  <si>
    <t>V1514</t>
  </si>
  <si>
    <t>V1515</t>
  </si>
  <si>
    <t>V1516</t>
  </si>
  <si>
    <t>V1517</t>
  </si>
  <si>
    <t>V1518</t>
  </si>
  <si>
    <t>V1519</t>
  </si>
  <si>
    <t>V1520</t>
  </si>
  <si>
    <t>V1521</t>
  </si>
  <si>
    <t>V1522</t>
  </si>
  <si>
    <t>V1523</t>
  </si>
  <si>
    <t>V1524</t>
  </si>
  <si>
    <t>V1525</t>
  </si>
  <si>
    <t>V1526</t>
  </si>
  <si>
    <t>V1527</t>
  </si>
  <si>
    <t>V1528</t>
  </si>
  <si>
    <t>V1529</t>
  </si>
  <si>
    <t>V1530</t>
  </si>
  <si>
    <t>V1531</t>
  </si>
  <si>
    <t>V1532</t>
  </si>
  <si>
    <t>V1533</t>
  </si>
  <si>
    <t>V1534</t>
  </si>
  <si>
    <t>V1535</t>
  </si>
  <si>
    <t>V1536</t>
  </si>
  <si>
    <t>V1537</t>
  </si>
  <si>
    <t>V1538</t>
  </si>
  <si>
    <t>V1539</t>
  </si>
  <si>
    <t>V1540</t>
  </si>
  <si>
    <t>V1541</t>
  </si>
  <si>
    <t>V1542</t>
  </si>
  <si>
    <t>V1543</t>
  </si>
  <si>
    <t>V1544</t>
  </si>
  <si>
    <t>V1545</t>
  </si>
  <si>
    <t>V1546</t>
  </si>
  <si>
    <t>V1547</t>
  </si>
  <si>
    <t>V1548</t>
  </si>
  <si>
    <t>V1549</t>
  </si>
  <si>
    <t>V1550</t>
  </si>
  <si>
    <t>V1551</t>
  </si>
  <si>
    <t>V1552</t>
  </si>
  <si>
    <t>V1553</t>
  </si>
  <si>
    <t>V1554</t>
  </si>
  <si>
    <t>V1555</t>
  </si>
  <si>
    <t>V1556</t>
  </si>
  <si>
    <t>V1557</t>
  </si>
  <si>
    <t>V1558</t>
  </si>
  <si>
    <t>V1559</t>
  </si>
  <si>
    <t>V1560</t>
  </si>
  <si>
    <t>V1561</t>
  </si>
  <si>
    <t>V1562</t>
  </si>
  <si>
    <t>V1563</t>
  </si>
  <si>
    <t>V1564</t>
  </si>
  <si>
    <t>V1565</t>
  </si>
  <si>
    <t>V1566</t>
  </si>
  <si>
    <t>V1567</t>
  </si>
  <si>
    <t>V1568</t>
  </si>
  <si>
    <t>V1569</t>
  </si>
  <si>
    <t>V1570</t>
  </si>
  <si>
    <t>V1571</t>
  </si>
  <si>
    <t>V1572</t>
  </si>
  <si>
    <t>V1573</t>
  </si>
  <si>
    <t>V1574</t>
  </si>
  <si>
    <t>V1575</t>
  </si>
  <si>
    <t>V1576</t>
  </si>
  <si>
    <t>V1577</t>
  </si>
  <si>
    <t>V1578</t>
  </si>
  <si>
    <t>V1579</t>
  </si>
  <si>
    <t>V1580</t>
  </si>
  <si>
    <t>V1581</t>
  </si>
  <si>
    <t>V1582</t>
  </si>
  <si>
    <t>V1583</t>
  </si>
  <si>
    <t>V1584</t>
  </si>
  <si>
    <t>V1585</t>
  </si>
  <si>
    <t>V1586</t>
  </si>
  <si>
    <t>V1587</t>
  </si>
  <si>
    <t>V1588</t>
  </si>
  <si>
    <t>V1589</t>
  </si>
  <si>
    <t>V1590</t>
  </si>
  <si>
    <t>V1591</t>
  </si>
  <si>
    <t>V1592</t>
  </si>
  <si>
    <t>V1593</t>
  </si>
  <si>
    <t>V1594</t>
  </si>
  <si>
    <t>V1595</t>
  </si>
  <si>
    <t>V1596</t>
  </si>
  <si>
    <t>V1597</t>
  </si>
  <si>
    <t>V1598</t>
  </si>
  <si>
    <t>V1599</t>
  </si>
  <si>
    <t>V1600</t>
  </si>
  <si>
    <t>V1601</t>
  </si>
  <si>
    <t>V1602</t>
  </si>
  <si>
    <t>V1603</t>
  </si>
  <si>
    <t>V1604</t>
  </si>
  <si>
    <t>V1605</t>
  </si>
  <si>
    <t>V1606</t>
  </si>
  <si>
    <t>V1607</t>
  </si>
  <si>
    <t>V1608</t>
  </si>
  <si>
    <t>V1609</t>
  </si>
  <si>
    <t>V1610</t>
  </si>
  <si>
    <t>V1611</t>
  </si>
  <si>
    <t>V1612</t>
  </si>
  <si>
    <t>V1613</t>
  </si>
  <si>
    <t>V1614</t>
  </si>
  <si>
    <t>V1615</t>
  </si>
  <si>
    <t>V1616</t>
  </si>
  <si>
    <t>V1617</t>
  </si>
  <si>
    <t>V1618</t>
  </si>
  <si>
    <t>V1619</t>
  </si>
  <si>
    <t>V1620</t>
  </si>
  <si>
    <t>V1621</t>
  </si>
  <si>
    <t>V1622</t>
  </si>
  <si>
    <t>V1623</t>
  </si>
  <si>
    <t>V1624</t>
  </si>
  <si>
    <t>V1625</t>
  </si>
  <si>
    <t>V1626</t>
  </si>
  <si>
    <t>V1627</t>
  </si>
  <si>
    <t>V1628</t>
  </si>
  <si>
    <t>V1629</t>
  </si>
  <si>
    <t>V1630</t>
  </si>
  <si>
    <t>V1631</t>
  </si>
  <si>
    <t>V1632</t>
  </si>
  <si>
    <t>V1633</t>
  </si>
  <si>
    <t>V1634</t>
  </si>
  <si>
    <t>V1635</t>
  </si>
  <si>
    <t>V1636</t>
  </si>
  <si>
    <t>V1637</t>
  </si>
  <si>
    <t>V1638</t>
  </si>
  <si>
    <t>V1639</t>
  </si>
  <si>
    <t>V1640</t>
  </si>
  <si>
    <t>V1641</t>
  </si>
  <si>
    <t>V1642</t>
  </si>
  <si>
    <t>V1643</t>
  </si>
  <si>
    <t>V1644</t>
  </si>
  <si>
    <t>V1645</t>
  </si>
  <si>
    <t>V1646</t>
  </si>
  <si>
    <t>V1647</t>
  </si>
  <si>
    <t>V1648</t>
  </si>
  <si>
    <t>V1649</t>
  </si>
  <si>
    <t>V1650</t>
  </si>
  <si>
    <t>V1651</t>
  </si>
  <si>
    <t>V1652</t>
  </si>
  <si>
    <t>V1653</t>
  </si>
  <si>
    <t>V1654</t>
  </si>
  <si>
    <t>V1655</t>
  </si>
  <si>
    <t>V1656</t>
  </si>
  <si>
    <t>V1657</t>
  </si>
  <si>
    <t>V1658</t>
  </si>
  <si>
    <t>V1659</t>
  </si>
  <si>
    <t>V1660</t>
  </si>
  <si>
    <t>V1661</t>
  </si>
  <si>
    <t>V1662</t>
  </si>
  <si>
    <t>V1663</t>
  </si>
  <si>
    <t>V1664</t>
  </si>
  <si>
    <t>V1665</t>
  </si>
  <si>
    <t>V1666</t>
  </si>
  <si>
    <t>V1667</t>
  </si>
  <si>
    <t>V1668</t>
  </si>
  <si>
    <t>V1669</t>
  </si>
  <si>
    <t>V1670</t>
  </si>
  <si>
    <t>V1671</t>
  </si>
  <si>
    <t>V1672</t>
  </si>
  <si>
    <t>V1673</t>
  </si>
  <si>
    <t>V1674</t>
  </si>
  <si>
    <t>V1675</t>
  </si>
  <si>
    <t>V1676</t>
  </si>
  <si>
    <t>V1677</t>
  </si>
  <si>
    <t>V1678</t>
  </si>
  <si>
    <t>V1679</t>
  </si>
  <si>
    <t>V1680</t>
  </si>
  <si>
    <t>V1681</t>
  </si>
  <si>
    <t>V1682</t>
  </si>
  <si>
    <t>V1683</t>
  </si>
  <si>
    <t>V1684</t>
  </si>
  <si>
    <t>V1685</t>
  </si>
  <si>
    <t>V1686</t>
  </si>
  <si>
    <t>V1687</t>
  </si>
  <si>
    <t>V1688</t>
  </si>
  <si>
    <t>V1689</t>
  </si>
  <si>
    <t>V1690</t>
  </si>
  <si>
    <t>V1691</t>
  </si>
  <si>
    <t>V1692</t>
  </si>
  <si>
    <t>V1693</t>
  </si>
  <si>
    <t>V1694</t>
  </si>
  <si>
    <t>V1695</t>
  </si>
  <si>
    <t>V1696</t>
  </si>
  <si>
    <t>V1697</t>
  </si>
  <si>
    <t>V1698</t>
  </si>
  <si>
    <t>V1699</t>
  </si>
  <si>
    <t>V1700</t>
  </si>
  <si>
    <t>V1701</t>
  </si>
  <si>
    <t>V1702</t>
  </si>
  <si>
    <t>V1703</t>
  </si>
  <si>
    <t>V1704</t>
  </si>
  <si>
    <t>V1705</t>
  </si>
  <si>
    <t>V1706</t>
  </si>
  <si>
    <t>V1707</t>
  </si>
  <si>
    <t>V1708</t>
  </si>
  <si>
    <t>V1709</t>
  </si>
  <si>
    <t>V1710</t>
  </si>
  <si>
    <t>V1711</t>
  </si>
  <si>
    <t>V1712</t>
  </si>
  <si>
    <t>V1713</t>
  </si>
  <si>
    <t>V1714</t>
  </si>
  <si>
    <t>V1715</t>
  </si>
  <si>
    <t>V1716</t>
  </si>
  <si>
    <t>V1717</t>
  </si>
  <si>
    <t>V1718</t>
  </si>
  <si>
    <t>V1719</t>
  </si>
  <si>
    <t>V1720</t>
  </si>
  <si>
    <t>V1721</t>
  </si>
  <si>
    <t>V1722</t>
  </si>
  <si>
    <t>V1723</t>
  </si>
  <si>
    <t>V1724</t>
  </si>
  <si>
    <t>V1725</t>
  </si>
  <si>
    <t>V1726</t>
  </si>
  <si>
    <t>V1727</t>
  </si>
  <si>
    <t>V1728</t>
  </si>
  <si>
    <t>V1729</t>
  </si>
  <si>
    <t>V1730</t>
  </si>
  <si>
    <t>V1731</t>
  </si>
  <si>
    <t>V1732</t>
  </si>
  <si>
    <t>V1733</t>
  </si>
  <si>
    <t>V1734</t>
  </si>
  <si>
    <t>V1735</t>
  </si>
  <si>
    <t>V1736</t>
  </si>
  <si>
    <t>V1737</t>
  </si>
  <si>
    <t>V1738</t>
  </si>
  <si>
    <t>V1739</t>
  </si>
  <si>
    <t>V1740</t>
  </si>
  <si>
    <t>V1741</t>
  </si>
  <si>
    <t>V1742</t>
  </si>
  <si>
    <t>V1743</t>
  </si>
  <si>
    <t>V1744</t>
  </si>
  <si>
    <t>V1745</t>
  </si>
  <si>
    <t>V1746</t>
  </si>
  <si>
    <t>V1747</t>
  </si>
  <si>
    <t>V1748</t>
  </si>
  <si>
    <t>V1749</t>
  </si>
  <si>
    <t>V1750</t>
  </si>
  <si>
    <t>V1751</t>
  </si>
  <si>
    <t>V1752</t>
  </si>
  <si>
    <t>V1753</t>
  </si>
  <si>
    <t>V1754</t>
  </si>
  <si>
    <t>V1755</t>
  </si>
  <si>
    <t>V1756</t>
  </si>
  <si>
    <t>V1757</t>
  </si>
  <si>
    <t>V1758</t>
  </si>
  <si>
    <t>V1759</t>
  </si>
  <si>
    <t>V1760</t>
  </si>
  <si>
    <t>V1761</t>
  </si>
  <si>
    <t>V1762</t>
  </si>
  <si>
    <t>V1763</t>
  </si>
  <si>
    <t>V1764</t>
  </si>
  <si>
    <t>V1765</t>
  </si>
  <si>
    <t>V1766</t>
  </si>
  <si>
    <t>V1767</t>
  </si>
  <si>
    <t>V1768</t>
  </si>
  <si>
    <t>V1769</t>
  </si>
  <si>
    <t>V1770</t>
  </si>
  <si>
    <t>V1771</t>
  </si>
  <si>
    <t>V1772</t>
  </si>
  <si>
    <t>V1773</t>
  </si>
  <si>
    <t>V1774</t>
  </si>
  <si>
    <t>V1775</t>
  </si>
  <si>
    <t>V1776</t>
  </si>
  <si>
    <t>V1777</t>
  </si>
  <si>
    <t>V1778</t>
  </si>
  <si>
    <t>V1779</t>
  </si>
  <si>
    <t>V1780</t>
  </si>
  <si>
    <t>V1781</t>
  </si>
  <si>
    <t>V1782</t>
  </si>
  <si>
    <t>V1783</t>
  </si>
  <si>
    <t>V1784</t>
  </si>
  <si>
    <t>V1785</t>
  </si>
  <si>
    <t>V1786</t>
  </si>
  <si>
    <t>V1787</t>
  </si>
  <si>
    <t>V1788</t>
  </si>
  <si>
    <t>V1789</t>
  </si>
  <si>
    <t>V1790</t>
  </si>
  <si>
    <t>V1791</t>
  </si>
  <si>
    <t>V1792</t>
  </si>
  <si>
    <t>V1793</t>
  </si>
  <si>
    <t>V1794</t>
  </si>
  <si>
    <t>V1795</t>
  </si>
  <si>
    <t>V1796</t>
  </si>
  <si>
    <t>V1797</t>
  </si>
  <si>
    <t>V1798</t>
  </si>
  <si>
    <t>V1799</t>
  </si>
  <si>
    <t>V1800</t>
  </si>
  <si>
    <t>V1801</t>
  </si>
  <si>
    <t>V1802</t>
  </si>
  <si>
    <t>V1803</t>
  </si>
  <si>
    <t>V1804</t>
  </si>
  <si>
    <t>V1805</t>
  </si>
  <si>
    <t>V1806</t>
  </si>
  <si>
    <t>V1807</t>
  </si>
  <si>
    <t>V1808</t>
  </si>
  <si>
    <t>V1809</t>
  </si>
  <si>
    <t>V1810</t>
  </si>
  <si>
    <t>V1811</t>
  </si>
  <si>
    <t>V1812</t>
  </si>
  <si>
    <t>V1813</t>
  </si>
  <si>
    <t>V1814</t>
  </si>
  <si>
    <t>V1815</t>
  </si>
  <si>
    <t>V1816</t>
  </si>
  <si>
    <t>V1817</t>
  </si>
  <si>
    <t>V1818</t>
  </si>
  <si>
    <t>V1819</t>
  </si>
  <si>
    <t>V1820</t>
  </si>
  <si>
    <t>V1821</t>
  </si>
  <si>
    <t>V1822</t>
  </si>
  <si>
    <t>V1823</t>
  </si>
  <si>
    <t>V1824</t>
  </si>
  <si>
    <t>V1825</t>
  </si>
  <si>
    <t>V1826</t>
  </si>
  <si>
    <t>V1827</t>
  </si>
  <si>
    <t>V1828</t>
  </si>
  <si>
    <t>V1829</t>
  </si>
  <si>
    <t>V1830</t>
  </si>
  <si>
    <t>V1831</t>
  </si>
  <si>
    <t>V1832</t>
  </si>
  <si>
    <t>V1833</t>
  </si>
  <si>
    <t>V1834</t>
  </si>
  <si>
    <t>V1835</t>
  </si>
  <si>
    <t>V1836</t>
  </si>
  <si>
    <t>V1837</t>
  </si>
  <si>
    <t>V1838</t>
  </si>
  <si>
    <t>V1839</t>
  </si>
  <si>
    <t>V1840</t>
  </si>
  <si>
    <t>V1841</t>
  </si>
  <si>
    <t>V1842</t>
  </si>
  <si>
    <t>V1843</t>
  </si>
  <si>
    <t>V1844</t>
  </si>
  <si>
    <t>V1845</t>
  </si>
  <si>
    <t>V1846</t>
  </si>
  <si>
    <t>V1847</t>
  </si>
  <si>
    <t>V1848</t>
  </si>
  <si>
    <t>V1849</t>
  </si>
  <si>
    <t>V1850</t>
  </si>
  <si>
    <t>V1851</t>
  </si>
  <si>
    <t>V1852</t>
  </si>
  <si>
    <t>V1853</t>
  </si>
  <si>
    <t>V1854</t>
  </si>
  <si>
    <t>V1855</t>
  </si>
  <si>
    <t>V1856</t>
  </si>
  <si>
    <t>V1857</t>
  </si>
  <si>
    <t>V1858</t>
  </si>
  <si>
    <t>V1859</t>
  </si>
  <si>
    <t>V1860</t>
  </si>
  <si>
    <t>V1861</t>
  </si>
  <si>
    <t>V1862</t>
  </si>
  <si>
    <t>V1863</t>
  </si>
  <si>
    <t>V1864</t>
  </si>
  <si>
    <t>V1865</t>
  </si>
  <si>
    <t>V1866</t>
  </si>
  <si>
    <t>V1867</t>
  </si>
  <si>
    <t>V1868</t>
  </si>
  <si>
    <t>V1869</t>
  </si>
  <si>
    <t>V1870</t>
  </si>
  <si>
    <t>V1871</t>
  </si>
  <si>
    <t>V1872</t>
  </si>
  <si>
    <t>V1873</t>
  </si>
  <si>
    <t>V1874</t>
  </si>
  <si>
    <t>V1875</t>
  </si>
  <si>
    <t>V1876</t>
  </si>
  <si>
    <t>V1877</t>
  </si>
  <si>
    <t>V1878</t>
  </si>
  <si>
    <t>V1879</t>
  </si>
  <si>
    <t>V1880</t>
  </si>
  <si>
    <t>V1881</t>
  </si>
  <si>
    <t>V1882</t>
  </si>
  <si>
    <t>V1883</t>
  </si>
  <si>
    <t>V1884</t>
  </si>
  <si>
    <t>V1885</t>
  </si>
  <si>
    <t>V1886</t>
  </si>
  <si>
    <t>V1887</t>
  </si>
  <si>
    <t>V1888</t>
  </si>
  <si>
    <t>V1889</t>
  </si>
  <si>
    <t>V1890</t>
  </si>
  <si>
    <t>V1891</t>
  </si>
  <si>
    <t>V1892</t>
  </si>
  <si>
    <t>V1893</t>
  </si>
  <si>
    <t>V1894</t>
  </si>
  <si>
    <t>V1895</t>
  </si>
  <si>
    <t>V1896</t>
  </si>
  <si>
    <t>V1897</t>
  </si>
  <si>
    <t>V1898</t>
  </si>
  <si>
    <t>V1899</t>
  </si>
  <si>
    <t>V1900</t>
  </si>
  <si>
    <t>V1901</t>
  </si>
  <si>
    <t>V1902</t>
  </si>
  <si>
    <t>V1903</t>
  </si>
  <si>
    <t>V1904</t>
  </si>
  <si>
    <t>V1905</t>
  </si>
  <si>
    <t>V1906</t>
  </si>
  <si>
    <t>V1907</t>
  </si>
  <si>
    <t>V1908</t>
  </si>
  <si>
    <t>V1909</t>
  </si>
  <si>
    <t>V1910</t>
  </si>
  <si>
    <t>V1911</t>
  </si>
  <si>
    <t>V1912</t>
  </si>
  <si>
    <t>V1913</t>
  </si>
  <si>
    <t>V1914</t>
  </si>
  <si>
    <t>V1915</t>
  </si>
  <si>
    <t>V1916</t>
  </si>
  <si>
    <t>V1917</t>
  </si>
  <si>
    <t>V1918</t>
  </si>
  <si>
    <t>V1919</t>
  </si>
  <si>
    <t>V1920</t>
  </si>
  <si>
    <t>V1921</t>
  </si>
  <si>
    <t>V1922</t>
  </si>
  <si>
    <t>V1923</t>
  </si>
  <si>
    <t>V1924</t>
  </si>
  <si>
    <t>V1925</t>
  </si>
  <si>
    <t>V1926</t>
  </si>
  <si>
    <t>V1927</t>
  </si>
  <si>
    <t>V1928</t>
  </si>
  <si>
    <t>V1929</t>
  </si>
  <si>
    <t>V1930</t>
  </si>
  <si>
    <t>V1931</t>
  </si>
  <si>
    <t>V1932</t>
  </si>
  <si>
    <t>V1933</t>
  </si>
  <si>
    <t>V1934</t>
  </si>
  <si>
    <t>V1935</t>
  </si>
  <si>
    <t>V1936</t>
  </si>
  <si>
    <t>V1937</t>
  </si>
  <si>
    <t>V1938</t>
  </si>
  <si>
    <t>V1939</t>
  </si>
  <si>
    <t>V1940</t>
  </si>
  <si>
    <t>V1941</t>
  </si>
  <si>
    <t>V1942</t>
  </si>
  <si>
    <t>V1943</t>
  </si>
  <si>
    <t>V1944</t>
  </si>
  <si>
    <t>V1945</t>
  </si>
  <si>
    <t>V1946</t>
  </si>
  <si>
    <t>V1947</t>
  </si>
  <si>
    <t>V1948</t>
  </si>
  <si>
    <t>V1949</t>
  </si>
  <si>
    <t>V1950</t>
  </si>
  <si>
    <t>V1951</t>
  </si>
  <si>
    <t>V1952</t>
  </si>
  <si>
    <t>V1953</t>
  </si>
  <si>
    <t>V1954</t>
  </si>
  <si>
    <t>V1955</t>
  </si>
  <si>
    <t>V1956</t>
  </si>
  <si>
    <t>V1957</t>
  </si>
  <si>
    <t>V1958</t>
  </si>
  <si>
    <t>V1959</t>
  </si>
  <si>
    <t>V1960</t>
  </si>
  <si>
    <t>V1961</t>
  </si>
  <si>
    <t>V1962</t>
  </si>
  <si>
    <t>V1963</t>
  </si>
  <si>
    <t>V1964</t>
  </si>
  <si>
    <t>V1965</t>
  </si>
  <si>
    <t>V1966</t>
  </si>
  <si>
    <t>V1967</t>
  </si>
  <si>
    <t>V1968</t>
  </si>
  <si>
    <t>V1969</t>
  </si>
  <si>
    <t>V1970</t>
  </si>
  <si>
    <t>V1971</t>
  </si>
  <si>
    <t>V1972</t>
  </si>
  <si>
    <t>V1973</t>
  </si>
  <si>
    <t>V1974</t>
  </si>
  <si>
    <t>V1975</t>
  </si>
  <si>
    <t>V1976</t>
  </si>
  <si>
    <t>V1977</t>
  </si>
  <si>
    <t>V1978</t>
  </si>
  <si>
    <t>V1979</t>
  </si>
  <si>
    <t>V1980</t>
  </si>
  <si>
    <t>V1981</t>
  </si>
  <si>
    <t>V1982</t>
  </si>
  <si>
    <t>V1983</t>
  </si>
  <si>
    <t>V1984</t>
  </si>
  <si>
    <t>V1985</t>
  </si>
  <si>
    <t>V1986</t>
  </si>
  <si>
    <t>V1987</t>
  </si>
  <si>
    <t>V1988</t>
  </si>
  <si>
    <t>V1989</t>
  </si>
  <si>
    <t>V1990</t>
  </si>
  <si>
    <t>V1991</t>
  </si>
  <si>
    <t>V1992</t>
  </si>
  <si>
    <t>V1993</t>
  </si>
  <si>
    <t>V1994</t>
  </si>
  <si>
    <t>V1995</t>
  </si>
  <si>
    <t>V1996</t>
  </si>
  <si>
    <t>V1997</t>
  </si>
  <si>
    <t>V1998</t>
  </si>
  <si>
    <t>V1999</t>
  </si>
  <si>
    <t>V2000</t>
  </si>
  <si>
    <t>V2001</t>
  </si>
  <si>
    <t>Row Labels</t>
  </si>
  <si>
    <t>Grand Total</t>
  </si>
  <si>
    <t>Sum of Fuel Consumed (MT)</t>
  </si>
  <si>
    <t>Sum of Fuel Cost (USD)</t>
  </si>
  <si>
    <t>Count of Ship ID</t>
  </si>
  <si>
    <t xml:space="preserve">Average of fuel efficiency </t>
  </si>
  <si>
    <t>average fuel efficiency</t>
  </si>
  <si>
    <t>Delay No</t>
  </si>
  <si>
    <r>
      <rPr>
        <sz val="12"/>
        <color theme="1"/>
        <rFont val="Calibri"/>
        <family val="2"/>
        <scheme val="minor"/>
      </rPr>
      <t xml:space="preserve"> </t>
    </r>
    <r>
      <rPr>
        <b/>
        <sz val="12"/>
        <color theme="1"/>
        <rFont val="Calibri"/>
        <family val="2"/>
        <scheme val="minor"/>
      </rPr>
      <t>KPI CALCULATIONS</t>
    </r>
  </si>
  <si>
    <t>pivot tables</t>
  </si>
  <si>
    <t>monthly fuel consumption</t>
  </si>
  <si>
    <t>fuel type _ wise consumption</t>
  </si>
  <si>
    <t>ship_wise cost consumption</t>
  </si>
  <si>
    <t>weather_ wise fuel consumption</t>
  </si>
  <si>
    <t>delay analysis</t>
  </si>
  <si>
    <t>fuel utilization</t>
  </si>
  <si>
    <t>bunker cost overview</t>
  </si>
  <si>
    <t xml:space="preserve">Total Ship Count </t>
  </si>
  <si>
    <t xml:space="preserve">Total Fuel Cost </t>
  </si>
  <si>
    <t>Total Fuel Consumption</t>
  </si>
  <si>
    <t>fleet strength</t>
  </si>
  <si>
    <t>fuel efficiency index</t>
  </si>
  <si>
    <t xml:space="preserve">Average Fuel Efficiency </t>
  </si>
  <si>
    <t>Delay monitoring</t>
  </si>
  <si>
    <t>Delay Yes</t>
  </si>
  <si>
    <t>Voyage operations</t>
  </si>
  <si>
    <t xml:space="preserve">total Voyage </t>
  </si>
  <si>
    <t xml:space="preserve">                                                                                                                     </t>
  </si>
  <si>
    <r>
      <t xml:space="preserve"> </t>
    </r>
    <r>
      <rPr>
        <b/>
        <i/>
        <sz val="16"/>
        <color theme="0"/>
        <rFont val="Calibri"/>
        <family val="2"/>
        <scheme val="minor"/>
      </rPr>
      <t xml:space="preserve">                    performance overview of marine fleet operation</t>
    </r>
  </si>
  <si>
    <t>w</t>
  </si>
  <si>
    <t>Yes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</si>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</sst>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4" x14ac:knownFonts="1">
    <font>
      <sz val="11"/>
      <color theme="1"/>
      <name val="Calibri"/>
      <family val="2"/>
      <scheme val="minor"/>
    </font>
    <font>
      <b/>
      <sz val="11"/>
      <color theme="3"/>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
      <b/>
      <sz val="28"/>
      <color theme="0"/>
      <name val="Calibri"/>
      <family val="2"/>
      <scheme val="minor"/>
    </font>
    <font>
      <b/>
      <sz val="20"/>
      <color theme="0"/>
      <name val="Algerian"/>
      <family val="5"/>
    </font>
    <font>
      <sz val="16"/>
      <color theme="1"/>
      <name val="Calibri"/>
      <family val="2"/>
      <scheme val="minor"/>
    </font>
    <font>
      <b/>
      <i/>
      <sz val="16"/>
      <color theme="0"/>
      <name val="Calibri"/>
      <family val="2"/>
      <scheme val="minor"/>
    </font>
    <font>
      <b/>
      <u/>
      <sz val="14"/>
      <color theme="3"/>
      <name val="Calibri"/>
      <family val="2"/>
      <scheme val="minor"/>
    </font>
    <font>
      <u/>
      <sz val="14"/>
      <color theme="1"/>
      <name val="Calibri"/>
      <family val="2"/>
      <scheme val="minor"/>
    </font>
    <font>
      <b/>
      <sz val="16"/>
      <color theme="3"/>
      <name val="Times New Roman"/>
      <family val="1"/>
    </font>
    <font>
      <b/>
      <sz val="18"/>
      <color rgb="FF00000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2"/>
        <bgColor indexed="64"/>
      </patternFill>
    </fill>
    <fill>
      <patternFill patternType="solid">
        <fgColor theme="6" tint="-0.249977111117893"/>
        <bgColor indexed="64"/>
      </patternFill>
    </fill>
    <fill>
      <patternFill patternType="solid">
        <fgColor theme="6" tint="-0.499984740745262"/>
        <bgColor indexed="64"/>
      </patternFill>
    </fill>
  </fills>
  <borders count="2">
    <border>
      <left/>
      <right/>
      <top/>
      <bottom/>
      <diagonal/>
    </border>
    <border>
      <left/>
      <right/>
      <top/>
      <bottom style="medium">
        <color theme="4" tint="0.39997558519241921"/>
      </bottom>
      <diagonal/>
    </border>
  </borders>
  <cellStyleXfs count="2">
    <xf numFmtId="0" fontId="0" fillId="0" borderId="0"/>
    <xf numFmtId="0" fontId="1" fillId="0" borderId="1"/>
  </cellStyleXfs>
  <cellXfs count="32">
    <xf numFmtId="0" fontId="0" fillId="0" borderId="0" xfId="0"/>
    <xf numFmtId="0" fontId="1" fillId="2" borderId="1" xfId="1" applyFill="1"/>
    <xf numFmtId="0" fontId="1" fillId="2" borderId="0" xfId="1" applyFill="1" applyBorder="1"/>
    <xf numFmtId="164" fontId="0" fillId="0" borderId="0" xfId="0" applyNumberFormat="1"/>
    <xf numFmtId="0" fontId="0" fillId="3" borderId="0" xfId="0" applyFill="1"/>
    <xf numFmtId="0" fontId="0" fillId="4" borderId="0" xfId="0" applyFill="1" applyAlignment="1">
      <alignment horizontal="left"/>
    </xf>
    <xf numFmtId="0" fontId="0" fillId="5" borderId="0" xfId="0" applyFill="1" applyAlignment="1">
      <alignment horizontal="left"/>
    </xf>
    <xf numFmtId="0" fontId="0" fillId="6" borderId="0" xfId="0" applyFill="1" applyAlignment="1">
      <alignment horizontal="left"/>
    </xf>
    <xf numFmtId="0" fontId="0" fillId="6" borderId="0" xfId="0" applyFill="1"/>
    <xf numFmtId="0" fontId="0" fillId="3" borderId="0" xfId="0" applyFill="1" applyAlignment="1">
      <alignment horizontal="left"/>
    </xf>
    <xf numFmtId="0" fontId="0" fillId="7" borderId="0" xfId="0" applyFill="1"/>
    <xf numFmtId="0" fontId="0" fillId="5" borderId="0" xfId="0" applyFill="1"/>
    <xf numFmtId="0" fontId="12" fillId="3" borderId="0" xfId="0" applyFont="1" applyFill="1" applyAlignment="1">
      <alignment horizontal="center"/>
    </xf>
    <xf numFmtId="0" fontId="8" fillId="3" borderId="0" xfId="0" applyFont="1" applyFill="1" applyAlignment="1">
      <alignment horizontal="center"/>
    </xf>
    <xf numFmtId="0" fontId="10" fillId="0" borderId="0" xfId="0" applyFont="1" applyAlignment="1">
      <alignment horizontal="center"/>
    </xf>
    <xf numFmtId="0" fontId="11" fillId="0" borderId="0" xfId="0" applyFont="1" applyAlignment="1">
      <alignment horizontal="center"/>
    </xf>
    <xf numFmtId="0" fontId="10" fillId="3" borderId="0" xfId="0" applyFont="1" applyFill="1" applyAlignment="1">
      <alignment horizontal="center"/>
    </xf>
    <xf numFmtId="0" fontId="11" fillId="3" borderId="0" xfId="0" applyFont="1" applyFill="1" applyAlignment="1">
      <alignment horizontal="center"/>
    </xf>
    <xf numFmtId="0" fontId="4" fillId="8" borderId="0" xfId="0" applyFont="1" applyFill="1" applyAlignment="1">
      <alignment horizontal="center"/>
    </xf>
    <xf numFmtId="0" fontId="0" fillId="8" borderId="0" xfId="0" applyFill="1" applyAlignment="1">
      <alignment horizontal="center"/>
    </xf>
    <xf numFmtId="0" fontId="2" fillId="6" borderId="0" xfId="0" applyFont="1" applyFill="1" applyAlignment="1">
      <alignment horizontal="center"/>
    </xf>
    <xf numFmtId="0" fontId="0" fillId="6" borderId="0" xfId="0" applyFill="1" applyAlignment="1">
      <alignment horizontal="center"/>
    </xf>
    <xf numFmtId="0" fontId="6" fillId="9" borderId="0" xfId="0" applyFont="1" applyFill="1" applyAlignment="1">
      <alignment horizontal="center"/>
    </xf>
    <xf numFmtId="0" fontId="0" fillId="9" borderId="0" xfId="0" applyFill="1"/>
    <xf numFmtId="0" fontId="3" fillId="9" borderId="0" xfId="0" applyFont="1" applyFill="1"/>
    <xf numFmtId="0" fontId="8" fillId="9" borderId="0" xfId="0" applyFont="1" applyFill="1"/>
    <xf numFmtId="0" fontId="7" fillId="9" borderId="0" xfId="0" applyFont="1" applyFill="1" applyAlignment="1">
      <alignment horizontal="center"/>
    </xf>
    <xf numFmtId="0" fontId="0" fillId="9" borderId="0" xfId="0" applyFill="1" applyAlignment="1">
      <alignment horizontal="center"/>
    </xf>
    <xf numFmtId="0" fontId="13" fillId="9" borderId="0" xfId="0" applyFont="1" applyFill="1"/>
    <xf numFmtId="0" fontId="0" fillId="5" borderId="0" xfId="0" applyNumberFormat="1" applyFill="1"/>
    <xf numFmtId="0" fontId="0" fillId="6" borderId="0" xfId="0" applyNumberFormat="1" applyFill="1"/>
    <xf numFmtId="0" fontId="0" fillId="4" borderId="0" xfId="0" applyNumberFormat="1" applyFill="1"/>
  </cellXfs>
  <cellStyles count="2">
    <cellStyle name="Heading 3" xfId="1" builtinId="18"/>
    <cellStyle name="Normal" xfId="0" builtinId="0"/>
  </cellStyles>
  <dxfs count="326">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4"/>
        </patternFill>
      </fill>
    </dxf>
    <dxf>
      <fill>
        <patternFill>
          <bgColor theme="4"/>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3" tint="0.79998168889431442"/>
        </patternFill>
      </fill>
    </dxf>
    <dxf>
      <fill>
        <patternFill>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4" tint="0.59999389629810485"/>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4"/>
        </patternFill>
      </fill>
    </dxf>
    <dxf>
      <fill>
        <patternFill>
          <bgColor theme="4"/>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3" tint="0.79998168889431442"/>
        </patternFill>
      </fill>
    </dxf>
    <dxf>
      <fill>
        <patternFill>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4" tint="0.59999389629810485"/>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4"/>
        </patternFill>
      </fill>
    </dxf>
    <dxf>
      <fill>
        <patternFill>
          <bgColor theme="4"/>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3" tint="0.79998168889431442"/>
        </patternFill>
      </fill>
    </dxf>
    <dxf>
      <fill>
        <patternFill>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4" tint="0.59999389629810485"/>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4"/>
        </patternFill>
      </fill>
    </dxf>
    <dxf>
      <fill>
        <patternFill>
          <bgColor theme="4"/>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3" tint="0.79998168889431442"/>
        </patternFill>
      </fill>
    </dxf>
    <dxf>
      <fill>
        <patternFill>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4" tint="0.59999389629810485"/>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4"/>
        </patternFill>
      </fill>
    </dxf>
    <dxf>
      <fill>
        <patternFill>
          <bgColor theme="4"/>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3" tint="0.79998168889431442"/>
        </patternFill>
      </fill>
    </dxf>
    <dxf>
      <fill>
        <patternFill>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4"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4"/>
        </patternFill>
      </fill>
    </dxf>
    <dxf>
      <fill>
        <patternFill>
          <bgColor theme="4"/>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4"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3" tint="0.79998168889431442"/>
        </patternFill>
      </fill>
    </dxf>
    <dxf>
      <fill>
        <patternFill>
          <bgColor theme="3" tint="0.7999816888943144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0" formatCode="General"/>
    </dxf>
    <dxf>
      <fill>
        <patternFill patternType="solid">
          <fgColor indexed="64"/>
          <bgColor theme="4" tint="0.39997558519241921"/>
        </patternFill>
      </fill>
    </dxf>
    <dxf>
      <numFmt numFmtId="0" formatCode="General"/>
    </dxf>
    <dxf>
      <fill>
        <patternFill patternType="solid">
          <fgColor indexed="64"/>
          <bgColor theme="4" tint="0.39997558519241921"/>
        </patternFill>
      </fill>
    </dxf>
    <dxf>
      <font>
        <b/>
        <sz val="11"/>
        <color theme="1"/>
      </font>
    </dxf>
    <dxf>
      <font>
        <b/>
        <i val="0"/>
        <sz val="12"/>
        <name val="Aptos"/>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5" tint="-0.24994659260841701"/>
        </patternFill>
      </fill>
    </dxf>
  </dxfs>
  <tableStyles count="4" defaultTableStyle="TableStyleMedium9" defaultPivotStyle="PivotStyleLight16">
    <tableStyle name="Slicer Style 1" pivot="0" table="0" count="1" xr9:uid="{26527885-5042-4F54-B83C-C684EBCB09C7}">
      <tableStyleElement type="headerRow" dxfId="325"/>
    </tableStyle>
    <tableStyle name="Slicer Style 2" pivot="0" table="0" count="0" xr9:uid="{71A01D53-D447-4BA1-8706-081CC8F7B2AD}"/>
    <tableStyle name="Slicer Style 3" pivot="0" table="0" count="0" xr9:uid="{B859B789-3046-4E14-B662-433549944AD9}"/>
    <tableStyle name="Timeline Style 1" pivot="0" table="0" count="8" xr9:uid="{8108B2CF-6D51-47C0-83F6-A00F2AB54F7C}">
      <tableStyleElement type="wholeTable" dxfId="324"/>
      <tableStyleElement type="headerRow" dxfId="323"/>
    </tableStyle>
  </tableStyles>
  <colors>
    <mruColors>
      <color rgb="FFC55E5B"/>
      <color rgb="FF9E3A38"/>
      <color rgb="FFB0413E"/>
      <color rgb="FFA13B39"/>
      <color rgb="FFC86664"/>
      <color rgb="FFE1AAA9"/>
      <color rgb="FF8CB6D8"/>
      <color rgb="FF3B79AD"/>
      <color rgb="FF5A8E7D"/>
      <color rgb="FF84922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[marine fuel consumption project.xlsx]PivotTables!fueltype consumption</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tx2">
              <a:lumMod val="5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tx2">
              <a:lumMod val="75000"/>
            </a:schemeClr>
          </a:solidFill>
          <a:ln>
            <a:noFill/>
          </a:ln>
          <a:effectLst>
            <a:outerShdw blurRad="254000" sx="102000" sy="102000" algn="ctr" rotWithShape="0">
              <a:prstClr val="black">
                <a:alpha val="20000"/>
              </a:prstClr>
            </a:outerShdw>
          </a:effectLst>
        </c:spPr>
      </c:pivotFmt>
      <c:pivotFmt>
        <c:idx val="9"/>
        <c:spPr>
          <a:solidFill>
            <a:schemeClr val="tx2">
              <a:lumMod val="50000"/>
            </a:schemeClr>
          </a:solidFill>
          <a:ln>
            <a:noFill/>
          </a:ln>
          <a:effectLst>
            <a:outerShdw blurRad="254000" sx="102000" sy="102000" algn="ctr" rotWithShape="0">
              <a:prstClr val="black">
                <a:alpha val="20000"/>
              </a:prstClr>
            </a:outerShdw>
          </a:effectLst>
        </c:spPr>
      </c:pivotFmt>
      <c:pivotFmt>
        <c:idx val="10"/>
        <c:spPr>
          <a:solidFill>
            <a:schemeClr val="tx2">
              <a:lumMod val="20000"/>
              <a:lumOff val="8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297292871852069"/>
          <c:y val="0.11115213157033557"/>
          <c:w val="0.37590577925940116"/>
          <c:h val="0.79908746784358931"/>
        </c:manualLayout>
      </c:layout>
      <c:barChart>
        <c:barDir val="col"/>
        <c:grouping val="percentStacked"/>
        <c:varyColors val="0"/>
        <c:ser>
          <c:idx val="0"/>
          <c:order val="0"/>
          <c:tx>
            <c:strRef>
              <c:f>PivotTables!$F$6</c:f>
              <c:strCache>
                <c:ptCount val="1"/>
                <c:pt idx="0">
                  <c:v>Total</c:v>
                </c:pt>
              </c:strCache>
            </c:strRef>
          </c:tx>
          <c:spPr>
            <a:solidFill>
              <a:schemeClr val="tx2">
                <a:lumMod val="50000"/>
              </a:schemeClr>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tx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CE-490D-8BCC-B1B3904C2656}"/>
              </c:ext>
            </c:extLst>
          </c:dPt>
          <c:dPt>
            <c:idx val="1"/>
            <c:invertIfNegative val="0"/>
            <c:bubble3D val="0"/>
            <c:extLst>
              <c:ext xmlns:c16="http://schemas.microsoft.com/office/drawing/2014/chart" uri="{C3380CC4-5D6E-409C-BE32-E72D297353CC}">
                <c16:uniqueId val="{00000003-B0CE-490D-8BCC-B1B3904C2656}"/>
              </c:ext>
            </c:extLst>
          </c:dPt>
          <c:dPt>
            <c:idx val="2"/>
            <c:invertIfNegative val="0"/>
            <c:bubble3D val="0"/>
            <c:extLst>
              <c:ext xmlns:c16="http://schemas.microsoft.com/office/drawing/2014/chart" uri="{C3380CC4-5D6E-409C-BE32-E72D297353CC}">
                <c16:uniqueId val="{00000005-B0CE-490D-8BCC-B1B3904C2656}"/>
              </c:ext>
            </c:extLst>
          </c:dPt>
          <c:dPt>
            <c:idx val="3"/>
            <c:invertIfNegative val="0"/>
            <c:bubble3D val="0"/>
            <c:extLst>
              <c:ext xmlns:c16="http://schemas.microsoft.com/office/drawing/2014/chart" uri="{C3380CC4-5D6E-409C-BE32-E72D297353CC}">
                <c16:uniqueId val="{00000007-B0CE-490D-8BCC-B1B3904C26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PivotTables!$E$7:$E$8</c:f>
              <c:strCache>
                <c:ptCount val="1"/>
                <c:pt idx="0">
                  <c:v>MGO</c:v>
                </c:pt>
              </c:strCache>
            </c:strRef>
          </c:cat>
          <c:val>
            <c:numRef>
              <c:f>PivotTables!$F$7:$F$8</c:f>
              <c:numCache>
                <c:formatCode>General</c:formatCode>
                <c:ptCount val="1"/>
                <c:pt idx="0">
                  <c:v>12131.899999999992</c:v>
                </c:pt>
              </c:numCache>
            </c:numRef>
          </c:val>
          <c:extLst>
            <c:ext xmlns:c16="http://schemas.microsoft.com/office/drawing/2014/chart" uri="{C3380CC4-5D6E-409C-BE32-E72D297353CC}">
              <c16:uniqueId val="{00000008-B0CE-490D-8BCC-B1B3904C2656}"/>
            </c:ext>
          </c:extLst>
        </c:ser>
        <c:dLbls>
          <c:showLegendKey val="0"/>
          <c:showVal val="0"/>
          <c:showCatName val="0"/>
          <c:showSerName val="0"/>
          <c:showPercent val="0"/>
          <c:showBubbleSize val="0"/>
        </c:dLbls>
        <c:gapWidth val="100"/>
        <c:overlap val="100"/>
        <c:axId val="2063812592"/>
        <c:axId val="2068393456"/>
      </c:barChart>
      <c:valAx>
        <c:axId val="206839345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3812592"/>
        <c:crosses val="autoZero"/>
        <c:crossBetween val="between"/>
      </c:valAx>
      <c:catAx>
        <c:axId val="206381259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83934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[marine fuel consumption project.xlsx]PivotTables!monthly fuel</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82041468530835E-2"/>
          <c:y val="0.16400249622583501"/>
          <c:w val="0.74743937263672922"/>
          <c:h val="0.57936819775736204"/>
        </c:manualLayout>
      </c:layout>
      <c:areaChart>
        <c:grouping val="standard"/>
        <c:varyColors val="0"/>
        <c:ser>
          <c:idx val="0"/>
          <c:order val="0"/>
          <c:tx>
            <c:strRef>
              <c:f>PivotTables!$B$6</c:f>
              <c:strCache>
                <c:ptCount val="1"/>
                <c:pt idx="0">
                  <c:v>Total</c:v>
                </c:pt>
              </c:strCache>
            </c:strRef>
          </c:tx>
          <c:spPr>
            <a:solidFill>
              <a:schemeClr val="tx2">
                <a:lumMod val="50000"/>
              </a:schemeClr>
            </a:solidFill>
            <a:ln>
              <a:noFill/>
            </a:ln>
            <a:effectLst/>
          </c:spPr>
          <c:cat>
            <c:strRef>
              <c:f>PivotTables!$A$7:$A$19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PivotTables!$B$7:$B$19</c:f>
              <c:numCache>
                <c:formatCode>General</c:formatCode>
                <c:ptCount val="12"/>
                <c:pt idx="0">
                  <c:v>703.99999999999989</c:v>
                </c:pt>
                <c:pt idx="1">
                  <c:v>642.4</c:v>
                </c:pt>
                <c:pt idx="2">
                  <c:v>375.90000000000003</c:v>
                </c:pt>
                <c:pt idx="3">
                  <c:v>690.7</c:v>
                </c:pt>
                <c:pt idx="4">
                  <c:v>522.9</c:v>
                </c:pt>
                <c:pt idx="5">
                  <c:v>436.5</c:v>
                </c:pt>
                <c:pt idx="6">
                  <c:v>444.09999999999997</c:v>
                </c:pt>
                <c:pt idx="7">
                  <c:v>419.49999999999994</c:v>
                </c:pt>
                <c:pt idx="8">
                  <c:v>501.70000000000005</c:v>
                </c:pt>
                <c:pt idx="9">
                  <c:v>667.90000000000009</c:v>
                </c:pt>
                <c:pt idx="10">
                  <c:v>362.80000000000007</c:v>
                </c:pt>
                <c:pt idx="11">
                  <c:v>650.40000000000009</c:v>
                </c:pt>
              </c:numCache>
            </c:numRef>
          </c:val>
          <c:extLst>
            <c:ext xmlns:c16="http://schemas.microsoft.com/office/drawing/2014/chart" uri="{C3380CC4-5D6E-409C-BE32-E72D297353CC}">
              <c16:uniqueId val="{00000000-A2C8-4589-B67A-84A95D933DBE}"/>
            </c:ext>
          </c:extLst>
        </c:ser>
        <c:dLbls>
          <c:showLegendKey val="0"/>
          <c:showVal val="0"/>
          <c:showCatName val="0"/>
          <c:showSerName val="0"/>
          <c:showPercent val="0"/>
          <c:showBubbleSize val="0"/>
        </c:dLbls>
        <c:axId val="1836133775"/>
        <c:axId val="1735964911"/>
      </c:areaChart>
      <c:catAx>
        <c:axId val="1836133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64911"/>
        <c:crosses val="autoZero"/>
        <c:auto val="1"/>
        <c:lblAlgn val="ctr"/>
        <c:lblOffset val="100"/>
        <c:noMultiLvlLbl val="0"/>
      </c:catAx>
      <c:valAx>
        <c:axId val="1735964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133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[marine fuel consumption project.xlsx]PivotTables!ship wise cost</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61782105755346"/>
          <c:y val="0.16395370761095002"/>
          <c:w val="0.43349616020219695"/>
          <c:h val="0.69274934383202103"/>
        </c:manualLayout>
      </c:layout>
      <c:barChart>
        <c:barDir val="bar"/>
        <c:grouping val="clustered"/>
        <c:varyColors val="0"/>
        <c:ser>
          <c:idx val="0"/>
          <c:order val="0"/>
          <c:tx>
            <c:strRef>
              <c:f>PivotTables!$J$6</c:f>
              <c:strCache>
                <c:ptCount val="1"/>
                <c:pt idx="0">
                  <c:v>Total</c:v>
                </c:pt>
              </c:strCache>
            </c:strRef>
          </c:tx>
          <c:spPr>
            <a:solidFill>
              <a:schemeClr val="tx2">
                <a:lumMod val="75000"/>
              </a:schemeClr>
            </a:solidFill>
            <a:ln>
              <a:noFill/>
            </a:ln>
            <a:effectLst/>
          </c:spPr>
          <c:invertIfNegative val="0"/>
          <c:cat>
            <c:strRef>
              <c:f>PivotTables!$I$7:$I$8</c:f>
              <c:strCache>
                <c:ptCount val="1"/>
                <c:pt idx="0">
                  <c:v>Sea Queen</c:v>
                </c:pt>
              </c:strCache>
            </c:strRef>
          </c:cat>
          <c:val>
            <c:numRef>
              <c:f>PivotTables!$J$7:$J$8</c:f>
              <c:numCache>
                <c:formatCode>General</c:formatCode>
                <c:ptCount val="1"/>
                <c:pt idx="0">
                  <c:v>3681124.3600000008</c:v>
                </c:pt>
              </c:numCache>
            </c:numRef>
          </c:val>
          <c:extLst>
            <c:ext xmlns:c16="http://schemas.microsoft.com/office/drawing/2014/chart" uri="{C3380CC4-5D6E-409C-BE32-E72D297353CC}">
              <c16:uniqueId val="{00000000-EB8F-49FE-BB07-CC52CCAB8950}"/>
            </c:ext>
          </c:extLst>
        </c:ser>
        <c:dLbls>
          <c:showLegendKey val="0"/>
          <c:showVal val="0"/>
          <c:showCatName val="0"/>
          <c:showSerName val="0"/>
          <c:showPercent val="0"/>
          <c:showBubbleSize val="0"/>
        </c:dLbls>
        <c:gapWidth val="182"/>
        <c:axId val="1740617279"/>
        <c:axId val="1635913167"/>
      </c:barChart>
      <c:catAx>
        <c:axId val="1740617279"/>
        <c:scaling>
          <c:orientation val="minMax"/>
        </c:scaling>
        <c:delete val="0"/>
        <c:axPos val="l"/>
        <c:numFmt formatCode="General" sourceLinked="1"/>
        <c:majorTickMark val="none"/>
        <c:minorTickMark val="none"/>
        <c:tickLblPos val="nextTo"/>
        <c:spPr>
          <a:noFill/>
          <a:ln w="9525" cap="flat" cmpd="sng" algn="ctr">
            <a:solidFill>
              <a:schemeClr val="tx2">
                <a:lumMod val="50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35913167"/>
        <c:crosses val="autoZero"/>
        <c:auto val="1"/>
        <c:lblAlgn val="ctr"/>
        <c:lblOffset val="100"/>
        <c:noMultiLvlLbl val="0"/>
      </c:catAx>
      <c:valAx>
        <c:axId val="1635913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61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[marine fuel consumption project.xlsx]PivotTables!weather wise fuel</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6459534761301"/>
          <c:y val="0.23614214094325575"/>
          <c:w val="0.74120991434712635"/>
          <c:h val="0.5801609583638111"/>
        </c:manualLayout>
      </c:layout>
      <c:barChart>
        <c:barDir val="col"/>
        <c:grouping val="stacked"/>
        <c:varyColors val="0"/>
        <c:ser>
          <c:idx val="0"/>
          <c:order val="0"/>
          <c:tx>
            <c:strRef>
              <c:f>PivotTables!$B$23</c:f>
              <c:strCache>
                <c:ptCount val="1"/>
                <c:pt idx="0">
                  <c:v>Total</c:v>
                </c:pt>
              </c:strCache>
            </c:strRef>
          </c:tx>
          <c:spPr>
            <a:solidFill>
              <a:srgbClr val="002060"/>
            </a:solidFill>
            <a:ln>
              <a:noFill/>
            </a:ln>
            <a:effectLst/>
          </c:spPr>
          <c:invertIfNegative val="0"/>
          <c:cat>
            <c:strRef>
              <c:f>PivotTables!$A$24:$A$25</c:f>
              <c:strCache>
                <c:ptCount val="1"/>
                <c:pt idx="0">
                  <c:v>Rain</c:v>
                </c:pt>
              </c:strCache>
            </c:strRef>
          </c:cat>
          <c:val>
            <c:numRef>
              <c:f>PivotTables!$B$24:$B$25</c:f>
              <c:numCache>
                <c:formatCode>General</c:formatCode>
                <c:ptCount val="1"/>
                <c:pt idx="0">
                  <c:v>1659.1999999999998</c:v>
                </c:pt>
              </c:numCache>
            </c:numRef>
          </c:val>
          <c:extLst>
            <c:ext xmlns:c16="http://schemas.microsoft.com/office/drawing/2014/chart" uri="{C3380CC4-5D6E-409C-BE32-E72D297353CC}">
              <c16:uniqueId val="{00000000-0FC1-4545-9A59-17FA12C83ECE}"/>
            </c:ext>
          </c:extLst>
        </c:ser>
        <c:dLbls>
          <c:showLegendKey val="0"/>
          <c:showVal val="0"/>
          <c:showCatName val="0"/>
          <c:showSerName val="0"/>
          <c:showPercent val="0"/>
          <c:showBubbleSize val="0"/>
        </c:dLbls>
        <c:gapWidth val="150"/>
        <c:overlap val="100"/>
        <c:axId val="1740326527"/>
        <c:axId val="1635879567"/>
      </c:barChart>
      <c:catAx>
        <c:axId val="17403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879567"/>
        <c:crosses val="autoZero"/>
        <c:auto val="1"/>
        <c:lblAlgn val="ctr"/>
        <c:lblOffset val="100"/>
        <c:noMultiLvlLbl val="0"/>
      </c:catAx>
      <c:valAx>
        <c:axId val="163587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3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[marine fuel consumption project.xlsx]PivotTables!delay analysis</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tx2">
              <a:lumMod val="60000"/>
              <a:lumOff val="40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8039884932078962"/>
          <c:y val="4.5517619723764037E-2"/>
          <c:w val="0.50765251270760048"/>
          <c:h val="0.75282582311477275"/>
        </c:manualLayout>
      </c:layout>
      <c:doughnutChart>
        <c:varyColors val="1"/>
        <c:ser>
          <c:idx val="0"/>
          <c:order val="0"/>
          <c:tx>
            <c:strRef>
              <c:f>PivotTables!$F$23</c:f>
              <c:strCache>
                <c:ptCount val="1"/>
                <c:pt idx="0">
                  <c:v>Total</c:v>
                </c:pt>
              </c:strCache>
            </c:strRef>
          </c:tx>
          <c:spPr>
            <a:solidFill>
              <a:schemeClr val="tx2">
                <a:lumMod val="60000"/>
                <a:lumOff val="40000"/>
              </a:schemeClr>
            </a:solidFill>
          </c:spPr>
          <c:dPt>
            <c:idx val="0"/>
            <c:bubble3D val="0"/>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FA-4F5D-A302-6B652C1BBBEC}"/>
              </c:ext>
            </c:extLst>
          </c:dPt>
          <c:dPt>
            <c:idx val="1"/>
            <c:bubble3D val="0"/>
            <c:spPr>
              <a:solidFill>
                <a:schemeClr val="tx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FA-4F5D-A302-6B652C1BBB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PivotTables!$E$24:$E$25</c:f>
              <c:strCache>
                <c:ptCount val="1"/>
                <c:pt idx="0">
                  <c:v>Yes</c:v>
                </c:pt>
              </c:strCache>
            </c:strRef>
          </c:cat>
          <c:val>
            <c:numRef>
              <c:f>PivotTables!$F$24:$F$25</c:f>
              <c:numCache>
                <c:formatCode>General</c:formatCode>
                <c:ptCount val="1"/>
                <c:pt idx="0">
                  <c:v>97</c:v>
                </c:pt>
              </c:numCache>
            </c:numRef>
          </c:val>
          <c:extLst>
            <c:ext xmlns:c16="http://schemas.microsoft.com/office/drawing/2014/chart" uri="{C3380CC4-5D6E-409C-BE32-E72D297353CC}">
              <c16:uniqueId val="{00000004-B5FA-4F5D-A302-6B652C1BBBEC}"/>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r"/>
      <c:layout>
        <c:manualLayout>
          <c:xMode val="edge"/>
          <c:yMode val="edge"/>
          <c:x val="0.75450159136486539"/>
          <c:y val="0.58495896260918201"/>
          <c:w val="0.13102267633784839"/>
          <c:h val="0.23224243241462011"/>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[marine fuel consumption project.xlsx]PivotTables!average fuel</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tx2">
              <a:lumMod val="75000"/>
            </a:schemeClr>
          </a:solidFill>
          <a:ln>
            <a:noFill/>
          </a:ln>
          <a:effectLst/>
        </c:spPr>
      </c:pivotFmt>
    </c:pivotFmts>
    <c:plotArea>
      <c:layout>
        <c:manualLayout>
          <c:layoutTarget val="inner"/>
          <c:xMode val="edge"/>
          <c:yMode val="edge"/>
          <c:x val="0.35952312159539729"/>
          <c:y val="0.20366306670682557"/>
          <c:w val="0.45910201296854353"/>
          <c:h val="0.69274934383202103"/>
        </c:manualLayout>
      </c:layout>
      <c:barChart>
        <c:barDir val="bar"/>
        <c:grouping val="clustered"/>
        <c:varyColors val="0"/>
        <c:ser>
          <c:idx val="0"/>
          <c:order val="0"/>
          <c:tx>
            <c:strRef>
              <c:f>PivotTables!$J$23</c:f>
              <c:strCache>
                <c:ptCount val="1"/>
                <c:pt idx="0">
                  <c:v>Total</c:v>
                </c:pt>
              </c:strCache>
            </c:strRef>
          </c:tx>
          <c:spPr>
            <a:solidFill>
              <a:schemeClr val="tx2">
                <a:lumMod val="75000"/>
              </a:schemeClr>
            </a:solidFill>
            <a:ln>
              <a:noFill/>
            </a:ln>
            <a:effectLst/>
          </c:spPr>
          <c:invertIfNegative val="0"/>
          <c:dPt>
            <c:idx val="0"/>
            <c:invertIfNegative val="0"/>
            <c:bubble3D val="0"/>
            <c:extLst>
              <c:ext xmlns:c16="http://schemas.microsoft.com/office/drawing/2014/chart" uri="{C3380CC4-5D6E-409C-BE32-E72D297353CC}">
                <c16:uniqueId val="{00000001-5E98-4DC9-ABC9-CAD9E54782CA}"/>
              </c:ext>
            </c:extLst>
          </c:dPt>
          <c:dPt>
            <c:idx val="1"/>
            <c:invertIfNegative val="0"/>
            <c:bubble3D val="0"/>
            <c:extLst>
              <c:ext xmlns:c16="http://schemas.microsoft.com/office/drawing/2014/chart" uri="{C3380CC4-5D6E-409C-BE32-E72D297353CC}">
                <c16:uniqueId val="{00000003-5E98-4DC9-ABC9-CAD9E54782CA}"/>
              </c:ext>
            </c:extLst>
          </c:dPt>
          <c:dPt>
            <c:idx val="2"/>
            <c:invertIfNegative val="0"/>
            <c:bubble3D val="0"/>
            <c:extLst>
              <c:ext xmlns:c16="http://schemas.microsoft.com/office/drawing/2014/chart" uri="{C3380CC4-5D6E-409C-BE32-E72D297353CC}">
                <c16:uniqueId val="{00000005-5E98-4DC9-ABC9-CAD9E54782CA}"/>
              </c:ext>
            </c:extLst>
          </c:dPt>
          <c:dPt>
            <c:idx val="3"/>
            <c:invertIfNegative val="0"/>
            <c:bubble3D val="0"/>
            <c:extLst>
              <c:ext xmlns:c16="http://schemas.microsoft.com/office/drawing/2014/chart" uri="{C3380CC4-5D6E-409C-BE32-E72D297353CC}">
                <c16:uniqueId val="{00000007-5E98-4DC9-ABC9-CAD9E54782CA}"/>
              </c:ext>
            </c:extLst>
          </c:dPt>
          <c:dPt>
            <c:idx val="4"/>
            <c:invertIfNegative val="0"/>
            <c:bubble3D val="0"/>
            <c:extLst>
              <c:ext xmlns:c16="http://schemas.microsoft.com/office/drawing/2014/chart" uri="{C3380CC4-5D6E-409C-BE32-E72D297353CC}">
                <c16:uniqueId val="{00000009-5E98-4DC9-ABC9-CAD9E54782CA}"/>
              </c:ext>
            </c:extLst>
          </c:dPt>
          <c:dPt>
            <c:idx val="5"/>
            <c:invertIfNegative val="0"/>
            <c:bubble3D val="0"/>
            <c:extLst>
              <c:ext xmlns:c16="http://schemas.microsoft.com/office/drawing/2014/chart" uri="{C3380CC4-5D6E-409C-BE32-E72D297353CC}">
                <c16:uniqueId val="{0000000B-5E98-4DC9-ABC9-CAD9E54782CA}"/>
              </c:ext>
            </c:extLst>
          </c:dPt>
          <c:dPt>
            <c:idx val="6"/>
            <c:invertIfNegative val="0"/>
            <c:bubble3D val="0"/>
            <c:extLst>
              <c:ext xmlns:c16="http://schemas.microsoft.com/office/drawing/2014/chart" uri="{C3380CC4-5D6E-409C-BE32-E72D297353CC}">
                <c16:uniqueId val="{0000000D-5E98-4DC9-ABC9-CAD9E54782CA}"/>
              </c:ext>
            </c:extLst>
          </c:dPt>
          <c:dPt>
            <c:idx val="7"/>
            <c:invertIfNegative val="0"/>
            <c:bubble3D val="0"/>
            <c:extLst>
              <c:ext xmlns:c16="http://schemas.microsoft.com/office/drawing/2014/chart" uri="{C3380CC4-5D6E-409C-BE32-E72D297353CC}">
                <c16:uniqueId val="{0000000F-5E98-4DC9-ABC9-CAD9E54782CA}"/>
              </c:ext>
            </c:extLst>
          </c:dPt>
          <c:cat>
            <c:strRef>
              <c:f>PivotTables!$I$24:$I$25</c:f>
              <c:strCache>
                <c:ptCount val="1"/>
                <c:pt idx="0">
                  <c:v>Sea Queen</c:v>
                </c:pt>
              </c:strCache>
            </c:strRef>
          </c:cat>
          <c:val>
            <c:numRef>
              <c:f>PivotTables!$J$24:$J$25</c:f>
              <c:numCache>
                <c:formatCode>General</c:formatCode>
                <c:ptCount val="1"/>
                <c:pt idx="0">
                  <c:v>68.518640000000019</c:v>
                </c:pt>
              </c:numCache>
            </c:numRef>
          </c:val>
          <c:extLst>
            <c:ext xmlns:c16="http://schemas.microsoft.com/office/drawing/2014/chart" uri="{C3380CC4-5D6E-409C-BE32-E72D297353CC}">
              <c16:uniqueId val="{00000010-5E98-4DC9-ABC9-CAD9E54782CA}"/>
            </c:ext>
          </c:extLst>
        </c:ser>
        <c:dLbls>
          <c:showLegendKey val="0"/>
          <c:showVal val="0"/>
          <c:showCatName val="0"/>
          <c:showSerName val="0"/>
          <c:showPercent val="0"/>
          <c:showBubbleSize val="0"/>
        </c:dLbls>
        <c:gapWidth val="247"/>
        <c:axId val="1197181856"/>
        <c:axId val="1097754096"/>
      </c:barChart>
      <c:valAx>
        <c:axId val="109775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97181856"/>
        <c:crosses val="autoZero"/>
        <c:crossBetween val="between"/>
      </c:valAx>
      <c:catAx>
        <c:axId val="1197181856"/>
        <c:scaling>
          <c:orientation val="minMax"/>
        </c:scaling>
        <c:delete val="0"/>
        <c:axPos val="l"/>
        <c:numFmt formatCode="General" sourceLinked="1"/>
        <c:majorTickMark val="out"/>
        <c:minorTickMark val="none"/>
        <c:tickLblPos val="nextTo"/>
        <c:spPr>
          <a:noFill/>
          <a:ln w="9525" cap="flat" cmpd="sng" algn="ctr">
            <a:solidFill>
              <a:schemeClr val="tx2">
                <a:lumMod val="50000"/>
              </a:schemeClr>
            </a:solidFill>
            <a:round/>
          </a:ln>
          <a:effectLst/>
        </c:spPr>
        <c:txPr>
          <a:bodyPr rot="-60000000" spcFirstLastPara="1" vertOverflow="ellipsis" vert="horz" wrap="square" anchor="ctr" anchorCtr="1"/>
          <a:lstStyle/>
          <a:p>
            <a:pPr>
              <a:defRPr sz="1400" b="1" i="0" u="none" strike="noStrike" kern="1200" cap="none" spc="0" normalizeH="0" baseline="0">
                <a:solidFill>
                  <a:schemeClr val="dk1">
                    <a:lumMod val="65000"/>
                    <a:lumOff val="35000"/>
                  </a:schemeClr>
                </a:solidFill>
                <a:latin typeface="+mn-lt"/>
                <a:ea typeface="+mn-ea"/>
                <a:cs typeface="+mn-cs"/>
              </a:defRPr>
            </a:pPr>
            <a:endParaRPr lang="en-US"/>
          </a:p>
        </c:txPr>
        <c:crossAx val="1097754096"/>
        <c:crosses val="autoZero"/>
        <c:auto val="1"/>
        <c:lblAlgn val="ctr"/>
        <c:lblOffset val="100"/>
        <c:noMultiLvlLbl val="0"/>
      </c:catAx>
      <c:spPr>
        <a:noFill/>
        <a:ln>
          <a:solidFill>
            <a:schemeClr val="tx2">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18" Type="http://schemas.openxmlformats.org/officeDocument/2006/relationships/image" Target="../media/image12.svg"/><Relationship Id="rId26" Type="http://schemas.microsoft.com/office/2007/relationships/hdphoto" Target="../media/hdphoto2.wdp"/><Relationship Id="rId3" Type="http://schemas.openxmlformats.org/officeDocument/2006/relationships/image" Target="../media/image2.svg"/><Relationship Id="rId21" Type="http://schemas.openxmlformats.org/officeDocument/2006/relationships/image" Target="../media/image15.png"/><Relationship Id="rId7" Type="http://schemas.openxmlformats.org/officeDocument/2006/relationships/chart" Target="../charts/chart3.xml"/><Relationship Id="rId12" Type="http://schemas.openxmlformats.org/officeDocument/2006/relationships/image" Target="../media/image8.svg"/><Relationship Id="rId17" Type="http://schemas.openxmlformats.org/officeDocument/2006/relationships/image" Target="../media/image11.png"/><Relationship Id="rId25" Type="http://schemas.openxmlformats.org/officeDocument/2006/relationships/image" Target="../media/image18.png"/><Relationship Id="rId2" Type="http://schemas.openxmlformats.org/officeDocument/2006/relationships/image" Target="../media/image1.png"/><Relationship Id="rId16" Type="http://schemas.openxmlformats.org/officeDocument/2006/relationships/chart" Target="../charts/chart6.xml"/><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7.png"/><Relationship Id="rId24" Type="http://schemas.microsoft.com/office/2007/relationships/hdphoto" Target="../media/hdphoto1.wdp"/><Relationship Id="rId5" Type="http://schemas.openxmlformats.org/officeDocument/2006/relationships/image" Target="../media/image3.png"/><Relationship Id="rId15" Type="http://schemas.openxmlformats.org/officeDocument/2006/relationships/image" Target="../media/image10.svg"/><Relationship Id="rId23" Type="http://schemas.openxmlformats.org/officeDocument/2006/relationships/image" Target="../media/image17.png"/><Relationship Id="rId10" Type="http://schemas.openxmlformats.org/officeDocument/2006/relationships/chart" Target="../charts/chart4.xml"/><Relationship Id="rId19" Type="http://schemas.openxmlformats.org/officeDocument/2006/relationships/image" Target="../media/image13.png"/><Relationship Id="rId4" Type="http://schemas.openxmlformats.org/officeDocument/2006/relationships/chart" Target="../charts/chart2.xml"/><Relationship Id="rId9" Type="http://schemas.openxmlformats.org/officeDocument/2006/relationships/image" Target="../media/image6.svg"/><Relationship Id="rId14" Type="http://schemas.openxmlformats.org/officeDocument/2006/relationships/image" Target="../media/image9.pn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6</xdr:col>
      <xdr:colOff>607943</xdr:colOff>
      <xdr:row>3</xdr:row>
      <xdr:rowOff>170764</xdr:rowOff>
    </xdr:from>
    <xdr:to>
      <xdr:col>54</xdr:col>
      <xdr:colOff>420087</xdr:colOff>
      <xdr:row>65</xdr:row>
      <xdr:rowOff>96194</xdr:rowOff>
    </xdr:to>
    <xdr:grpSp>
      <xdr:nvGrpSpPr>
        <xdr:cNvPr id="14" name="Group 13">
          <a:extLst>
            <a:ext uri="{FF2B5EF4-FFF2-40B4-BE49-F238E27FC236}">
              <a16:creationId xmlns:a16="http://schemas.microsoft.com/office/drawing/2014/main" id="{CB887FE7-A04B-8D4C-FAAB-ACD5CF2FDFCE}"/>
            </a:ext>
          </a:extLst>
        </xdr:cNvPr>
        <xdr:cNvGrpSpPr/>
      </xdr:nvGrpSpPr>
      <xdr:grpSpPr>
        <a:xfrm>
          <a:off x="4295040" y="764796"/>
          <a:ext cx="29308918" cy="11724140"/>
          <a:chOff x="6162692" y="0"/>
          <a:chExt cx="24477191" cy="10554138"/>
        </a:xfrm>
      </xdr:grpSpPr>
      <xdr:grpSp>
        <xdr:nvGrpSpPr>
          <xdr:cNvPr id="5" name="Group 4">
            <a:extLst>
              <a:ext uri="{FF2B5EF4-FFF2-40B4-BE49-F238E27FC236}">
                <a16:creationId xmlns:a16="http://schemas.microsoft.com/office/drawing/2014/main" id="{8A022308-B78C-DA76-518A-85FE5E4C7ABE}"/>
              </a:ext>
            </a:extLst>
          </xdr:cNvPr>
          <xdr:cNvGrpSpPr/>
        </xdr:nvGrpSpPr>
        <xdr:grpSpPr>
          <a:xfrm>
            <a:off x="6162692" y="92396"/>
            <a:ext cx="24363188" cy="10461742"/>
            <a:chOff x="39688" y="-24623"/>
            <a:chExt cx="21368169" cy="10101047"/>
          </a:xfrm>
        </xdr:grpSpPr>
        <xdr:sp macro="" textlink="">
          <xdr:nvSpPr>
            <xdr:cNvPr id="63" name="TextBox 62">
              <a:extLst>
                <a:ext uri="{FF2B5EF4-FFF2-40B4-BE49-F238E27FC236}">
                  <a16:creationId xmlns:a16="http://schemas.microsoft.com/office/drawing/2014/main" id="{0BD51026-BCF8-204B-FFCC-9477BC0EC857}"/>
                </a:ext>
              </a:extLst>
            </xdr:cNvPr>
            <xdr:cNvSpPr txBox="1"/>
          </xdr:nvSpPr>
          <xdr:spPr>
            <a:xfrm>
              <a:off x="6981135" y="1494724"/>
              <a:ext cx="766947" cy="239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sp macro="" textlink="">
          <xdr:nvSpPr>
            <xdr:cNvPr id="5123" name="TextBox 5122">
              <a:extLst>
                <a:ext uri="{FF2B5EF4-FFF2-40B4-BE49-F238E27FC236}">
                  <a16:creationId xmlns:a16="http://schemas.microsoft.com/office/drawing/2014/main" id="{58DF87A9-72F7-9190-E549-3B94D1D3CD3C}"/>
                </a:ext>
              </a:extLst>
            </xdr:cNvPr>
            <xdr:cNvSpPr txBox="1"/>
          </xdr:nvSpPr>
          <xdr:spPr>
            <a:xfrm flipH="1">
              <a:off x="8351641" y="2179875"/>
              <a:ext cx="49481"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nvGrpSpPr>
            <xdr:cNvPr id="39" name="Group 38">
              <a:extLst>
                <a:ext uri="{FF2B5EF4-FFF2-40B4-BE49-F238E27FC236}">
                  <a16:creationId xmlns:a16="http://schemas.microsoft.com/office/drawing/2014/main" id="{832AD06C-4A39-5FCF-6CBC-FD60607C967D}"/>
                </a:ext>
              </a:extLst>
            </xdr:cNvPr>
            <xdr:cNvGrpSpPr/>
          </xdr:nvGrpSpPr>
          <xdr:grpSpPr>
            <a:xfrm>
              <a:off x="6810255" y="1613301"/>
              <a:ext cx="1665849" cy="1054852"/>
              <a:chOff x="6876062" y="1632856"/>
              <a:chExt cx="1634666" cy="962929"/>
            </a:xfrm>
            <a:solidFill>
              <a:srgbClr val="002060"/>
            </a:solidFill>
            <a:effectLst>
              <a:glow rad="101600">
                <a:schemeClr val="bg1">
                  <a:alpha val="60000"/>
                </a:schemeClr>
              </a:glow>
            </a:effectLst>
          </xdr:grpSpPr>
          <xdr:sp macro="" textlink="">
            <xdr:nvSpPr>
              <xdr:cNvPr id="20" name="Rectangle: Rounded Corners 19">
                <a:extLst>
                  <a:ext uri="{FF2B5EF4-FFF2-40B4-BE49-F238E27FC236}">
                    <a16:creationId xmlns:a16="http://schemas.microsoft.com/office/drawing/2014/main" id="{05B8F019-ED95-4E22-A212-A19404D35EAD}"/>
                  </a:ext>
                </a:extLst>
              </xdr:cNvPr>
              <xdr:cNvSpPr/>
            </xdr:nvSpPr>
            <xdr:spPr>
              <a:xfrm>
                <a:off x="6876062" y="1632856"/>
                <a:ext cx="1634666" cy="962929"/>
              </a:xfrm>
              <a:prstGeom prst="roundRect">
                <a:avLst/>
              </a:prstGeom>
              <a:grp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t>🚢 </a:t>
                </a:r>
                <a:r>
                  <a:rPr lang="en-US" sz="1200" b="1">
                    <a:solidFill>
                      <a:schemeClr val="bg1"/>
                    </a:solidFill>
                  </a:rPr>
                  <a:t>Fleet</a:t>
                </a:r>
                <a:r>
                  <a:rPr lang="en-US" sz="1200" b="1"/>
                  <a:t> </a:t>
                </a:r>
                <a:r>
                  <a:rPr lang="en-US" sz="1200" b="1">
                    <a:solidFill>
                      <a:schemeClr val="bg1"/>
                    </a:solidFill>
                  </a:rPr>
                  <a:t>Strength</a:t>
                </a:r>
              </a:p>
            </xdr:txBody>
          </xdr:sp>
          <xdr:sp macro="" textlink="Calculations!B14">
            <xdr:nvSpPr>
              <xdr:cNvPr id="5124" name="TextBox 5123">
                <a:extLst>
                  <a:ext uri="{FF2B5EF4-FFF2-40B4-BE49-F238E27FC236}">
                    <a16:creationId xmlns:a16="http://schemas.microsoft.com/office/drawing/2014/main" id="{0F4F11F3-395A-AA88-4216-1D4CB22A3F40}"/>
                  </a:ext>
                </a:extLst>
              </xdr:cNvPr>
              <xdr:cNvSpPr txBox="1"/>
            </xdr:nvSpPr>
            <xdr:spPr>
              <a:xfrm>
                <a:off x="7404160" y="2029188"/>
                <a:ext cx="914877" cy="377625"/>
              </a:xfrm>
              <a:prstGeom prst="rect">
                <a:avLst/>
              </a:prstGeom>
              <a:grp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F1AD6F-2A3C-46AB-B4FD-DFDEC081ECA3}" type="TxLink">
                  <a:rPr lang="en-US" sz="2000" b="1" i="0" u="none" strike="noStrike">
                    <a:solidFill>
                      <a:schemeClr val="bg1"/>
                    </a:solidFill>
                    <a:latin typeface="Calibri"/>
                    <a:ea typeface="Calibri"/>
                    <a:cs typeface="Calibri"/>
                  </a:rPr>
                  <a:pPr/>
                  <a:t>81</a:t>
                </a:fld>
                <a:endParaRPr lang="en-US" sz="2000" b="1">
                  <a:solidFill>
                    <a:schemeClr val="bg1"/>
                  </a:solidFill>
                </a:endParaRPr>
              </a:p>
            </xdr:txBody>
          </xdr:sp>
        </xdr:grpSp>
        <xdr:grpSp>
          <xdr:nvGrpSpPr>
            <xdr:cNvPr id="41" name="Group 40">
              <a:extLst>
                <a:ext uri="{FF2B5EF4-FFF2-40B4-BE49-F238E27FC236}">
                  <a16:creationId xmlns:a16="http://schemas.microsoft.com/office/drawing/2014/main" id="{E70053F1-2B2B-53EE-1620-41F37836FCC1}"/>
                </a:ext>
              </a:extLst>
            </xdr:cNvPr>
            <xdr:cNvGrpSpPr/>
          </xdr:nvGrpSpPr>
          <xdr:grpSpPr>
            <a:xfrm>
              <a:off x="9086568" y="1607211"/>
              <a:ext cx="1652774" cy="1082340"/>
              <a:chOff x="8685443" y="1549689"/>
              <a:chExt cx="1634666" cy="1091817"/>
            </a:xfrm>
            <a:solidFill>
              <a:schemeClr val="tx1"/>
            </a:solidFill>
            <a:effectLst>
              <a:glow rad="101600">
                <a:schemeClr val="bg1">
                  <a:alpha val="60000"/>
                </a:schemeClr>
              </a:glow>
            </a:effectLst>
          </xdr:grpSpPr>
          <xdr:sp macro="" textlink="">
            <xdr:nvSpPr>
              <xdr:cNvPr id="21" name="Rectangle: Rounded Corners 20">
                <a:extLst>
                  <a:ext uri="{FF2B5EF4-FFF2-40B4-BE49-F238E27FC236}">
                    <a16:creationId xmlns:a16="http://schemas.microsoft.com/office/drawing/2014/main" id="{A5BCCF6C-1E83-41DF-885A-715D9A0BBAE7}"/>
                  </a:ext>
                </a:extLst>
              </xdr:cNvPr>
              <xdr:cNvSpPr/>
            </xdr:nvSpPr>
            <xdr:spPr>
              <a:xfrm>
                <a:off x="8685443" y="1549689"/>
                <a:ext cx="1634666" cy="1091817"/>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b="1">
                    <a:solidFill>
                      <a:schemeClr val="bg1"/>
                    </a:solidFill>
                  </a:rPr>
                  <a:t>📊 Fuel Efficiency Index</a:t>
                </a:r>
                <a:endParaRPr lang="en-US" sz="1100" b="1">
                  <a:solidFill>
                    <a:schemeClr val="bg1"/>
                  </a:solidFill>
                </a:endParaRPr>
              </a:p>
            </xdr:txBody>
          </xdr:sp>
          <xdr:sp macro="" textlink="Calculations!E6">
            <xdr:nvSpPr>
              <xdr:cNvPr id="5125" name="TextBox 5124">
                <a:extLst>
                  <a:ext uri="{FF2B5EF4-FFF2-40B4-BE49-F238E27FC236}">
                    <a16:creationId xmlns:a16="http://schemas.microsoft.com/office/drawing/2014/main" id="{76AA1C37-5317-EA6C-14FC-027C93309472}"/>
                  </a:ext>
                </a:extLst>
              </xdr:cNvPr>
              <xdr:cNvSpPr txBox="1"/>
            </xdr:nvSpPr>
            <xdr:spPr>
              <a:xfrm>
                <a:off x="8940554" y="2088234"/>
                <a:ext cx="1171440" cy="404557"/>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7D38C8-7D01-43E7-BA53-103FBE347B1B}" type="TxLink">
                  <a:rPr lang="en-US" sz="1800" b="1" i="0" u="none" strike="noStrike">
                    <a:solidFill>
                      <a:schemeClr val="bg1"/>
                    </a:solidFill>
                    <a:latin typeface="Calibri"/>
                    <a:ea typeface="Calibri"/>
                    <a:cs typeface="Calibri"/>
                  </a:rPr>
                  <a:pPr/>
                  <a:t>65.72231</a:t>
                </a:fld>
                <a:endParaRPr lang="en-US" sz="1800" b="1">
                  <a:solidFill>
                    <a:schemeClr val="bg1"/>
                  </a:solidFill>
                </a:endParaRPr>
              </a:p>
            </xdr:txBody>
          </xdr:sp>
        </xdr:grpSp>
        <xdr:grpSp>
          <xdr:nvGrpSpPr>
            <xdr:cNvPr id="42" name="Group 41">
              <a:extLst>
                <a:ext uri="{FF2B5EF4-FFF2-40B4-BE49-F238E27FC236}">
                  <a16:creationId xmlns:a16="http://schemas.microsoft.com/office/drawing/2014/main" id="{FE687296-2809-3F6D-797B-5C0E0B0E7F63}"/>
                </a:ext>
              </a:extLst>
            </xdr:cNvPr>
            <xdr:cNvGrpSpPr/>
          </xdr:nvGrpSpPr>
          <xdr:grpSpPr>
            <a:xfrm>
              <a:off x="11379647" y="1601343"/>
              <a:ext cx="1845468" cy="1072360"/>
              <a:chOff x="10494824" y="1632856"/>
              <a:chExt cx="1638007" cy="962929"/>
            </a:xfrm>
            <a:solidFill>
              <a:srgbClr val="002060"/>
            </a:solidFill>
            <a:effectLst>
              <a:glow rad="101600">
                <a:schemeClr val="bg1">
                  <a:alpha val="60000"/>
                </a:schemeClr>
              </a:glow>
              <a:outerShdw blurRad="50800" dist="38100" dir="2700000" algn="tl" rotWithShape="0">
                <a:prstClr val="black">
                  <a:alpha val="40000"/>
                </a:prstClr>
              </a:outerShdw>
            </a:effectLst>
          </xdr:grpSpPr>
          <xdr:sp macro="" textlink="">
            <xdr:nvSpPr>
              <xdr:cNvPr id="23" name="Rectangle: Rounded Corners 22">
                <a:extLst>
                  <a:ext uri="{FF2B5EF4-FFF2-40B4-BE49-F238E27FC236}">
                    <a16:creationId xmlns:a16="http://schemas.microsoft.com/office/drawing/2014/main" id="{EB552A23-AA3D-42D1-A984-3A07E12138BE}"/>
                  </a:ext>
                </a:extLst>
              </xdr:cNvPr>
              <xdr:cNvSpPr/>
            </xdr:nvSpPr>
            <xdr:spPr>
              <a:xfrm>
                <a:off x="10494824" y="1632856"/>
                <a:ext cx="1638007" cy="962929"/>
              </a:xfrm>
              <a:prstGeom prst="roundRect">
                <a:avLst/>
              </a:prstGeom>
              <a:grp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b="1">
                    <a:solidFill>
                      <a:schemeClr val="bg1"/>
                    </a:solidFill>
                  </a:rPr>
                  <a:t>🛳️ Voyage Operations</a:t>
                </a:r>
                <a:endParaRPr lang="en-US" sz="1100" b="1">
                  <a:solidFill>
                    <a:schemeClr val="bg1"/>
                  </a:solidFill>
                </a:endParaRPr>
              </a:p>
            </xdr:txBody>
          </xdr:sp>
          <xdr:sp macro="" textlink="Calculations!E14">
            <xdr:nvSpPr>
              <xdr:cNvPr id="5127" name="TextBox 5126">
                <a:extLst>
                  <a:ext uri="{FF2B5EF4-FFF2-40B4-BE49-F238E27FC236}">
                    <a16:creationId xmlns:a16="http://schemas.microsoft.com/office/drawing/2014/main" id="{7B43D8BA-3421-4E7F-47C6-3C2A544BE0C6}"/>
                  </a:ext>
                </a:extLst>
              </xdr:cNvPr>
              <xdr:cNvSpPr txBox="1"/>
            </xdr:nvSpPr>
            <xdr:spPr>
              <a:xfrm>
                <a:off x="10988022" y="2031961"/>
                <a:ext cx="779753" cy="278745"/>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563C15-0589-4F6C-850C-2252C80A64FF}" type="TxLink">
                  <a:rPr lang="en-US" sz="1800" b="1" i="0" u="none" strike="noStrike">
                    <a:solidFill>
                      <a:schemeClr val="bg1"/>
                    </a:solidFill>
                    <a:latin typeface="Calibri"/>
                    <a:ea typeface="Calibri"/>
                    <a:cs typeface="Calibri"/>
                  </a:rPr>
                  <a:pPr/>
                  <a:t>1000</a:t>
                </a:fld>
                <a:endParaRPr lang="en-US" sz="1800" b="1">
                  <a:solidFill>
                    <a:schemeClr val="bg1"/>
                  </a:solidFill>
                </a:endParaRPr>
              </a:p>
            </xdr:txBody>
          </xdr:sp>
        </xdr:grpSp>
        <xdr:grpSp>
          <xdr:nvGrpSpPr>
            <xdr:cNvPr id="43" name="Group 42">
              <a:extLst>
                <a:ext uri="{FF2B5EF4-FFF2-40B4-BE49-F238E27FC236}">
                  <a16:creationId xmlns:a16="http://schemas.microsoft.com/office/drawing/2014/main" id="{6AD24B9C-4D25-90FB-3863-0140DCBA7302}"/>
                </a:ext>
              </a:extLst>
            </xdr:cNvPr>
            <xdr:cNvGrpSpPr/>
          </xdr:nvGrpSpPr>
          <xdr:grpSpPr>
            <a:xfrm>
              <a:off x="13841081" y="1598818"/>
              <a:ext cx="1816976" cy="1071564"/>
              <a:chOff x="12307546" y="1632856"/>
              <a:chExt cx="1589649" cy="966330"/>
            </a:xfrm>
            <a:solidFill>
              <a:srgbClr val="002060"/>
            </a:solidFill>
            <a:effectLst>
              <a:glow rad="101600">
                <a:schemeClr val="bg1">
                  <a:alpha val="60000"/>
                </a:schemeClr>
              </a:glow>
            </a:effectLst>
          </xdr:grpSpPr>
          <xdr:sp macro="" textlink="">
            <xdr:nvSpPr>
              <xdr:cNvPr id="22" name="Rectangle: Rounded Corners 21">
                <a:extLst>
                  <a:ext uri="{FF2B5EF4-FFF2-40B4-BE49-F238E27FC236}">
                    <a16:creationId xmlns:a16="http://schemas.microsoft.com/office/drawing/2014/main" id="{2AD35F85-2CCA-4C79-9144-48517E256243}"/>
                  </a:ext>
                </a:extLst>
              </xdr:cNvPr>
              <xdr:cNvSpPr/>
            </xdr:nvSpPr>
            <xdr:spPr>
              <a:xfrm>
                <a:off x="12307546" y="1632856"/>
                <a:ext cx="1589649" cy="966330"/>
              </a:xfrm>
              <a:prstGeom prst="roundRect">
                <a:avLst/>
              </a:prstGeom>
              <a:grp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solidFill>
                      <a:schemeClr val="bg1"/>
                    </a:solidFill>
                  </a:rPr>
                  <a:t>⚠️ Delayed Trips</a:t>
                </a:r>
              </a:p>
            </xdr:txBody>
          </xdr:sp>
          <xdr:sp macro="" textlink="Calculations!E10">
            <xdr:nvSpPr>
              <xdr:cNvPr id="5129" name="TextBox 5128">
                <a:extLst>
                  <a:ext uri="{FF2B5EF4-FFF2-40B4-BE49-F238E27FC236}">
                    <a16:creationId xmlns:a16="http://schemas.microsoft.com/office/drawing/2014/main" id="{D509C883-857D-BC0D-5739-F909F0E1359F}"/>
                  </a:ext>
                </a:extLst>
              </xdr:cNvPr>
              <xdr:cNvSpPr txBox="1"/>
            </xdr:nvSpPr>
            <xdr:spPr>
              <a:xfrm>
                <a:off x="12815514" y="2029578"/>
                <a:ext cx="811505" cy="265705"/>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806B63-9397-43B7-B766-4ABE1C9553E9}" type="TxLink">
                  <a:rPr lang="en-US" sz="1800" b="1" i="0" u="none" strike="noStrike">
                    <a:solidFill>
                      <a:schemeClr val="bg1"/>
                    </a:solidFill>
                    <a:latin typeface="Calibri"/>
                    <a:ea typeface="Calibri"/>
                    <a:cs typeface="Calibri"/>
                  </a:rPr>
                  <a:pPr/>
                  <a:t>742</a:t>
                </a:fld>
                <a:endParaRPr lang="en-US" sz="1800" b="1">
                  <a:solidFill>
                    <a:schemeClr val="bg1"/>
                  </a:solidFill>
                </a:endParaRPr>
              </a:p>
            </xdr:txBody>
          </xdr:sp>
        </xdr:grpSp>
        <xdr:sp macro="" textlink="">
          <xdr:nvSpPr>
            <xdr:cNvPr id="5130" name="TextBox 5129">
              <a:extLst>
                <a:ext uri="{FF2B5EF4-FFF2-40B4-BE49-F238E27FC236}">
                  <a16:creationId xmlns:a16="http://schemas.microsoft.com/office/drawing/2014/main" id="{FCD7589E-A84D-00E5-9F80-057A54C5E445}"/>
                </a:ext>
              </a:extLst>
            </xdr:cNvPr>
            <xdr:cNvSpPr txBox="1"/>
          </xdr:nvSpPr>
          <xdr:spPr>
            <a:xfrm>
              <a:off x="8818357" y="27861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grpSp>
          <xdr:nvGrpSpPr>
            <xdr:cNvPr id="44" name="Group 43">
              <a:extLst>
                <a:ext uri="{FF2B5EF4-FFF2-40B4-BE49-F238E27FC236}">
                  <a16:creationId xmlns:a16="http://schemas.microsoft.com/office/drawing/2014/main" id="{1E7F6EBD-206E-62E6-6AC6-0AA5FA5C913F}"/>
                </a:ext>
              </a:extLst>
            </xdr:cNvPr>
            <xdr:cNvGrpSpPr/>
          </xdr:nvGrpSpPr>
          <xdr:grpSpPr>
            <a:xfrm>
              <a:off x="15002592" y="321910"/>
              <a:ext cx="1862828" cy="1054853"/>
              <a:chOff x="14071206" y="1632856"/>
              <a:chExt cx="1635370" cy="966330"/>
            </a:xfrm>
            <a:solidFill>
              <a:srgbClr val="002060"/>
            </a:solidFill>
            <a:effectLst>
              <a:glow rad="101600">
                <a:schemeClr val="bg1">
                  <a:alpha val="60000"/>
                </a:schemeClr>
              </a:glow>
            </a:effectLst>
          </xdr:grpSpPr>
          <xdr:sp macro="" textlink="">
            <xdr:nvSpPr>
              <xdr:cNvPr id="5128" name="Rectangle: Rounded Corners 5127">
                <a:extLst>
                  <a:ext uri="{FF2B5EF4-FFF2-40B4-BE49-F238E27FC236}">
                    <a16:creationId xmlns:a16="http://schemas.microsoft.com/office/drawing/2014/main" id="{9B067DA1-BD4B-401C-83D6-3795E91AD0DB}"/>
                  </a:ext>
                </a:extLst>
              </xdr:cNvPr>
              <xdr:cNvSpPr/>
            </xdr:nvSpPr>
            <xdr:spPr>
              <a:xfrm>
                <a:off x="14071206" y="1632856"/>
                <a:ext cx="1635370" cy="966330"/>
              </a:xfrm>
              <a:prstGeom prst="roundRect">
                <a:avLst/>
              </a:prstGeom>
              <a:grp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b="1">
                    <a:solidFill>
                      <a:schemeClr val="bg1"/>
                    </a:solidFill>
                  </a:rPr>
                  <a:t>✅ Successful Trips</a:t>
                </a:r>
                <a:endParaRPr lang="en-US" sz="1100" b="1">
                  <a:solidFill>
                    <a:schemeClr val="bg1"/>
                  </a:solidFill>
                </a:endParaRPr>
              </a:p>
            </xdr:txBody>
          </xdr:sp>
          <xdr:sp macro="" textlink="Calculations!E11">
            <xdr:nvSpPr>
              <xdr:cNvPr id="5131" name="TextBox 5130">
                <a:extLst>
                  <a:ext uri="{FF2B5EF4-FFF2-40B4-BE49-F238E27FC236}">
                    <a16:creationId xmlns:a16="http://schemas.microsoft.com/office/drawing/2014/main" id="{5676CCCF-7D82-1BFD-2813-5D896C89F052}"/>
                  </a:ext>
                </a:extLst>
              </xdr:cNvPr>
              <xdr:cNvSpPr txBox="1"/>
            </xdr:nvSpPr>
            <xdr:spPr>
              <a:xfrm>
                <a:off x="14525771" y="2060865"/>
                <a:ext cx="530316" cy="287582"/>
              </a:xfrm>
              <a:prstGeom prst="rect">
                <a:avLst/>
              </a:prstGeom>
              <a:grp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AC5432-21B6-45B1-A6D0-8F3766999BEE}" type="TxLink">
                  <a:rPr lang="en-US" sz="1800" b="1" i="0" u="none" strike="noStrike">
                    <a:solidFill>
                      <a:schemeClr val="bg1"/>
                    </a:solidFill>
                    <a:latin typeface="Calibri"/>
                    <a:ea typeface="Calibri"/>
                    <a:cs typeface="Calibri"/>
                  </a:rPr>
                  <a:pPr/>
                  <a:t>257</a:t>
                </a:fld>
                <a:endParaRPr lang="en-US" sz="1800" b="1">
                  <a:solidFill>
                    <a:schemeClr val="bg1"/>
                  </a:solidFill>
                </a:endParaRPr>
              </a:p>
            </xdr:txBody>
          </xdr:sp>
        </xdr:grpSp>
        <xdr:grpSp>
          <xdr:nvGrpSpPr>
            <xdr:cNvPr id="15" name="Group 14">
              <a:extLst>
                <a:ext uri="{FF2B5EF4-FFF2-40B4-BE49-F238E27FC236}">
                  <a16:creationId xmlns:a16="http://schemas.microsoft.com/office/drawing/2014/main" id="{D4843BE1-2E58-8B32-E6D4-286C27AA3B53}"/>
                </a:ext>
              </a:extLst>
            </xdr:cNvPr>
            <xdr:cNvGrpSpPr/>
          </xdr:nvGrpSpPr>
          <xdr:grpSpPr>
            <a:xfrm>
              <a:off x="7848849" y="3055938"/>
              <a:ext cx="4540596" cy="3471808"/>
              <a:chOff x="7007220" y="2764465"/>
              <a:chExt cx="4470517" cy="2955760"/>
            </a:xfrm>
            <a:solidFill>
              <a:schemeClr val="accent1">
                <a:lumMod val="60000"/>
                <a:lumOff val="40000"/>
              </a:schemeClr>
            </a:solidFill>
            <a:effectLst>
              <a:glow rad="101600">
                <a:schemeClr val="tx2">
                  <a:alpha val="60000"/>
                </a:schemeClr>
              </a:glow>
            </a:effectLst>
          </xdr:grpSpPr>
          <xdr:grpSp>
            <xdr:nvGrpSpPr>
              <xdr:cNvPr id="12" name="Group 11">
                <a:extLst>
                  <a:ext uri="{FF2B5EF4-FFF2-40B4-BE49-F238E27FC236}">
                    <a16:creationId xmlns:a16="http://schemas.microsoft.com/office/drawing/2014/main" id="{99FC81C1-66FF-4561-3F0F-D5D76BF95169}"/>
                  </a:ext>
                </a:extLst>
              </xdr:cNvPr>
              <xdr:cNvGrpSpPr/>
            </xdr:nvGrpSpPr>
            <xdr:grpSpPr>
              <a:xfrm>
                <a:off x="7007220" y="2764465"/>
                <a:ext cx="4470517" cy="2955760"/>
                <a:chOff x="7007220" y="2764465"/>
                <a:chExt cx="4470517" cy="2955760"/>
              </a:xfrm>
              <a:grpFill/>
            </xdr:grpSpPr>
            <xdr:sp macro="" textlink="">
              <xdr:nvSpPr>
                <xdr:cNvPr id="5137" name="Rectangle: Rounded Corners 5136">
                  <a:extLst>
                    <a:ext uri="{FF2B5EF4-FFF2-40B4-BE49-F238E27FC236}">
                      <a16:creationId xmlns:a16="http://schemas.microsoft.com/office/drawing/2014/main" id="{7EC4A2E8-D682-F03F-43BA-1A1F7090AFA7}"/>
                    </a:ext>
                  </a:extLst>
                </xdr:cNvPr>
                <xdr:cNvSpPr/>
              </xdr:nvSpPr>
              <xdr:spPr>
                <a:xfrm>
                  <a:off x="7110486" y="2764465"/>
                  <a:ext cx="4367251" cy="2843739"/>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000" b="1">
                      <a:solidFill>
                        <a:schemeClr val="tx1"/>
                      </a:solidFill>
                    </a:rPr>
                    <a:t> </a:t>
                  </a:r>
                  <a:r>
                    <a:rPr lang="en-US" sz="1800" b="1">
                      <a:solidFill>
                        <a:schemeClr val="tx1"/>
                      </a:solidFill>
                    </a:rPr>
                    <a:t>Fuel Type</a:t>
                  </a:r>
                  <a:r>
                    <a:rPr lang="en-US" sz="1800" b="1" baseline="0">
                      <a:solidFill>
                        <a:schemeClr val="tx1"/>
                      </a:solidFill>
                    </a:rPr>
                    <a:t>-</a:t>
                  </a:r>
                  <a:r>
                    <a:rPr lang="en-US" sz="1800" b="1">
                      <a:solidFill>
                        <a:schemeClr val="tx1"/>
                      </a:solidFill>
                    </a:rPr>
                    <a:t>wise Consumption</a:t>
                  </a:r>
                </a:p>
              </xdr:txBody>
            </xdr:sp>
            <xdr:graphicFrame macro="">
              <xdr:nvGraphicFramePr>
                <xdr:cNvPr id="26" name="Chart 2">
                  <a:extLst>
                    <a:ext uri="{FF2B5EF4-FFF2-40B4-BE49-F238E27FC236}">
                      <a16:creationId xmlns:a16="http://schemas.microsoft.com/office/drawing/2014/main" id="{650725F6-96A1-3C62-1962-24557838F1CA}"/>
                    </a:ext>
                  </a:extLst>
                </xdr:cNvPr>
                <xdr:cNvGraphicFramePr/>
              </xdr:nvGraphicFramePr>
              <xdr:xfrm>
                <a:off x="7007220" y="3254652"/>
                <a:ext cx="4119021" cy="2465573"/>
              </xdr:xfrm>
              <a:graphic>
                <a:graphicData uri="http://schemas.openxmlformats.org/drawingml/2006/chart">
                  <c:chart xmlns:c="http://schemas.openxmlformats.org/drawingml/2006/chart" xmlns:r="http://schemas.openxmlformats.org/officeDocument/2006/relationships" r:id="rId1"/>
                </a:graphicData>
              </a:graphic>
            </xdr:graphicFrame>
          </xdr:grpSp>
          <xdr:pic>
            <xdr:nvPicPr>
              <xdr:cNvPr id="24" name="Graphic 23" descr="Gauge with solid fill">
                <a:extLst>
                  <a:ext uri="{FF2B5EF4-FFF2-40B4-BE49-F238E27FC236}">
                    <a16:creationId xmlns:a16="http://schemas.microsoft.com/office/drawing/2014/main" id="{59B1CBE2-2BD1-62AB-1291-CE67887E85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295065" y="3080254"/>
                <a:ext cx="912384" cy="920043"/>
              </a:xfrm>
              <a:prstGeom prst="rect">
                <a:avLst/>
              </a:prstGeom>
            </xdr:spPr>
          </xdr:pic>
        </xdr:grpSp>
        <xdr:grpSp>
          <xdr:nvGrpSpPr>
            <xdr:cNvPr id="10" name="Group 9">
              <a:extLst>
                <a:ext uri="{FF2B5EF4-FFF2-40B4-BE49-F238E27FC236}">
                  <a16:creationId xmlns:a16="http://schemas.microsoft.com/office/drawing/2014/main" id="{B1BD017B-1AD5-ED04-F70D-9240D4229701}"/>
                </a:ext>
              </a:extLst>
            </xdr:cNvPr>
            <xdr:cNvGrpSpPr/>
          </xdr:nvGrpSpPr>
          <xdr:grpSpPr>
            <a:xfrm>
              <a:off x="3226920" y="3055937"/>
              <a:ext cx="4477715" cy="3553225"/>
              <a:chOff x="3174557" y="2703988"/>
              <a:chExt cx="4140837" cy="3043734"/>
            </a:xfrm>
            <a:solidFill>
              <a:schemeClr val="accent1">
                <a:lumMod val="60000"/>
                <a:lumOff val="40000"/>
              </a:schemeClr>
            </a:solidFill>
            <a:effectLst>
              <a:glow rad="101600">
                <a:schemeClr val="tx2">
                  <a:lumMod val="50000"/>
                  <a:alpha val="60000"/>
                </a:schemeClr>
              </a:glow>
            </a:effectLst>
          </xdr:grpSpPr>
          <xdr:grpSp>
            <xdr:nvGrpSpPr>
              <xdr:cNvPr id="7" name="Group 6">
                <a:extLst>
                  <a:ext uri="{FF2B5EF4-FFF2-40B4-BE49-F238E27FC236}">
                    <a16:creationId xmlns:a16="http://schemas.microsoft.com/office/drawing/2014/main" id="{C8E4275F-4596-C840-9EE4-64F699ADCA9A}"/>
                  </a:ext>
                </a:extLst>
              </xdr:cNvPr>
              <xdr:cNvGrpSpPr/>
            </xdr:nvGrpSpPr>
            <xdr:grpSpPr>
              <a:xfrm>
                <a:off x="3174557" y="2703988"/>
                <a:ext cx="4140837" cy="3043734"/>
                <a:chOff x="3098961" y="2734226"/>
                <a:chExt cx="4140837" cy="3043734"/>
              </a:xfrm>
              <a:grpFill/>
            </xdr:grpSpPr>
            <xdr:sp macro="" textlink="">
              <xdr:nvSpPr>
                <xdr:cNvPr id="5136" name="Rectangle: Rounded Corners 5135">
                  <a:extLst>
                    <a:ext uri="{FF2B5EF4-FFF2-40B4-BE49-F238E27FC236}">
                      <a16:creationId xmlns:a16="http://schemas.microsoft.com/office/drawing/2014/main" id="{536628EA-5255-5AA7-7CB4-41739FFFD0C5}"/>
                    </a:ext>
                  </a:extLst>
                </xdr:cNvPr>
                <xdr:cNvSpPr/>
              </xdr:nvSpPr>
              <xdr:spPr>
                <a:xfrm>
                  <a:off x="3098961" y="2734226"/>
                  <a:ext cx="4138013" cy="2843739"/>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800" b="1">
                      <a:solidFill>
                        <a:schemeClr val="tx1"/>
                      </a:solidFill>
                    </a:rPr>
                    <a:t>Monthly Fuel Consumption Trend</a:t>
                  </a:r>
                </a:p>
              </xdr:txBody>
            </xdr:sp>
            <xdr:graphicFrame macro="">
              <xdr:nvGraphicFramePr>
                <xdr:cNvPr id="31" name="Chart 7">
                  <a:extLst>
                    <a:ext uri="{FF2B5EF4-FFF2-40B4-BE49-F238E27FC236}">
                      <a16:creationId xmlns:a16="http://schemas.microsoft.com/office/drawing/2014/main" id="{B4207FA3-928C-EFE4-1D6F-1D51672C8713}"/>
                    </a:ext>
                  </a:extLst>
                </xdr:cNvPr>
                <xdr:cNvGraphicFramePr/>
              </xdr:nvGraphicFramePr>
              <xdr:xfrm>
                <a:off x="3169097" y="3501908"/>
                <a:ext cx="4070701" cy="2276052"/>
              </xdr:xfrm>
              <a:graphic>
                <a:graphicData uri="http://schemas.openxmlformats.org/drawingml/2006/chart">
                  <c:chart xmlns:c="http://schemas.openxmlformats.org/drawingml/2006/chart" xmlns:r="http://schemas.openxmlformats.org/officeDocument/2006/relationships" r:id="rId4"/>
                </a:graphicData>
              </a:graphic>
            </xdr:graphicFrame>
          </xdr:grpSp>
          <xdr:pic>
            <xdr:nvPicPr>
              <xdr:cNvPr id="32" name="Graphic 31" descr="Upward trend with solid fill">
                <a:extLst>
                  <a:ext uri="{FF2B5EF4-FFF2-40B4-BE49-F238E27FC236}">
                    <a16:creationId xmlns:a16="http://schemas.microsoft.com/office/drawing/2014/main" id="{76D4C07D-1EA8-F780-FA9A-DCFE19E924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53441" y="3074185"/>
                <a:ext cx="802318" cy="809979"/>
              </a:xfrm>
              <a:prstGeom prst="rect">
                <a:avLst/>
              </a:prstGeom>
            </xdr:spPr>
          </xdr:pic>
        </xdr:grpSp>
        <xdr:grpSp>
          <xdr:nvGrpSpPr>
            <xdr:cNvPr id="16" name="Group 15">
              <a:extLst>
                <a:ext uri="{FF2B5EF4-FFF2-40B4-BE49-F238E27FC236}">
                  <a16:creationId xmlns:a16="http://schemas.microsoft.com/office/drawing/2014/main" id="{A891C667-AFC5-0EAE-08AA-C34125F51AC5}"/>
                </a:ext>
              </a:extLst>
            </xdr:cNvPr>
            <xdr:cNvGrpSpPr/>
          </xdr:nvGrpSpPr>
          <xdr:grpSpPr>
            <a:xfrm>
              <a:off x="12590366" y="3115469"/>
              <a:ext cx="5024223" cy="3256422"/>
              <a:chOff x="11476973" y="2681491"/>
              <a:chExt cx="4432911" cy="2898298"/>
            </a:xfrm>
            <a:solidFill>
              <a:schemeClr val="accent1">
                <a:lumMod val="60000"/>
                <a:lumOff val="40000"/>
              </a:schemeClr>
            </a:solidFill>
            <a:effectLst>
              <a:glow rad="101600">
                <a:schemeClr val="tx2">
                  <a:alpha val="60000"/>
                </a:schemeClr>
              </a:glow>
            </a:effectLst>
          </xdr:grpSpPr>
          <xdr:grpSp>
            <xdr:nvGrpSpPr>
              <xdr:cNvPr id="13" name="Group 12">
                <a:extLst>
                  <a:ext uri="{FF2B5EF4-FFF2-40B4-BE49-F238E27FC236}">
                    <a16:creationId xmlns:a16="http://schemas.microsoft.com/office/drawing/2014/main" id="{068395D7-219F-E1E8-9BC0-5A0837490147}"/>
                  </a:ext>
                </a:extLst>
              </xdr:cNvPr>
              <xdr:cNvGrpSpPr/>
            </xdr:nvGrpSpPr>
            <xdr:grpSpPr>
              <a:xfrm>
                <a:off x="11476973" y="2730359"/>
                <a:ext cx="4432911" cy="2849430"/>
                <a:chOff x="11476973" y="2730359"/>
                <a:chExt cx="4432911" cy="2849430"/>
              </a:xfrm>
              <a:grpFill/>
            </xdr:grpSpPr>
            <xdr:sp macro="" textlink="">
              <xdr:nvSpPr>
                <xdr:cNvPr id="5138" name="Rectangle: Rounded Corners 5137">
                  <a:extLst>
                    <a:ext uri="{FF2B5EF4-FFF2-40B4-BE49-F238E27FC236}">
                      <a16:creationId xmlns:a16="http://schemas.microsoft.com/office/drawing/2014/main" id="{F1E0877E-9C28-BD76-0825-75F5DAB8636E}"/>
                    </a:ext>
                  </a:extLst>
                </xdr:cNvPr>
                <xdr:cNvSpPr/>
              </xdr:nvSpPr>
              <xdr:spPr>
                <a:xfrm>
                  <a:off x="11520381" y="2730359"/>
                  <a:ext cx="4138013" cy="2847958"/>
                </a:xfrm>
                <a:prstGeom prst="roundRect">
                  <a:avLst>
                    <a:gd name="adj" fmla="val 8592"/>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800" b="1">
                      <a:solidFill>
                        <a:schemeClr val="tx1"/>
                      </a:solidFill>
                    </a:rPr>
                    <a:t>   Ship</a:t>
                  </a:r>
                  <a:r>
                    <a:rPr lang="en-US" sz="1800" b="1" baseline="0">
                      <a:solidFill>
                        <a:schemeClr val="tx1"/>
                      </a:solidFill>
                    </a:rPr>
                    <a:t>-Wise Fuel Cost</a:t>
                  </a:r>
                  <a:endParaRPr lang="en-US" sz="1800" b="1">
                    <a:solidFill>
                      <a:schemeClr val="tx1"/>
                    </a:solidFill>
                  </a:endParaRPr>
                </a:p>
              </xdr:txBody>
            </xdr:sp>
            <xdr:graphicFrame macro="">
              <xdr:nvGraphicFramePr>
                <xdr:cNvPr id="27" name="Chart 3">
                  <a:extLst>
                    <a:ext uri="{FF2B5EF4-FFF2-40B4-BE49-F238E27FC236}">
                      <a16:creationId xmlns:a16="http://schemas.microsoft.com/office/drawing/2014/main" id="{7C39B93C-3487-1EF2-9BA9-95C9158D9D40}"/>
                    </a:ext>
                  </a:extLst>
                </xdr:cNvPr>
                <xdr:cNvGraphicFramePr/>
              </xdr:nvGraphicFramePr>
              <xdr:xfrm>
                <a:off x="11476973" y="3174440"/>
                <a:ext cx="4432911" cy="2405349"/>
              </xdr:xfrm>
              <a:graphic>
                <a:graphicData uri="http://schemas.openxmlformats.org/drawingml/2006/chart">
                  <c:chart xmlns:c="http://schemas.openxmlformats.org/drawingml/2006/chart" xmlns:r="http://schemas.openxmlformats.org/officeDocument/2006/relationships" r:id="rId7"/>
                </a:graphicData>
              </a:graphic>
            </xdr:graphicFrame>
          </xdr:grpSp>
          <xdr:pic>
            <xdr:nvPicPr>
              <xdr:cNvPr id="34" name="Graphic 33" descr="Money with solid fill">
                <a:extLst>
                  <a:ext uri="{FF2B5EF4-FFF2-40B4-BE49-F238E27FC236}">
                    <a16:creationId xmlns:a16="http://schemas.microsoft.com/office/drawing/2014/main" id="{6BB75E49-47B5-64FE-8C28-617DFB9BB49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438676" y="2681491"/>
                <a:ext cx="913123" cy="898490"/>
              </a:xfrm>
              <a:prstGeom prst="rect">
                <a:avLst/>
              </a:prstGeom>
            </xdr:spPr>
          </xdr:pic>
        </xdr:grpSp>
        <xdr:grpSp>
          <xdr:nvGrpSpPr>
            <xdr:cNvPr id="17" name="Group 16">
              <a:extLst>
                <a:ext uri="{FF2B5EF4-FFF2-40B4-BE49-F238E27FC236}">
                  <a16:creationId xmlns:a16="http://schemas.microsoft.com/office/drawing/2014/main" id="{877E7176-5EC3-6ABD-B01C-938794287DB7}"/>
                </a:ext>
              </a:extLst>
            </xdr:cNvPr>
            <xdr:cNvGrpSpPr/>
          </xdr:nvGrpSpPr>
          <xdr:grpSpPr>
            <a:xfrm>
              <a:off x="7764684" y="6730871"/>
              <a:ext cx="4629493" cy="3304703"/>
              <a:chOff x="7179364" y="5651006"/>
              <a:chExt cx="4279174" cy="2769296"/>
            </a:xfrm>
            <a:solidFill>
              <a:schemeClr val="accent1">
                <a:lumMod val="60000"/>
                <a:lumOff val="40000"/>
              </a:schemeClr>
            </a:solidFill>
            <a:effectLst>
              <a:glow rad="101600">
                <a:schemeClr val="tx2">
                  <a:alpha val="60000"/>
                </a:schemeClr>
              </a:glow>
            </a:effectLst>
          </xdr:grpSpPr>
          <xdr:sp macro="" textlink="">
            <xdr:nvSpPr>
              <xdr:cNvPr id="5141" name="Rectangle: Rounded Corners 5140">
                <a:extLst>
                  <a:ext uri="{FF2B5EF4-FFF2-40B4-BE49-F238E27FC236}">
                    <a16:creationId xmlns:a16="http://schemas.microsoft.com/office/drawing/2014/main" id="{FA8DAEBB-4241-3D93-0FBD-1A8DB2831B5C}"/>
                  </a:ext>
                </a:extLst>
              </xdr:cNvPr>
              <xdr:cNvSpPr/>
            </xdr:nvSpPr>
            <xdr:spPr>
              <a:xfrm>
                <a:off x="7320526" y="5651006"/>
                <a:ext cx="4138012" cy="2724192"/>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800" b="1">
                    <a:solidFill>
                      <a:schemeClr val="tx1"/>
                    </a:solidFill>
                  </a:rPr>
                  <a:t>   Weather-</a:t>
                </a:r>
                <a:r>
                  <a:rPr lang="en-US" sz="1800" b="1" baseline="0">
                    <a:solidFill>
                      <a:schemeClr val="tx1"/>
                    </a:solidFill>
                  </a:rPr>
                  <a:t>W</a:t>
                </a:r>
                <a:r>
                  <a:rPr lang="en-US" sz="1800" b="1">
                    <a:solidFill>
                      <a:schemeClr val="tx1"/>
                    </a:solidFill>
                  </a:rPr>
                  <a:t>ise Fuel Consumption</a:t>
                </a:r>
              </a:p>
            </xdr:txBody>
          </xdr:sp>
          <xdr:graphicFrame macro="">
            <xdr:nvGraphicFramePr>
              <xdr:cNvPr id="28" name="Chart 4">
                <a:extLst>
                  <a:ext uri="{FF2B5EF4-FFF2-40B4-BE49-F238E27FC236}">
                    <a16:creationId xmlns:a16="http://schemas.microsoft.com/office/drawing/2014/main" id="{7ACB5EEA-5C72-22DD-D06D-927F9AA65D66}"/>
                  </a:ext>
                </a:extLst>
              </xdr:cNvPr>
              <xdr:cNvGraphicFramePr/>
            </xdr:nvGraphicFramePr>
            <xdr:xfrm>
              <a:off x="7179364" y="6285655"/>
              <a:ext cx="4159219" cy="2134647"/>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36" name="Graphic 35" descr="Cloud with solid fill">
                <a:extLst>
                  <a:ext uri="{FF2B5EF4-FFF2-40B4-BE49-F238E27FC236}">
                    <a16:creationId xmlns:a16="http://schemas.microsoft.com/office/drawing/2014/main" id="{707BD68E-7D00-DD33-D1E8-F9124C1E17A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411301" y="6019543"/>
                <a:ext cx="911071" cy="904321"/>
              </a:xfrm>
              <a:prstGeom prst="rect">
                <a:avLst/>
              </a:prstGeom>
            </xdr:spPr>
          </xdr:pic>
        </xdr:grpSp>
        <xdr:grpSp>
          <xdr:nvGrpSpPr>
            <xdr:cNvPr id="25" name="Group 24">
              <a:extLst>
                <a:ext uri="{FF2B5EF4-FFF2-40B4-BE49-F238E27FC236}">
                  <a16:creationId xmlns:a16="http://schemas.microsoft.com/office/drawing/2014/main" id="{5FEB1734-8286-863E-C5BE-013C3C6602A2}"/>
                </a:ext>
              </a:extLst>
            </xdr:cNvPr>
            <xdr:cNvGrpSpPr/>
          </xdr:nvGrpSpPr>
          <xdr:grpSpPr>
            <a:xfrm>
              <a:off x="12158691" y="6550999"/>
              <a:ext cx="5164922" cy="3525425"/>
              <a:chOff x="11068644" y="5573286"/>
              <a:chExt cx="4597824" cy="2880172"/>
            </a:xfrm>
            <a:solidFill>
              <a:schemeClr val="accent1">
                <a:lumMod val="60000"/>
                <a:lumOff val="40000"/>
              </a:schemeClr>
            </a:solidFill>
            <a:effectLst>
              <a:glow rad="101600">
                <a:schemeClr val="tx2">
                  <a:alpha val="60000"/>
                </a:schemeClr>
              </a:glow>
            </a:effectLst>
          </xdr:grpSpPr>
          <xdr:grpSp>
            <xdr:nvGrpSpPr>
              <xdr:cNvPr id="18" name="Group 17">
                <a:extLst>
                  <a:ext uri="{FF2B5EF4-FFF2-40B4-BE49-F238E27FC236}">
                    <a16:creationId xmlns:a16="http://schemas.microsoft.com/office/drawing/2014/main" id="{A3571288-4AAA-1D09-B859-8A33F3068E6B}"/>
                  </a:ext>
                </a:extLst>
              </xdr:cNvPr>
              <xdr:cNvGrpSpPr/>
            </xdr:nvGrpSpPr>
            <xdr:grpSpPr>
              <a:xfrm>
                <a:off x="11068644" y="5573286"/>
                <a:ext cx="4597824" cy="2880172"/>
                <a:chOff x="11068644" y="5573286"/>
                <a:chExt cx="4597824" cy="2880172"/>
              </a:xfrm>
              <a:grpFill/>
            </xdr:grpSpPr>
            <xdr:sp macro="" textlink="">
              <xdr:nvSpPr>
                <xdr:cNvPr id="5142" name="Rectangle: Rounded Corners 5141">
                  <a:extLst>
                    <a:ext uri="{FF2B5EF4-FFF2-40B4-BE49-F238E27FC236}">
                      <a16:creationId xmlns:a16="http://schemas.microsoft.com/office/drawing/2014/main" id="{C91E8862-9BD4-BBB1-F41E-7367E8EB47CD}"/>
                    </a:ext>
                  </a:extLst>
                </xdr:cNvPr>
                <xdr:cNvSpPr/>
              </xdr:nvSpPr>
              <xdr:spPr>
                <a:xfrm>
                  <a:off x="11528455" y="5573286"/>
                  <a:ext cx="4138013" cy="2724192"/>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800" b="1">
                      <a:solidFill>
                        <a:schemeClr val="tx1"/>
                      </a:solidFill>
                      <a:effectLst/>
                      <a:latin typeface="+mn-lt"/>
                      <a:ea typeface="+mn-ea"/>
                      <a:cs typeface="+mn-cs"/>
                    </a:rPr>
                    <a:t>Delay Analysis</a:t>
                  </a:r>
                  <a:endParaRPr lang="en-US" sz="1800" b="1">
                    <a:solidFill>
                      <a:schemeClr val="tx1"/>
                    </a:solidFill>
                  </a:endParaRPr>
                </a:p>
              </xdr:txBody>
            </xdr:sp>
            <xdr:graphicFrame macro="">
              <xdr:nvGraphicFramePr>
                <xdr:cNvPr id="29" name="Chart 2">
                  <a:extLst>
                    <a:ext uri="{FF2B5EF4-FFF2-40B4-BE49-F238E27FC236}">
                      <a16:creationId xmlns:a16="http://schemas.microsoft.com/office/drawing/2014/main" id="{3EC1F2C2-2552-B1F0-816C-24C5767BA9C0}"/>
                    </a:ext>
                  </a:extLst>
                </xdr:cNvPr>
                <xdr:cNvGraphicFramePr/>
              </xdr:nvGraphicFramePr>
              <xdr:xfrm>
                <a:off x="11068644" y="6161237"/>
                <a:ext cx="4439062" cy="2292221"/>
              </xdr:xfrm>
              <a:graphic>
                <a:graphicData uri="http://schemas.openxmlformats.org/drawingml/2006/chart">
                  <c:chart xmlns:c="http://schemas.openxmlformats.org/drawingml/2006/chart" xmlns:r="http://schemas.openxmlformats.org/officeDocument/2006/relationships" r:id="rId13"/>
                </a:graphicData>
              </a:graphic>
            </xdr:graphicFrame>
          </xdr:grpSp>
          <xdr:pic>
            <xdr:nvPicPr>
              <xdr:cNvPr id="38" name="Graphic 37" descr="Research with solid fill">
                <a:extLst>
                  <a:ext uri="{FF2B5EF4-FFF2-40B4-BE49-F238E27FC236}">
                    <a16:creationId xmlns:a16="http://schemas.microsoft.com/office/drawing/2014/main" id="{17BAE673-F34A-B4FC-BA3C-2E337A3C1B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532642" y="5882466"/>
                <a:ext cx="915206" cy="904322"/>
              </a:xfrm>
              <a:prstGeom prst="rect">
                <a:avLst/>
              </a:prstGeom>
            </xdr:spPr>
          </xdr:pic>
        </xdr:grpSp>
        <xdr:grpSp>
          <xdr:nvGrpSpPr>
            <xdr:cNvPr id="33" name="Group 32">
              <a:extLst>
                <a:ext uri="{FF2B5EF4-FFF2-40B4-BE49-F238E27FC236}">
                  <a16:creationId xmlns:a16="http://schemas.microsoft.com/office/drawing/2014/main" id="{0D0EEDCE-EDC2-7440-F727-BBEF3CDA3BC4}"/>
                </a:ext>
              </a:extLst>
            </xdr:cNvPr>
            <xdr:cNvGrpSpPr/>
          </xdr:nvGrpSpPr>
          <xdr:grpSpPr>
            <a:xfrm>
              <a:off x="3257281" y="6790402"/>
              <a:ext cx="4443391" cy="3205276"/>
              <a:chOff x="2857680" y="5776433"/>
              <a:chExt cx="4136462" cy="2721428"/>
            </a:xfrm>
            <a:solidFill>
              <a:schemeClr val="accent1">
                <a:lumMod val="60000"/>
                <a:lumOff val="40000"/>
              </a:schemeClr>
            </a:solidFill>
            <a:effectLst>
              <a:glow rad="101600">
                <a:schemeClr val="tx2">
                  <a:alpha val="60000"/>
                </a:schemeClr>
              </a:glow>
            </a:effectLst>
          </xdr:grpSpPr>
          <xdr:sp macro="" textlink="">
            <xdr:nvSpPr>
              <xdr:cNvPr id="5139" name="Rectangle: Rounded Corners 5138">
                <a:extLst>
                  <a:ext uri="{FF2B5EF4-FFF2-40B4-BE49-F238E27FC236}">
                    <a16:creationId xmlns:a16="http://schemas.microsoft.com/office/drawing/2014/main" id="{402C43F4-9828-CEE0-AE2A-191D4D747062}"/>
                  </a:ext>
                </a:extLst>
              </xdr:cNvPr>
              <xdr:cNvSpPr/>
            </xdr:nvSpPr>
            <xdr:spPr>
              <a:xfrm>
                <a:off x="2857680" y="5776433"/>
                <a:ext cx="4136462" cy="2721428"/>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chemeClr val="tx1"/>
                    </a:solidFill>
                  </a:rPr>
                  <a:t> </a:t>
                </a:r>
                <a:r>
                  <a:rPr lang="en-US" sz="1800" b="1">
                    <a:solidFill>
                      <a:schemeClr val="tx1"/>
                    </a:solidFill>
                    <a:effectLst/>
                    <a:latin typeface="+mn-lt"/>
                    <a:ea typeface="+mn-ea"/>
                    <a:cs typeface="+mn-cs"/>
                  </a:rPr>
                  <a:t>Average</a:t>
                </a:r>
                <a:r>
                  <a:rPr lang="en-US" sz="1800" b="1" baseline="0">
                    <a:solidFill>
                      <a:schemeClr val="tx1"/>
                    </a:solidFill>
                    <a:effectLst/>
                    <a:latin typeface="+mn-lt"/>
                    <a:ea typeface="+mn-ea"/>
                    <a:cs typeface="+mn-cs"/>
                  </a:rPr>
                  <a:t> Fuel Efficieny</a:t>
                </a:r>
                <a:endParaRPr lang="en-US" sz="1800">
                  <a:solidFill>
                    <a:schemeClr val="tx1"/>
                  </a:solidFill>
                  <a:effectLst/>
                </a:endParaRPr>
              </a:p>
              <a:p>
                <a:pPr algn="l"/>
                <a:endParaRPr lang="en-US" sz="1800" b="1">
                  <a:solidFill>
                    <a:schemeClr val="tx1"/>
                  </a:solidFill>
                </a:endParaRPr>
              </a:p>
            </xdr:txBody>
          </xdr:sp>
          <xdr:graphicFrame macro="">
            <xdr:nvGraphicFramePr>
              <xdr:cNvPr id="30" name="Chart 1">
                <a:extLst>
                  <a:ext uri="{FF2B5EF4-FFF2-40B4-BE49-F238E27FC236}">
                    <a16:creationId xmlns:a16="http://schemas.microsoft.com/office/drawing/2014/main" id="{C50A1F6F-0263-DA13-02A5-D9350409ED78}"/>
                  </a:ext>
                </a:extLst>
              </xdr:cNvPr>
              <xdr:cNvGraphicFramePr/>
            </xdr:nvGraphicFramePr>
            <xdr:xfrm>
              <a:off x="3050184" y="6408366"/>
              <a:ext cx="3806292" cy="1995715"/>
            </xdr:xfrm>
            <a:graphic>
              <a:graphicData uri="http://schemas.openxmlformats.org/drawingml/2006/chart">
                <c:chart xmlns:c="http://schemas.openxmlformats.org/drawingml/2006/chart" xmlns:r="http://schemas.openxmlformats.org/officeDocument/2006/relationships" r:id="rId16"/>
              </a:graphicData>
            </a:graphic>
          </xdr:graphicFrame>
          <xdr:pic>
            <xdr:nvPicPr>
              <xdr:cNvPr id="40" name="Graphic 39" descr="Transfer with solid fill">
                <a:extLst>
                  <a:ext uri="{FF2B5EF4-FFF2-40B4-BE49-F238E27FC236}">
                    <a16:creationId xmlns:a16="http://schemas.microsoft.com/office/drawing/2014/main" id="{B60BF5D1-2762-6BF0-7030-AD7172E304C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144075" y="5811058"/>
                <a:ext cx="844652" cy="836589"/>
              </a:xfrm>
              <a:prstGeom prst="rect">
                <a:avLst/>
              </a:prstGeom>
            </xdr:spPr>
          </xdr:pic>
        </xdr:grpSp>
        <xdr:grpSp>
          <xdr:nvGrpSpPr>
            <xdr:cNvPr id="35" name="Group 34">
              <a:extLst>
                <a:ext uri="{FF2B5EF4-FFF2-40B4-BE49-F238E27FC236}">
                  <a16:creationId xmlns:a16="http://schemas.microsoft.com/office/drawing/2014/main" id="{5F035F97-A666-9345-5912-0EFB94EB2F53}"/>
                </a:ext>
              </a:extLst>
            </xdr:cNvPr>
            <xdr:cNvGrpSpPr/>
          </xdr:nvGrpSpPr>
          <xdr:grpSpPr>
            <a:xfrm>
              <a:off x="3477155" y="400971"/>
              <a:ext cx="1668531" cy="961276"/>
              <a:chOff x="3257299" y="1632856"/>
              <a:chExt cx="1634666" cy="965672"/>
            </a:xfrm>
            <a:solidFill>
              <a:srgbClr val="002060"/>
            </a:solidFill>
            <a:effectLst>
              <a:glow rad="101600">
                <a:schemeClr val="bg1">
                  <a:alpha val="60000"/>
                </a:schemeClr>
              </a:glow>
              <a:outerShdw blurRad="76200" dir="18900000" sy="23000" kx="-1200000" algn="bl" rotWithShape="0">
                <a:prstClr val="black">
                  <a:alpha val="20000"/>
                </a:prstClr>
              </a:outerShdw>
            </a:effectLst>
          </xdr:grpSpPr>
          <xdr:sp macro="" textlink="">
            <xdr:nvSpPr>
              <xdr:cNvPr id="9" name="Rectangle: Rounded Corners 8">
                <a:extLst>
                  <a:ext uri="{FF2B5EF4-FFF2-40B4-BE49-F238E27FC236}">
                    <a16:creationId xmlns:a16="http://schemas.microsoft.com/office/drawing/2014/main" id="{4BF48CDE-EB95-4B6F-B058-BDA62861D382}"/>
                  </a:ext>
                </a:extLst>
              </xdr:cNvPr>
              <xdr:cNvSpPr/>
            </xdr:nvSpPr>
            <xdr:spPr>
              <a:xfrm>
                <a:off x="3257299" y="1632856"/>
                <a:ext cx="1634666" cy="965672"/>
              </a:xfrm>
              <a:prstGeom prst="roundRect">
                <a:avLst/>
              </a:prstGeom>
              <a:grp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  </a:t>
                </a:r>
                <a:r>
                  <a:rPr lang="en-US" sz="1100" b="1">
                    <a:solidFill>
                      <a:schemeClr val="bg1"/>
                    </a:solidFill>
                  </a:rPr>
                  <a:t>Utilization</a:t>
                </a:r>
                <a:endParaRPr lang="en-US" sz="1100" b="1">
                  <a:solidFill>
                    <a:schemeClr val="bg1"/>
                  </a:solidFill>
                  <a:latin typeface="Aptos" panose="020B0004020202020204" pitchFamily="34" charset="0"/>
                </a:endParaRPr>
              </a:p>
            </xdr:txBody>
          </xdr:sp>
          <xdr:sp macro="" textlink="Calculations!B6">
            <xdr:nvSpPr>
              <xdr:cNvPr id="62" name="TextBox 61">
                <a:extLst>
                  <a:ext uri="{FF2B5EF4-FFF2-40B4-BE49-F238E27FC236}">
                    <a16:creationId xmlns:a16="http://schemas.microsoft.com/office/drawing/2014/main" id="{B2E8063F-23DC-E17F-E7FF-E5D5792C0572}"/>
                  </a:ext>
                </a:extLst>
              </xdr:cNvPr>
              <xdr:cNvSpPr txBox="1"/>
            </xdr:nvSpPr>
            <xdr:spPr>
              <a:xfrm>
                <a:off x="3554746" y="2101914"/>
                <a:ext cx="1055977" cy="374797"/>
              </a:xfrm>
              <a:prstGeom prst="rect">
                <a:avLst/>
              </a:prstGeom>
              <a:grp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CEBF8C-4CE6-4C50-A06E-B55075991E84}" type="TxLink">
                  <a:rPr lang="en-US" sz="1600" b="1" i="0" u="none" strike="noStrike">
                    <a:solidFill>
                      <a:schemeClr val="bg1"/>
                    </a:solidFill>
                    <a:latin typeface="Calibri"/>
                    <a:ea typeface="Calibri"/>
                    <a:cs typeface="Calibri"/>
                  </a:rPr>
                  <a:pPr/>
                  <a:t>50023.9</a:t>
                </a:fld>
                <a:endParaRPr lang="en-US" sz="1600" b="1">
                  <a:solidFill>
                    <a:schemeClr val="bg1"/>
                  </a:solidFill>
                </a:endParaRPr>
              </a:p>
            </xdr:txBody>
          </xdr:sp>
        </xdr:grpSp>
        <xdr:grpSp>
          <xdr:nvGrpSpPr>
            <xdr:cNvPr id="51" name="Group 50">
              <a:extLst>
                <a:ext uri="{FF2B5EF4-FFF2-40B4-BE49-F238E27FC236}">
                  <a16:creationId xmlns:a16="http://schemas.microsoft.com/office/drawing/2014/main" id="{A494C3DD-D83E-E74E-50C8-2EE191E6AFBA}"/>
                </a:ext>
              </a:extLst>
            </xdr:cNvPr>
            <xdr:cNvGrpSpPr/>
          </xdr:nvGrpSpPr>
          <xdr:grpSpPr>
            <a:xfrm>
              <a:off x="4504532" y="1607343"/>
              <a:ext cx="1704895" cy="1031875"/>
              <a:chOff x="2233388" y="1802681"/>
              <a:chExt cx="1625117" cy="956577"/>
            </a:xfrm>
            <a:effectLst>
              <a:glow rad="101600">
                <a:schemeClr val="bg1">
                  <a:alpha val="60000"/>
                </a:schemeClr>
              </a:glow>
            </a:effectLst>
          </xdr:grpSpPr>
          <xdr:sp macro="" textlink="">
            <xdr:nvSpPr>
              <xdr:cNvPr id="19" name="Rectangle: Rounded Corners 18">
                <a:extLst>
                  <a:ext uri="{FF2B5EF4-FFF2-40B4-BE49-F238E27FC236}">
                    <a16:creationId xmlns:a16="http://schemas.microsoft.com/office/drawing/2014/main" id="{18BD7B82-46BD-4256-B6BC-0E7B17485ADD}"/>
                  </a:ext>
                </a:extLst>
              </xdr:cNvPr>
              <xdr:cNvSpPr/>
            </xdr:nvSpPr>
            <xdr:spPr>
              <a:xfrm>
                <a:off x="2233388" y="1802681"/>
                <a:ext cx="1625117" cy="956577"/>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solidFill>
                      <a:schemeClr val="bg1"/>
                    </a:solidFill>
                  </a:rPr>
                  <a:t>💰 Bunker Cost     Overview</a:t>
                </a:r>
              </a:p>
            </xdr:txBody>
          </xdr:sp>
          <xdr:sp macro="" textlink="Calculations!B10">
            <xdr:nvSpPr>
              <xdr:cNvPr id="5120" name="TextBox 5119">
                <a:extLst>
                  <a:ext uri="{FF2B5EF4-FFF2-40B4-BE49-F238E27FC236}">
                    <a16:creationId xmlns:a16="http://schemas.microsoft.com/office/drawing/2014/main" id="{46476D80-92EB-D3C0-7D8D-6D23A07201E6}"/>
                  </a:ext>
                </a:extLst>
              </xdr:cNvPr>
              <xdr:cNvSpPr txBox="1"/>
            </xdr:nvSpPr>
            <xdr:spPr>
              <a:xfrm>
                <a:off x="2462749" y="2311197"/>
                <a:ext cx="1132373" cy="329654"/>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7B8204-D31C-442C-9BDC-803BF59B142A}" type="TxLink">
                  <a:rPr lang="en-US" sz="1400" b="1" i="0" u="none" strike="noStrike">
                    <a:solidFill>
                      <a:schemeClr val="bg1"/>
                    </a:solidFill>
                    <a:latin typeface="Calibri"/>
                    <a:ea typeface="Calibri"/>
                    <a:cs typeface="Calibri"/>
                  </a:rPr>
                  <a:pPr/>
                  <a:t>28895137.79</a:t>
                </a:fld>
                <a:endParaRPr lang="en-US" sz="1400" b="1">
                  <a:solidFill>
                    <a:schemeClr val="bg1"/>
                  </a:solidFill>
                </a:endParaRPr>
              </a:p>
            </xdr:txBody>
          </xdr:sp>
        </xdr:grpSp>
        <xdr:sp macro="" textlink="">
          <xdr:nvSpPr>
            <xdr:cNvPr id="53" name="TextBox 52">
              <a:extLst>
                <a:ext uri="{FF2B5EF4-FFF2-40B4-BE49-F238E27FC236}">
                  <a16:creationId xmlns:a16="http://schemas.microsoft.com/office/drawing/2014/main" id="{FBF48EB7-6CAC-6413-1FAF-9288CF7D55A8}"/>
                </a:ext>
              </a:extLst>
            </xdr:cNvPr>
            <xdr:cNvSpPr txBox="1"/>
          </xdr:nvSpPr>
          <xdr:spPr>
            <a:xfrm>
              <a:off x="6151563" y="207554"/>
              <a:ext cx="7362123" cy="957862"/>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solidFill>
                    <a:schemeClr val="tx1"/>
                  </a:solidFill>
                  <a:latin typeface="Bauhaus 93" panose="04030905020B02020C02" pitchFamily="82" charset="0"/>
                </a:rPr>
                <a:t>       marine fuel fleet consumption</a:t>
              </a:r>
            </a:p>
          </xdr:txBody>
        </xdr:sp>
        <xdr:grpSp>
          <xdr:nvGrpSpPr>
            <xdr:cNvPr id="2" name="Group 1">
              <a:extLst>
                <a:ext uri="{FF2B5EF4-FFF2-40B4-BE49-F238E27FC236}">
                  <a16:creationId xmlns:a16="http://schemas.microsoft.com/office/drawing/2014/main" id="{9488FD5F-3F22-7F1D-BCA8-CE6F1F720581}"/>
                </a:ext>
              </a:extLst>
            </xdr:cNvPr>
            <xdr:cNvGrpSpPr/>
          </xdr:nvGrpSpPr>
          <xdr:grpSpPr>
            <a:xfrm>
              <a:off x="39688" y="0"/>
              <a:ext cx="3044139" cy="9959202"/>
              <a:chOff x="0" y="0"/>
              <a:chExt cx="3044139" cy="9959202"/>
            </a:xfrm>
          </xdr:grpSpPr>
          <xdr:sp macro="" textlink="">
            <xdr:nvSpPr>
              <xdr:cNvPr id="5133" name="Rectangle 5132">
                <a:extLst>
                  <a:ext uri="{FF2B5EF4-FFF2-40B4-BE49-F238E27FC236}">
                    <a16:creationId xmlns:a16="http://schemas.microsoft.com/office/drawing/2014/main" id="{20B63D85-2E8E-DF27-788B-F2A449346F87}"/>
                  </a:ext>
                </a:extLst>
              </xdr:cNvPr>
              <xdr:cNvSpPr/>
            </xdr:nvSpPr>
            <xdr:spPr>
              <a:xfrm>
                <a:off x="0" y="0"/>
                <a:ext cx="3044139" cy="995920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 name="Ship Name">
                    <a:extLst>
                      <a:ext uri="{FF2B5EF4-FFF2-40B4-BE49-F238E27FC236}">
                        <a16:creationId xmlns:a16="http://schemas.microsoft.com/office/drawing/2014/main" id="{20C90804-B185-426F-9FEA-41DACC7570E6}"/>
                      </a:ext>
                    </a:extLst>
                  </xdr:cNvPr>
                  <xdr:cNvGraphicFramePr/>
                </xdr:nvGraphicFramePr>
                <xdr:xfrm>
                  <a:off x="122058" y="3950742"/>
                  <a:ext cx="2780028" cy="2573562"/>
                </xdr:xfrm>
                <a:graphic>
                  <a:graphicData uri="http://schemas.microsoft.com/office/drawing/2010/slicer">
                    <sle:slicer xmlns:sle="http://schemas.microsoft.com/office/drawing/2010/slicer" name="Ship Name"/>
                  </a:graphicData>
                </a:graphic>
              </xdr:graphicFrame>
            </mc:Choice>
            <mc:Fallback>
              <xdr:sp macro="" textlink="">
                <xdr:nvSpPr>
                  <xdr:cNvPr id="0" name=""/>
                  <xdr:cNvSpPr>
                    <a:spLocks noTextEdit="1"/>
                  </xdr:cNvSpPr>
                </xdr:nvSpPr>
                <xdr:spPr>
                  <a:xfrm>
                    <a:off x="4461677" y="5441189"/>
                    <a:ext cx="3795370" cy="2960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5" name="TextBox 54">
                <a:extLst>
                  <a:ext uri="{FF2B5EF4-FFF2-40B4-BE49-F238E27FC236}">
                    <a16:creationId xmlns:a16="http://schemas.microsoft.com/office/drawing/2014/main" id="{629D3644-EE95-15C9-E6BE-C07AC33CB3BE}"/>
                  </a:ext>
                </a:extLst>
              </xdr:cNvPr>
              <xdr:cNvSpPr txBox="1"/>
            </xdr:nvSpPr>
            <xdr:spPr>
              <a:xfrm>
                <a:off x="380170" y="3341297"/>
                <a:ext cx="2214906" cy="321750"/>
              </a:xfrm>
              <a:prstGeom prst="rect">
                <a:avLst/>
              </a:prstGeom>
              <a:ln>
                <a:solidFill>
                  <a:schemeClr val="accent5">
                    <a:lumMod val="60000"/>
                    <a:lumOff val="4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800">
                    <a:solidFill>
                      <a:schemeClr val="tx2">
                        <a:lumMod val="50000"/>
                      </a:schemeClr>
                    </a:solidFill>
                    <a:latin typeface="Franklin Gothic Heavy" panose="020B0903020102020204" pitchFamily="34" charset="0"/>
                  </a:rPr>
                  <a:t>select ship name</a:t>
                </a:r>
              </a:p>
            </xdr:txBody>
          </xdr:sp>
          <xdr:pic>
            <xdr:nvPicPr>
              <xdr:cNvPr id="58" name="Picture 57">
                <a:extLst>
                  <a:ext uri="{FF2B5EF4-FFF2-40B4-BE49-F238E27FC236}">
                    <a16:creationId xmlns:a16="http://schemas.microsoft.com/office/drawing/2014/main" id="{6DB0AD79-6E90-E42E-001B-A6D435E066D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12381" y="337345"/>
                <a:ext cx="2565743" cy="2599530"/>
              </a:xfrm>
              <a:prstGeom prst="rect">
                <a:avLst/>
              </a:prstGeom>
            </xdr:spPr>
          </xdr:pic>
          <xdr:pic>
            <xdr:nvPicPr>
              <xdr:cNvPr id="5121" name="Picture 5120">
                <a:extLst>
                  <a:ext uri="{FF2B5EF4-FFF2-40B4-BE49-F238E27FC236}">
                    <a16:creationId xmlns:a16="http://schemas.microsoft.com/office/drawing/2014/main" id="{F7BF81C4-1DAA-DF29-BE2D-3ABBE6669777}"/>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9153" y="7024688"/>
                <a:ext cx="2899585" cy="2520157"/>
              </a:xfrm>
              <a:prstGeom prst="rect">
                <a:avLst/>
              </a:prstGeom>
            </xdr:spPr>
          </xdr:pic>
        </xdr:grpSp>
        <xdr:sp macro="" textlink="">
          <xdr:nvSpPr>
            <xdr:cNvPr id="5135" name="Rectangle 5134">
              <a:extLst>
                <a:ext uri="{FF2B5EF4-FFF2-40B4-BE49-F238E27FC236}">
                  <a16:creationId xmlns:a16="http://schemas.microsoft.com/office/drawing/2014/main" id="{8E2EC592-0BDA-16B5-F7E8-DD24E10F57E8}"/>
                </a:ext>
              </a:extLst>
            </xdr:cNvPr>
            <xdr:cNvSpPr/>
          </xdr:nvSpPr>
          <xdr:spPr>
            <a:xfrm>
              <a:off x="17442711" y="-24623"/>
              <a:ext cx="3965146" cy="991366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endParaRPr lang="en-US" sz="2400" b="1">
                <a:latin typeface="Franklin Gothic Heavy" panose="020B0903020102020204" pitchFamily="34" charset="0"/>
              </a:endParaRPr>
            </a:p>
            <a:p>
              <a:pPr algn="l"/>
              <a:r>
                <a:rPr lang="en-US" sz="2400" b="1" baseline="0">
                  <a:latin typeface="Franklin Gothic Heavy" panose="020B0903020102020204" pitchFamily="34" charset="0"/>
                </a:rPr>
                <a:t>         </a:t>
              </a:r>
            </a:p>
            <a:p>
              <a:pPr algn="l"/>
              <a:r>
                <a:rPr lang="en-US" sz="2400" b="1" baseline="0">
                  <a:latin typeface="Franklin Gothic Heavy" panose="020B0903020102020204" pitchFamily="34" charset="0"/>
                </a:rPr>
                <a:t>          </a:t>
              </a:r>
            </a:p>
            <a:p>
              <a:pPr algn="l"/>
              <a:r>
                <a:rPr lang="en-US" sz="2400" b="1" baseline="0">
                  <a:latin typeface="Franklin Gothic Heavy" panose="020B0903020102020204" pitchFamily="34" charset="0"/>
                </a:rPr>
                <a:t>        </a:t>
              </a:r>
            </a:p>
            <a:p>
              <a:pPr algn="l"/>
              <a:r>
                <a:rPr lang="en-US" sz="2400" b="1" baseline="0">
                  <a:latin typeface="Franklin Gothic Heavy" panose="020B0903020102020204" pitchFamily="34" charset="0"/>
                </a:rPr>
                <a:t>          </a:t>
              </a:r>
            </a:p>
            <a:p>
              <a:pPr algn="l"/>
              <a:endParaRPr lang="en-US" sz="2400" b="1" baseline="0">
                <a:latin typeface="Franklin Gothic Heavy" panose="020B0903020102020204" pitchFamily="34" charset="0"/>
              </a:endParaRPr>
            </a:p>
            <a:p>
              <a:pPr algn="l"/>
              <a:r>
                <a:rPr lang="en-US" sz="2400" b="1">
                  <a:latin typeface="Franklin Gothic Heavy" panose="020B0903020102020204" pitchFamily="34" charset="0"/>
                </a:rPr>
                <a:t>    </a:t>
              </a:r>
            </a:p>
            <a:p>
              <a:pPr algn="l"/>
              <a:endParaRPr lang="en-US" sz="2400" b="1">
                <a:latin typeface="Franklin Gothic Heavy" panose="020B0903020102020204" pitchFamily="34" charset="0"/>
              </a:endParaRPr>
            </a:p>
            <a:p>
              <a:pPr algn="l"/>
              <a:r>
                <a:rPr lang="en-US" sz="2400" b="1">
                  <a:latin typeface="Franklin Gothic Heavy" panose="020B0903020102020204" pitchFamily="34" charset="0"/>
                </a:rPr>
                <a:t>        Key Insight:</a:t>
              </a:r>
              <a:r>
                <a:rPr lang="en-US" sz="2400">
                  <a:latin typeface="Franklin Gothic Heavy" panose="020B0903020102020204" pitchFamily="34" charset="0"/>
                </a:rPr>
                <a:t>   </a:t>
              </a:r>
            </a:p>
            <a:p>
              <a:pPr algn="l"/>
              <a:r>
                <a:rPr lang="en-US" sz="2400">
                  <a:latin typeface="Franklin Gothic Heavy" panose="020B0903020102020204" pitchFamily="34" charset="0"/>
                </a:rPr>
                <a:t>                                                              Fuel consumption    varies     across ships and weather</a:t>
              </a:r>
              <a:r>
                <a:rPr lang="en-US" sz="2400" baseline="0">
                  <a:latin typeface="Franklin Gothic Heavy" panose="020B0903020102020204" pitchFamily="34" charset="0"/>
                </a:rPr>
                <a:t>    </a:t>
              </a:r>
              <a:r>
                <a:rPr lang="en-US" sz="2400">
                  <a:latin typeface="Franklin Gothic Heavy" panose="020B0903020102020204" pitchFamily="34" charset="0"/>
                </a:rPr>
                <a:t>conditions, impacting overall fleet efficiency.</a:t>
              </a:r>
            </a:p>
          </xdr:txBody>
        </xdr:sp>
        <xdr:pic>
          <xdr:nvPicPr>
            <xdr:cNvPr id="5146" name="Graphic 5145" descr="Marker with solid fill">
              <a:extLst>
                <a:ext uri="{FF2B5EF4-FFF2-40B4-BE49-F238E27FC236}">
                  <a16:creationId xmlns:a16="http://schemas.microsoft.com/office/drawing/2014/main" id="{243F9EDF-4803-AD68-9285-7C83B71B11C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0255227" y="7077412"/>
              <a:ext cx="914400" cy="914400"/>
            </a:xfrm>
            <a:prstGeom prst="rect">
              <a:avLst/>
            </a:prstGeom>
          </xdr:spPr>
        </xdr:pic>
      </xdr:grpSp>
      <xdr:pic>
        <xdr:nvPicPr>
          <xdr:cNvPr id="6" name="Picture 5">
            <a:extLst>
              <a:ext uri="{FF2B5EF4-FFF2-40B4-BE49-F238E27FC236}">
                <a16:creationId xmlns:a16="http://schemas.microsoft.com/office/drawing/2014/main" id="{248F7489-78A1-BF35-8757-4DE74044335A}"/>
              </a:ext>
            </a:extLst>
          </xdr:cNvPr>
          <xdr:cNvPicPr>
            <a:picLocks noChangeAspect="1"/>
          </xdr:cNvPicPr>
        </xdr:nvPicPr>
        <xdr:blipFill>
          <a:blip xmlns:r="http://schemas.openxmlformats.org/officeDocument/2006/relationships" r:embed="rId23">
            <a:biLevel thresh="75000"/>
            <a:extLst>
              <a:ext uri="{BEBA8EAE-BF5A-486C-A8C5-ECC9F3942E4B}">
                <a14:imgProps xmlns:a14="http://schemas.microsoft.com/office/drawing/2010/main">
                  <a14:imgLayer r:embed="rId2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6330272" y="1475695"/>
            <a:ext cx="4309611" cy="6856645"/>
          </a:xfrm>
          <a:prstGeom prst="rect">
            <a:avLst/>
          </a:prstGeom>
        </xdr:spPr>
      </xdr:pic>
      <xdr:pic>
        <xdr:nvPicPr>
          <xdr:cNvPr id="11" name="Picture 10">
            <a:extLst>
              <a:ext uri="{FF2B5EF4-FFF2-40B4-BE49-F238E27FC236}">
                <a16:creationId xmlns:a16="http://schemas.microsoft.com/office/drawing/2014/main" id="{85FD24C6-6D0F-136E-B027-98F0418988AF}"/>
              </a:ext>
            </a:extLst>
          </xdr:cNvPr>
          <xdr:cNvPicPr>
            <a:picLocks noChangeAspect="1"/>
          </xdr:cNvPicPr>
        </xdr:nvPicPr>
        <xdr:blipFill>
          <a:blip xmlns:r="http://schemas.openxmlformats.org/officeDocument/2006/relationships" r:embed="rId25">
            <a:extLst>
              <a:ext uri="{BEBA8EAE-BF5A-486C-A8C5-ECC9F3942E4B}">
                <a14:imgProps xmlns:a14="http://schemas.microsoft.com/office/drawing/2010/main">
                  <a14:imgLayer r:embed="rId2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6009125" y="0"/>
            <a:ext cx="4616189" cy="4353877"/>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4.50011400463" createdVersion="8" refreshedVersion="8" minRefreshableVersion="3" recordCount="1000" xr:uid="{66B0D79A-F012-4274-B140-579997827103}">
  <cacheSource type="worksheet">
    <worksheetSource name="tablemarinefuel3"/>
  </cacheSource>
  <cacheFields count="24">
    <cacheField name="Date" numFmtId="164">
      <sharedItems containsSemiMixedTypes="0" containsNonDate="0" containsDate="1" containsString="0" minDate="2025-01-01T00:00:00" maxDate="2026-01-01T00:00:00" count="344">
        <d v="2025-03-17T00:00:00"/>
        <d v="2025-06-02T00:00:00"/>
        <d v="2025-04-26T00:00:00"/>
        <d v="2025-12-10T00:00:00"/>
        <d v="2025-12-18T00:00:00"/>
        <d v="2025-11-19T00:00:00"/>
        <d v="2025-04-19T00:00:00"/>
        <d v="2025-04-16T00:00:00"/>
        <d v="2025-02-05T00:00:00"/>
        <d v="2025-08-13T00:00:00"/>
        <d v="2025-10-21T00:00:00"/>
        <d v="2025-04-24T00:00:00"/>
        <d v="2025-09-15T00:00:00"/>
        <d v="2025-04-30T00:00:00"/>
        <d v="2025-03-21T00:00:00"/>
        <d v="2025-06-03T00:00:00"/>
        <d v="2025-12-16T00:00:00"/>
        <d v="2025-01-01T00:00:00"/>
        <d v="2025-04-15T00:00:00"/>
        <d v="2025-06-20T00:00:00"/>
        <d v="2025-12-29T00:00:00"/>
        <d v="2025-08-30T00:00:00"/>
        <d v="2025-03-16T00:00:00"/>
        <d v="2025-08-02T00:00:00"/>
        <d v="2025-02-20T00:00:00"/>
        <d v="2025-03-06T00:00:00"/>
        <d v="2025-06-12T00:00:00"/>
        <d v="2025-01-19T00:00:00"/>
        <d v="2025-03-01T00:00:00"/>
        <d v="2025-12-25T00:00:00"/>
        <d v="2025-04-09T00:00:00"/>
        <d v="2025-04-17T00:00:00"/>
        <d v="2025-04-03T00:00:00"/>
        <d v="2025-03-09T00:00:00"/>
        <d v="2025-03-07T00:00:00"/>
        <d v="2025-12-05T00:00:00"/>
        <d v="2025-02-09T00:00:00"/>
        <d v="2025-05-21T00:00:00"/>
        <d v="2025-07-05T00:00:00"/>
        <d v="2025-01-18T00:00:00"/>
        <d v="2025-03-05T00:00:00"/>
        <d v="2025-10-24T00:00:00"/>
        <d v="2025-05-23T00:00:00"/>
        <d v="2025-05-30T00:00:00"/>
        <d v="2025-02-23T00:00:00"/>
        <d v="2025-09-30T00:00:00"/>
        <d v="2025-05-13T00:00:00"/>
        <d v="2025-11-10T00:00:00"/>
        <d v="2025-06-16T00:00:00"/>
        <d v="2025-10-18T00:00:00"/>
        <d v="2025-02-02T00:00:00"/>
        <d v="2025-06-15T00:00:00"/>
        <d v="2025-10-27T00:00:00"/>
        <d v="2025-10-09T00:00:00"/>
        <d v="2025-01-17T00:00:00"/>
        <d v="2025-11-07T00:00:00"/>
        <d v="2025-03-02T00:00:00"/>
        <d v="2025-09-05T00:00:00"/>
        <d v="2025-11-05T00:00:00"/>
        <d v="2025-08-06T00:00:00"/>
        <d v="2025-08-09T00:00:00"/>
        <d v="2025-09-12T00:00:00"/>
        <d v="2025-07-25T00:00:00"/>
        <d v="2025-12-07T00:00:00"/>
        <d v="2025-11-26T00:00:00"/>
        <d v="2025-12-22T00:00:00"/>
        <d v="2025-05-19T00:00:00"/>
        <d v="2025-04-28T00:00:00"/>
        <d v="2025-05-07T00:00:00"/>
        <d v="2025-09-18T00:00:00"/>
        <d v="2025-11-20T00:00:00"/>
        <d v="2025-01-13T00:00:00"/>
        <d v="2025-05-18T00:00:00"/>
        <d v="2025-06-24T00:00:00"/>
        <d v="2025-08-07T00:00:00"/>
        <d v="2025-07-20T00:00:00"/>
        <d v="2025-03-13T00:00:00"/>
        <d v="2025-03-25T00:00:00"/>
        <d v="2025-12-04T00:00:00"/>
        <d v="2025-10-19T00:00:00"/>
        <d v="2025-08-04T00:00:00"/>
        <d v="2025-09-17T00:00:00"/>
        <d v="2025-05-02T00:00:00"/>
        <d v="2025-06-26T00:00:00"/>
        <d v="2025-01-05T00:00:00"/>
        <d v="2025-05-05T00:00:00"/>
        <d v="2025-06-11T00:00:00"/>
        <d v="2025-01-07T00:00:00"/>
        <d v="2025-11-12T00:00:00"/>
        <d v="2025-06-07T00:00:00"/>
        <d v="2025-01-22T00:00:00"/>
        <d v="2025-02-04T00:00:00"/>
        <d v="2025-01-23T00:00:00"/>
        <d v="2025-04-02T00:00:00"/>
        <d v="2025-02-21T00:00:00"/>
        <d v="2025-12-23T00:00:00"/>
        <d v="2025-08-28T00:00:00"/>
        <d v="2025-11-18T00:00:00"/>
        <d v="2025-08-08T00:00:00"/>
        <d v="2025-10-16T00:00:00"/>
        <d v="2025-03-22T00:00:00"/>
        <d v="2025-08-03T00:00:00"/>
        <d v="2025-10-06T00:00:00"/>
        <d v="2025-04-18T00:00:00"/>
        <d v="2025-01-10T00:00:00"/>
        <d v="2025-03-28T00:00:00"/>
        <d v="2025-11-21T00:00:00"/>
        <d v="2025-01-28T00:00:00"/>
        <d v="2025-11-29T00:00:00"/>
        <d v="2025-02-26T00:00:00"/>
        <d v="2025-07-04T00:00:00"/>
        <d v="2025-10-25T00:00:00"/>
        <d v="2025-03-31T00:00:00"/>
        <d v="2025-09-28T00:00:00"/>
        <d v="2025-07-27T00:00:00"/>
        <d v="2025-10-13T00:00:00"/>
        <d v="2025-09-23T00:00:00"/>
        <d v="2025-08-20T00:00:00"/>
        <d v="2025-02-07T00:00:00"/>
        <d v="2025-01-20T00:00:00"/>
        <d v="2025-07-17T00:00:00"/>
        <d v="2025-04-04T00:00:00"/>
        <d v="2025-04-13T00:00:00"/>
        <d v="2025-12-28T00:00:00"/>
        <d v="2025-02-10T00:00:00"/>
        <d v="2025-05-28T00:00:00"/>
        <d v="2025-02-12T00:00:00"/>
        <d v="2025-08-22T00:00:00"/>
        <d v="2025-01-30T00:00:00"/>
        <d v="2025-10-11T00:00:00"/>
        <d v="2025-08-15T00:00:00"/>
        <d v="2025-07-31T00:00:00"/>
        <d v="2025-12-15T00:00:00"/>
        <d v="2025-05-26T00:00:00"/>
        <d v="2025-01-24T00:00:00"/>
        <d v="2025-06-25T00:00:00"/>
        <d v="2025-08-21T00:00:00"/>
        <d v="2025-07-28T00:00:00"/>
        <d v="2025-11-22T00:00:00"/>
        <d v="2025-06-18T00:00:00"/>
        <d v="2025-08-11T00:00:00"/>
        <d v="2025-04-11T00:00:00"/>
        <d v="2025-10-23T00:00:00"/>
        <d v="2025-11-23T00:00:00"/>
        <d v="2025-07-03T00:00:00"/>
        <d v="2025-12-12T00:00:00"/>
        <d v="2025-08-26T00:00:00"/>
        <d v="2025-11-03T00:00:00"/>
        <d v="2025-06-28T00:00:00"/>
        <d v="2025-01-15T00:00:00"/>
        <d v="2025-08-19T00:00:00"/>
        <d v="2025-09-06T00:00:00"/>
        <d v="2025-01-25T00:00:00"/>
        <d v="2025-12-13T00:00:00"/>
        <d v="2025-05-20T00:00:00"/>
        <d v="2025-03-26T00:00:00"/>
        <d v="2025-10-05T00:00:00"/>
        <d v="2025-09-24T00:00:00"/>
        <d v="2025-10-12T00:00:00"/>
        <d v="2025-06-19T00:00:00"/>
        <d v="2025-01-27T00:00:00"/>
        <d v="2025-01-02T00:00:00"/>
        <d v="2025-09-09T00:00:00"/>
        <d v="2025-05-29T00:00:00"/>
        <d v="2025-01-06T00:00:00"/>
        <d v="2025-02-25T00:00:00"/>
        <d v="2025-02-28T00:00:00"/>
        <d v="2025-07-13T00:00:00"/>
        <d v="2025-10-29T00:00:00"/>
        <d v="2025-07-23T00:00:00"/>
        <d v="2025-11-17T00:00:00"/>
        <d v="2025-07-21T00:00:00"/>
        <d v="2025-09-07T00:00:00"/>
        <d v="2025-04-05T00:00:00"/>
        <d v="2025-07-30T00:00:00"/>
        <d v="2025-04-01T00:00:00"/>
        <d v="2025-05-12T00:00:00"/>
        <d v="2025-06-22T00:00:00"/>
        <d v="2025-12-03T00:00:00"/>
        <d v="2025-02-22T00:00:00"/>
        <d v="2025-05-14T00:00:00"/>
        <d v="2025-10-08T00:00:00"/>
        <d v="2025-08-23T00:00:00"/>
        <d v="2025-11-25T00:00:00"/>
        <d v="2025-01-16T00:00:00"/>
        <d v="2025-11-09T00:00:00"/>
        <d v="2025-02-19T00:00:00"/>
        <d v="2025-03-27T00:00:00"/>
        <d v="2025-06-29T00:00:00"/>
        <d v="2025-12-08T00:00:00"/>
        <d v="2025-02-03T00:00:00"/>
        <d v="2025-01-29T00:00:00"/>
        <d v="2025-03-23T00:00:00"/>
        <d v="2025-12-11T00:00:00"/>
        <d v="2025-11-24T00:00:00"/>
        <d v="2025-04-07T00:00:00"/>
        <d v="2025-06-10T00:00:00"/>
        <d v="2025-02-17T00:00:00"/>
        <d v="2025-10-28T00:00:00"/>
        <d v="2025-05-17T00:00:00"/>
        <d v="2025-05-16T00:00:00"/>
        <d v="2025-08-29T00:00:00"/>
        <d v="2025-07-08T00:00:00"/>
        <d v="2025-11-02T00:00:00"/>
        <d v="2025-09-25T00:00:00"/>
        <d v="2025-02-08T00:00:00"/>
        <d v="2025-10-03T00:00:00"/>
        <d v="2025-06-13T00:00:00"/>
        <d v="2025-08-31T00:00:00"/>
        <d v="2025-03-10T00:00:00"/>
        <d v="2025-07-16T00:00:00"/>
        <d v="2025-09-19T00:00:00"/>
        <d v="2025-03-30T00:00:00"/>
        <d v="2025-12-09T00:00:00"/>
        <d v="2025-09-16T00:00:00"/>
        <d v="2025-06-23T00:00:00"/>
        <d v="2025-02-14T00:00:00"/>
        <d v="2025-09-10T00:00:00"/>
        <d v="2025-07-15T00:00:00"/>
        <d v="2025-07-11T00:00:00"/>
        <d v="2025-03-14T00:00:00"/>
        <d v="2025-06-01T00:00:00"/>
        <d v="2025-07-07T00:00:00"/>
        <d v="2025-04-21T00:00:00"/>
        <d v="2025-04-23T00:00:00"/>
        <d v="2025-07-02T00:00:00"/>
        <d v="2025-04-14T00:00:00"/>
        <d v="2025-04-22T00:00:00"/>
        <d v="2025-07-12T00:00:00"/>
        <d v="2025-06-21T00:00:00"/>
        <d v="2025-08-12T00:00:00"/>
        <d v="2025-04-29T00:00:00"/>
        <d v="2025-05-31T00:00:00"/>
        <d v="2025-02-11T00:00:00"/>
        <d v="2025-05-24T00:00:00"/>
        <d v="2025-11-15T00:00:00"/>
        <d v="2025-01-08T00:00:00"/>
        <d v="2025-08-14T00:00:00"/>
        <d v="2025-11-04T00:00:00"/>
        <d v="2025-08-01T00:00:00"/>
        <d v="2025-02-06T00:00:00"/>
        <d v="2025-02-27T00:00:00"/>
        <d v="2025-08-16T00:00:00"/>
        <d v="2025-05-03T00:00:00"/>
        <d v="2025-08-24T00:00:00"/>
        <d v="2025-03-08T00:00:00"/>
        <d v="2025-09-29T00:00:00"/>
        <d v="2025-05-04T00:00:00"/>
        <d v="2025-10-10T00:00:00"/>
        <d v="2025-01-14T00:00:00"/>
        <d v="2025-08-05T00:00:00"/>
        <d v="2025-01-31T00:00:00"/>
        <d v="2025-01-11T00:00:00"/>
        <d v="2025-10-07T00:00:00"/>
        <d v="2025-04-12T00:00:00"/>
        <d v="2025-04-06T00:00:00"/>
        <d v="2025-10-15T00:00:00"/>
        <d v="2025-12-31T00:00:00"/>
        <d v="2025-06-04T00:00:00"/>
        <d v="2025-12-19T00:00:00"/>
        <d v="2025-11-16T00:00:00"/>
        <d v="2025-07-14T00:00:00"/>
        <d v="2025-08-27T00:00:00"/>
        <d v="2025-05-09T00:00:00"/>
        <d v="2025-02-01T00:00:00"/>
        <d v="2025-11-06T00:00:00"/>
        <d v="2025-09-20T00:00:00"/>
        <d v="2025-12-21T00:00:00"/>
        <d v="2025-11-01T00:00:00"/>
        <d v="2025-01-03T00:00:00"/>
        <d v="2025-06-06T00:00:00"/>
        <d v="2025-09-03T00:00:00"/>
        <d v="2025-09-14T00:00:00"/>
        <d v="2025-11-08T00:00:00"/>
        <d v="2025-11-27T00:00:00"/>
        <d v="2025-07-26T00:00:00"/>
        <d v="2025-10-04T00:00:00"/>
        <d v="2025-11-13T00:00:00"/>
        <d v="2025-01-21T00:00:00"/>
        <d v="2025-02-18T00:00:00"/>
        <d v="2025-03-04T00:00:00"/>
        <d v="2025-05-01T00:00:00"/>
        <d v="2025-04-08T00:00:00"/>
        <d v="2025-07-10T00:00:00"/>
        <d v="2025-01-12T00:00:00"/>
        <d v="2025-11-14T00:00:00"/>
        <d v="2025-03-18T00:00:00"/>
        <d v="2025-10-01T00:00:00"/>
        <d v="2025-01-09T00:00:00"/>
        <d v="2025-02-15T00:00:00"/>
        <d v="2025-03-15T00:00:00"/>
        <d v="2025-08-17T00:00:00"/>
        <d v="2025-10-02T00:00:00"/>
        <d v="2025-12-30T00:00:00"/>
        <d v="2025-07-19T00:00:00"/>
        <d v="2025-09-11T00:00:00"/>
        <d v="2025-04-10T00:00:00"/>
        <d v="2025-10-26T00:00:00"/>
        <d v="2025-04-20T00:00:00"/>
        <d v="2025-10-31T00:00:00"/>
        <d v="2025-05-11T00:00:00"/>
        <d v="2025-05-08T00:00:00"/>
        <d v="2025-12-24T00:00:00"/>
        <d v="2025-06-09T00:00:00"/>
        <d v="2025-05-06T00:00:00"/>
        <d v="2025-06-14T00:00:00"/>
        <d v="2025-03-24T00:00:00"/>
        <d v="2025-09-21T00:00:00"/>
        <d v="2025-01-26T00:00:00"/>
        <d v="2025-08-25T00:00:00"/>
        <d v="2025-12-01T00:00:00"/>
        <d v="2025-07-24T00:00:00"/>
        <d v="2025-04-25T00:00:00"/>
        <d v="2025-03-29T00:00:00"/>
        <d v="2025-10-30T00:00:00"/>
        <d v="2025-10-14T00:00:00"/>
        <d v="2025-11-28T00:00:00"/>
        <d v="2025-09-27T00:00:00"/>
        <d v="2025-05-15T00:00:00"/>
        <d v="2025-03-03T00:00:00"/>
        <d v="2025-06-05T00:00:00"/>
        <d v="2025-09-04T00:00:00"/>
        <d v="2025-08-18T00:00:00"/>
        <d v="2025-03-19T00:00:00"/>
        <d v="2025-12-26T00:00:00"/>
        <d v="2025-09-08T00:00:00"/>
        <d v="2025-06-17T00:00:00"/>
        <d v="2025-09-22T00:00:00"/>
        <d v="2025-07-18T00:00:00"/>
        <d v="2025-11-11T00:00:00"/>
        <d v="2025-09-01T00:00:00"/>
        <d v="2025-05-22T00:00:00"/>
        <d v="2025-10-20T00:00:00"/>
        <d v="2025-02-13T00:00:00"/>
        <d v="2025-12-20T00:00:00"/>
        <d v="2025-07-01T00:00:00"/>
        <d v="2025-08-10T00:00:00"/>
        <d v="2025-03-12T00:00:00"/>
        <d v="2025-04-27T00:00:00"/>
        <d v="2025-07-29T00:00:00"/>
        <d v="2025-12-06T00:00:00"/>
        <d v="2025-10-17T00:00:00"/>
        <d v="2025-06-08T00:00:00"/>
        <d v="2025-09-13T00:00:00"/>
      </sharedItems>
    </cacheField>
    <cacheField name="Ship ID" numFmtId="0">
      <sharedItems count="80">
        <s v="S177"/>
        <s v="S134"/>
        <s v="S154"/>
        <s v="S136"/>
        <s v="S146"/>
        <s v="S118"/>
        <s v="S160"/>
        <s v="S155"/>
        <s v="S157"/>
        <s v="S131"/>
        <s v="S101"/>
        <s v="S112"/>
        <s v="S129"/>
        <s v="S175"/>
        <s v="S130"/>
        <s v="S165"/>
        <s v="S151"/>
        <s v="S153"/>
        <s v="S104"/>
        <s v="S116"/>
        <s v="S174"/>
        <s v="S121"/>
        <s v="S161"/>
        <s v="S143"/>
        <s v="S152"/>
        <s v="S123"/>
        <s v="S156"/>
        <s v="S107"/>
        <s v="S163"/>
        <s v="S124"/>
        <s v="S170"/>
        <s v="S103"/>
        <s v="S102"/>
        <s v="S149"/>
        <s v="S140"/>
        <s v="S125"/>
        <s v="S115"/>
        <s v="S105"/>
        <s v="S126"/>
        <s v="S142"/>
        <s v="S114"/>
        <s v="S148"/>
        <s v="S117"/>
        <s v="S171"/>
        <s v="S178"/>
        <s v="S119"/>
        <s v="S167"/>
        <s v="S164"/>
        <s v="S166"/>
        <s v="S137"/>
        <s v="S159"/>
        <s v="S150"/>
        <s v="S168"/>
        <s v="S172"/>
        <s v="S144"/>
        <s v="S113"/>
        <s v="S133"/>
        <s v="S139"/>
        <s v="S145"/>
        <s v="S147"/>
        <s v="S127"/>
        <s v="S106"/>
        <s v="S179"/>
        <s v="S158"/>
        <s v="S128"/>
        <s v="S169"/>
        <s v="S108"/>
        <s v="S111"/>
        <s v="S135"/>
        <s v="S173"/>
        <s v="S180"/>
        <s v="S109"/>
        <s v="S122"/>
        <s v="S162"/>
        <s v="S110"/>
        <s v="S138"/>
        <s v="S141"/>
        <s v="S120"/>
        <s v="S176"/>
        <s v="S132"/>
      </sharedItems>
    </cacheField>
    <cacheField name="Ship Name" numFmtId="0">
      <sharedItems count="8">
        <s v="Marine Pearl"/>
        <s v="Neptune"/>
        <s v="Ocean Star"/>
        <s v="Coral Wave"/>
        <s v="Blue Whale"/>
        <s v="Sea Queen"/>
        <s v="Atlantic King"/>
        <s v="Ocean Glory"/>
      </sharedItems>
    </cacheField>
    <cacheField name="Voyage" numFmtId="0">
      <sharedItems/>
    </cacheField>
    <cacheField name="Departure Port" numFmtId="0">
      <sharedItems/>
    </cacheField>
    <cacheField name="Arrival Port" numFmtId="0">
      <sharedItems/>
    </cacheField>
    <cacheField name="Fuel Type" numFmtId="0">
      <sharedItems count="4">
        <s v="LNG"/>
        <s v="HSFO"/>
        <s v="MGO"/>
        <s v="VLSFO"/>
      </sharedItems>
    </cacheField>
    <cacheField name="Fuel Consumed (MT)" numFmtId="0">
      <sharedItems containsSemiMixedTypes="0" containsString="0" containsNumber="1" minValue="20" maxValue="79.7"/>
    </cacheField>
    <cacheField name="Distance (NM)" numFmtId="0">
      <sharedItems containsSemiMixedTypes="0" containsString="0" containsNumber="1" containsInteger="1" minValue="501" maxValue="5000"/>
    </cacheField>
    <cacheField name="Engine Hours" numFmtId="0">
      <sharedItems containsSemiMixedTypes="0" containsString="0" containsNumber="1" containsInteger="1" minValue="20" maxValue="120"/>
    </cacheField>
    <cacheField name="Avg Speed" numFmtId="0">
      <sharedItems containsSemiMixedTypes="0" containsString="0" containsNumber="1" minValue="10" maxValue="22"/>
    </cacheField>
    <cacheField name="Weather" numFmtId="0">
      <sharedItems count="4">
        <s v="Rain"/>
        <s v="Fog"/>
        <s v="Storm"/>
        <s v="Clear"/>
      </sharedItems>
    </cacheField>
    <cacheField name="Fuel Cost (USD)" numFmtId="0">
      <sharedItems containsSemiMixedTypes="0" containsString="0" containsNumber="1" minValue="9199.49" maxValue="55147.82"/>
    </cacheField>
    <cacheField name="Cargo Weight (Tons)" numFmtId="0">
      <sharedItems containsSemiMixedTypes="0" containsString="0" containsNumber="1" containsInteger="1" minValue="5084" maxValue="29970"/>
    </cacheField>
    <cacheField name="Captain" numFmtId="0">
      <sharedItems/>
    </cacheField>
    <cacheField name="Delay" numFmtId="0">
      <sharedItems count="2">
        <s v="Yes"/>
        <s v="No"/>
      </sharedItems>
    </cacheField>
    <cacheField name="fuel efficiency " numFmtId="0">
      <sharedItems containsSemiMixedTypes="0" containsString="0" containsNumber="1" minValue="6.56" maxValue="241.22"/>
    </cacheField>
    <cacheField name="cost per NM" numFmtId="0">
      <sharedItems containsSemiMixedTypes="0" containsString="0" containsNumber="1" minValue="1.98" maxValue="93.33"/>
    </cacheField>
    <cacheField name="cost per ton" numFmtId="0">
      <sharedItems containsSemiMixedTypes="0" containsString="0" containsNumber="1" minValue="0.39" maxValue="9.48"/>
    </cacheField>
    <cacheField name="voyage status" numFmtId="0">
      <sharedItems/>
    </cacheField>
    <cacheField name="fuel category" numFmtId="0">
      <sharedItems/>
    </cacheField>
    <cacheField name="weather risk" numFmtId="0">
      <sharedItems/>
    </cacheField>
    <cacheField name="Month" numFmtId="0">
      <sharedItems count="12">
        <s v="Mar"/>
        <s v="Jun"/>
        <s v="Apr"/>
        <s v="Dec"/>
        <s v="Nov"/>
        <s v="Feb"/>
        <s v="Aug"/>
        <s v="Oct"/>
        <s v="Sep"/>
        <s v="Jan"/>
        <s v="May"/>
        <s v="Jul"/>
      </sharedItems>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652521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V1002"/>
    <s v="Colombo"/>
    <s v="Dubai"/>
    <x v="0"/>
    <n v="39.5"/>
    <n v="3970"/>
    <n v="74"/>
    <n v="15.1"/>
    <x v="0"/>
    <n v="17870.599999999999"/>
    <n v="19856"/>
    <s v="John"/>
    <x v="0"/>
    <n v="100.51"/>
    <n v="4.5"/>
    <n v="0.9"/>
    <s v="Delayed"/>
    <s v="Low"/>
    <s v="Medium Risk"/>
    <x v="0"/>
    <n v="2025"/>
  </r>
  <r>
    <x v="1"/>
    <x v="1"/>
    <x v="0"/>
    <s v="V1003"/>
    <s v="Dubai"/>
    <s v="Colombo"/>
    <x v="1"/>
    <n v="63"/>
    <n v="869"/>
    <n v="52"/>
    <n v="17.399999999999999"/>
    <x v="0"/>
    <n v="37907.49"/>
    <n v="6641"/>
    <s v="Chen"/>
    <x v="0"/>
    <n v="13.79"/>
    <n v="43.62"/>
    <n v="5.71"/>
    <s v="Delayed"/>
    <s v="High"/>
    <s v="Medium Risk"/>
    <x v="1"/>
    <n v="2025"/>
  </r>
  <r>
    <x v="2"/>
    <x v="2"/>
    <x v="1"/>
    <s v="V1004"/>
    <s v="Singapore"/>
    <s v="Colombo"/>
    <x v="2"/>
    <n v="78.400000000000006"/>
    <n v="4515"/>
    <n v="99"/>
    <n v="10.5"/>
    <x v="1"/>
    <n v="44977.43"/>
    <n v="17249"/>
    <s v="Sato"/>
    <x v="0"/>
    <n v="57.59"/>
    <n v="9.9600000000000009"/>
    <n v="2.61"/>
    <s v="Delayed"/>
    <s v="High"/>
    <s v="Low Risk"/>
    <x v="2"/>
    <n v="2025"/>
  </r>
  <r>
    <x v="3"/>
    <x v="3"/>
    <x v="0"/>
    <s v="V1005"/>
    <s v="Colombo"/>
    <s v="Hamburg"/>
    <x v="2"/>
    <n v="41.8"/>
    <n v="1658"/>
    <n v="53"/>
    <n v="11"/>
    <x v="2"/>
    <n v="27960.2"/>
    <n v="21070"/>
    <s v="Ahmed"/>
    <x v="0"/>
    <n v="39.67"/>
    <n v="16.86"/>
    <n v="1.33"/>
    <s v="Delayed"/>
    <s v="Medium"/>
    <s v="High Risk"/>
    <x v="3"/>
    <n v="2025"/>
  </r>
  <r>
    <x v="4"/>
    <x v="0"/>
    <x v="2"/>
    <s v="V1006"/>
    <s v="Mumbai"/>
    <s v="Rotterdam"/>
    <x v="1"/>
    <n v="41.5"/>
    <n v="4765"/>
    <n v="68"/>
    <n v="13.9"/>
    <x v="0"/>
    <n v="28336.29"/>
    <n v="26589"/>
    <s v="John"/>
    <x v="0"/>
    <n v="114.82"/>
    <n v="5.95"/>
    <n v="1.07"/>
    <s v="Delayed"/>
    <s v="Medium"/>
    <s v="Medium Risk"/>
    <x v="3"/>
    <n v="2025"/>
  </r>
  <r>
    <x v="5"/>
    <x v="4"/>
    <x v="3"/>
    <s v="V1007"/>
    <s v="Mumbai"/>
    <s v="Dubai"/>
    <x v="1"/>
    <n v="51.9"/>
    <n v="4847"/>
    <n v="69"/>
    <n v="17.600000000000001"/>
    <x v="1"/>
    <n v="32552.799999999999"/>
    <n v="11621"/>
    <s v="Rahul"/>
    <x v="0"/>
    <n v="93.39"/>
    <n v="6.72"/>
    <n v="2.8"/>
    <s v="Delayed"/>
    <s v="Medium"/>
    <s v="Low Risk"/>
    <x v="4"/>
    <n v="2025"/>
  </r>
  <r>
    <x v="6"/>
    <x v="5"/>
    <x v="2"/>
    <s v="V1008"/>
    <s v="Chennai"/>
    <s v="Hamburg"/>
    <x v="2"/>
    <n v="77.3"/>
    <n v="3652"/>
    <n v="22"/>
    <n v="17"/>
    <x v="1"/>
    <n v="47055.839999999997"/>
    <n v="22644"/>
    <s v="Sato"/>
    <x v="0"/>
    <n v="47.24"/>
    <n v="12.88"/>
    <n v="2.08"/>
    <s v="Delayed"/>
    <s v="High"/>
    <s v="Low Risk"/>
    <x v="2"/>
    <n v="2025"/>
  </r>
  <r>
    <x v="7"/>
    <x v="6"/>
    <x v="2"/>
    <s v="V1009"/>
    <s v="Busan"/>
    <s v="Chennai"/>
    <x v="0"/>
    <n v="68.900000000000006"/>
    <n v="4126"/>
    <n v="76"/>
    <n v="20"/>
    <x v="1"/>
    <n v="36241.78"/>
    <n v="8549"/>
    <s v="Michael"/>
    <x v="0"/>
    <n v="59.88"/>
    <n v="8.7799999999999994"/>
    <n v="4.24"/>
    <s v="Delayed"/>
    <s v="High"/>
    <s v="Low Risk"/>
    <x v="2"/>
    <n v="2025"/>
  </r>
  <r>
    <x v="8"/>
    <x v="7"/>
    <x v="4"/>
    <s v="V1010"/>
    <s v="Mumbai"/>
    <s v="Colombo"/>
    <x v="3"/>
    <n v="31.3"/>
    <n v="4996"/>
    <n v="33"/>
    <n v="16.600000000000001"/>
    <x v="1"/>
    <n v="20476.79"/>
    <n v="6737"/>
    <s v="John"/>
    <x v="0"/>
    <n v="159.62"/>
    <n v="4.0999999999999996"/>
    <n v="3.04"/>
    <s v="Delayed"/>
    <s v="Low"/>
    <s v="Low Risk"/>
    <x v="5"/>
    <n v="2025"/>
  </r>
  <r>
    <x v="9"/>
    <x v="8"/>
    <x v="3"/>
    <s v="V1011"/>
    <s v="Mumbai"/>
    <s v="Hamburg"/>
    <x v="3"/>
    <n v="46"/>
    <n v="1137"/>
    <n v="115"/>
    <n v="11.5"/>
    <x v="2"/>
    <n v="31147.41"/>
    <n v="18177"/>
    <s v="Rahul"/>
    <x v="0"/>
    <n v="24.72"/>
    <n v="27.39"/>
    <n v="1.71"/>
    <s v="Delayed"/>
    <s v="Medium"/>
    <s v="High Risk"/>
    <x v="6"/>
    <n v="2025"/>
  </r>
  <r>
    <x v="10"/>
    <x v="9"/>
    <x v="4"/>
    <s v="V1012"/>
    <s v="Rotterdam"/>
    <s v="Hamburg"/>
    <x v="3"/>
    <n v="24.4"/>
    <n v="988"/>
    <n v="79"/>
    <n v="20.5"/>
    <x v="3"/>
    <n v="12956.12"/>
    <n v="22324"/>
    <s v="Michael"/>
    <x v="1"/>
    <n v="40.49"/>
    <n v="13.11"/>
    <n v="0.57999999999999996"/>
    <s v="On Time"/>
    <s v="Low"/>
    <s v="Low Risk"/>
    <x v="7"/>
    <n v="2025"/>
  </r>
  <r>
    <x v="11"/>
    <x v="10"/>
    <x v="1"/>
    <s v="V1013"/>
    <s v="Hamburg"/>
    <s v="Singapore"/>
    <x v="3"/>
    <n v="37.200000000000003"/>
    <n v="4128"/>
    <n v="71"/>
    <n v="18.5"/>
    <x v="2"/>
    <n v="21039.21"/>
    <n v="6190"/>
    <s v="Sato"/>
    <x v="0"/>
    <n v="110.97"/>
    <n v="5.0999999999999996"/>
    <n v="3.4"/>
    <s v="Delayed"/>
    <s v="Low"/>
    <s v="High Risk"/>
    <x v="2"/>
    <n v="2025"/>
  </r>
  <r>
    <x v="12"/>
    <x v="11"/>
    <x v="2"/>
    <s v="V1014"/>
    <s v="Busan"/>
    <s v="Chennai"/>
    <x v="2"/>
    <n v="25.6"/>
    <n v="4240"/>
    <n v="38"/>
    <n v="16.7"/>
    <x v="0"/>
    <n v="12857.28"/>
    <n v="26850"/>
    <s v="Arun"/>
    <x v="0"/>
    <n v="165.63"/>
    <n v="3.03"/>
    <n v="0.48"/>
    <s v="Delayed"/>
    <s v="Low"/>
    <s v="Medium Risk"/>
    <x v="8"/>
    <n v="2025"/>
  </r>
  <r>
    <x v="13"/>
    <x v="3"/>
    <x v="3"/>
    <s v="V1015"/>
    <s v="Busan"/>
    <s v="Hamburg"/>
    <x v="3"/>
    <n v="39.1"/>
    <n v="4508"/>
    <n v="24"/>
    <n v="16.399999999999999"/>
    <x v="0"/>
    <n v="25018.36"/>
    <n v="21612"/>
    <s v="Arun"/>
    <x v="0"/>
    <n v="115.29"/>
    <n v="5.55"/>
    <n v="1.1599999999999999"/>
    <s v="Delayed"/>
    <s v="Low"/>
    <s v="Medium Risk"/>
    <x v="2"/>
    <n v="2025"/>
  </r>
  <r>
    <x v="14"/>
    <x v="12"/>
    <x v="3"/>
    <s v="V1016"/>
    <s v="Dubai"/>
    <s v="Mumbai"/>
    <x v="2"/>
    <n v="74.099999999999994"/>
    <n v="660"/>
    <n v="111"/>
    <n v="12.9"/>
    <x v="3"/>
    <n v="48188.32"/>
    <n v="25325"/>
    <s v="John"/>
    <x v="1"/>
    <n v="8.91"/>
    <n v="73.010000000000005"/>
    <n v="1.9"/>
    <s v="On Time"/>
    <s v="High"/>
    <s v="Low Risk"/>
    <x v="0"/>
    <n v="2025"/>
  </r>
  <r>
    <x v="15"/>
    <x v="13"/>
    <x v="0"/>
    <s v="V1017"/>
    <s v="Hamburg"/>
    <s v="Rotterdam"/>
    <x v="0"/>
    <n v="71.900000000000006"/>
    <n v="1853"/>
    <n v="108"/>
    <n v="10.6"/>
    <x v="0"/>
    <n v="44327.89"/>
    <n v="26533"/>
    <s v="David"/>
    <x v="0"/>
    <n v="25.77"/>
    <n v="23.92"/>
    <n v="1.67"/>
    <s v="Delayed"/>
    <s v="High"/>
    <s v="Medium Risk"/>
    <x v="1"/>
    <n v="2025"/>
  </r>
  <r>
    <x v="16"/>
    <x v="14"/>
    <x v="3"/>
    <s v="V1018"/>
    <s v="Colombo"/>
    <s v="Rotterdam"/>
    <x v="1"/>
    <n v="71.2"/>
    <n v="3853"/>
    <n v="68"/>
    <n v="11"/>
    <x v="2"/>
    <n v="42334.41"/>
    <n v="19513"/>
    <s v="David"/>
    <x v="0"/>
    <n v="54.12"/>
    <n v="10.99"/>
    <n v="2.17"/>
    <s v="Delayed"/>
    <s v="High"/>
    <s v="High Risk"/>
    <x v="3"/>
    <n v="2025"/>
  </r>
  <r>
    <x v="17"/>
    <x v="15"/>
    <x v="5"/>
    <s v="V1019"/>
    <s v="Hamburg"/>
    <s v="Dubai"/>
    <x v="2"/>
    <n v="52.6"/>
    <n v="2410"/>
    <n v="72"/>
    <n v="21.9"/>
    <x v="1"/>
    <n v="31953.96"/>
    <n v="11626"/>
    <s v="Rahul"/>
    <x v="0"/>
    <n v="45.82"/>
    <n v="13.26"/>
    <n v="2.75"/>
    <s v="Delayed"/>
    <s v="Medium"/>
    <s v="Low Risk"/>
    <x v="9"/>
    <n v="2025"/>
  </r>
  <r>
    <x v="18"/>
    <x v="16"/>
    <x v="2"/>
    <s v="V1020"/>
    <s v="Rotterdam"/>
    <s v="Colombo"/>
    <x v="1"/>
    <n v="29.5"/>
    <n v="4222"/>
    <n v="115"/>
    <n v="15.1"/>
    <x v="0"/>
    <n v="14811.28"/>
    <n v="13366"/>
    <s v="John"/>
    <x v="0"/>
    <n v="143.12"/>
    <n v="3.51"/>
    <n v="1.1100000000000001"/>
    <s v="Delayed"/>
    <s v="Low"/>
    <s v="Medium Risk"/>
    <x v="2"/>
    <n v="2025"/>
  </r>
  <r>
    <x v="19"/>
    <x v="17"/>
    <x v="2"/>
    <s v="V1021"/>
    <s v="Chennai"/>
    <s v="Dubai"/>
    <x v="3"/>
    <n v="67.7"/>
    <n v="1024"/>
    <n v="81"/>
    <n v="11.1"/>
    <x v="0"/>
    <n v="31721.32"/>
    <n v="26288"/>
    <s v="Chen"/>
    <x v="0"/>
    <n v="15.13"/>
    <n v="30.98"/>
    <n v="1.21"/>
    <s v="Delayed"/>
    <s v="High"/>
    <s v="Medium Risk"/>
    <x v="1"/>
    <n v="2025"/>
  </r>
  <r>
    <x v="20"/>
    <x v="18"/>
    <x v="1"/>
    <s v="V1022"/>
    <s v="Chennai"/>
    <s v="Singapore"/>
    <x v="1"/>
    <n v="74.099999999999994"/>
    <n v="957"/>
    <n v="92"/>
    <n v="22"/>
    <x v="3"/>
    <n v="48622.42"/>
    <n v="21128"/>
    <s v="Ahmed"/>
    <x v="1"/>
    <n v="12.91"/>
    <n v="50.81"/>
    <n v="2.2999999999999998"/>
    <s v="On Time"/>
    <s v="High"/>
    <s v="Low Risk"/>
    <x v="3"/>
    <n v="2025"/>
  </r>
  <r>
    <x v="21"/>
    <x v="19"/>
    <x v="3"/>
    <s v="V1023"/>
    <s v="Dubai"/>
    <s v="Chennai"/>
    <x v="3"/>
    <n v="33.799999999999997"/>
    <n v="4817"/>
    <n v="103"/>
    <n v="14.5"/>
    <x v="1"/>
    <n v="22345.46"/>
    <n v="27814"/>
    <s v="Ahmed"/>
    <x v="0"/>
    <n v="142.51"/>
    <n v="4.6399999999999997"/>
    <n v="0.8"/>
    <s v="Delayed"/>
    <s v="Low"/>
    <s v="Low Risk"/>
    <x v="6"/>
    <n v="2025"/>
  </r>
  <r>
    <x v="22"/>
    <x v="20"/>
    <x v="5"/>
    <s v="V1024"/>
    <s v="Singapore"/>
    <s v="Busan"/>
    <x v="0"/>
    <n v="73"/>
    <n v="4647"/>
    <n v="22"/>
    <n v="14.1"/>
    <x v="0"/>
    <n v="46677.34"/>
    <n v="23579"/>
    <s v="Ahmed"/>
    <x v="0"/>
    <n v="63.66"/>
    <n v="10.039999999999999"/>
    <n v="1.98"/>
    <s v="Delayed"/>
    <s v="High"/>
    <s v="Medium Risk"/>
    <x v="0"/>
    <n v="2025"/>
  </r>
  <r>
    <x v="23"/>
    <x v="21"/>
    <x v="6"/>
    <s v="V1025"/>
    <s v="Busan"/>
    <s v="Dubai"/>
    <x v="0"/>
    <n v="43.2"/>
    <n v="792"/>
    <n v="45"/>
    <n v="13.1"/>
    <x v="0"/>
    <n v="24599.38"/>
    <n v="7575"/>
    <s v="Chen"/>
    <x v="0"/>
    <n v="18.329999999999998"/>
    <n v="31.06"/>
    <n v="3.25"/>
    <s v="Delayed"/>
    <s v="Medium"/>
    <s v="Medium Risk"/>
    <x v="6"/>
    <n v="2025"/>
  </r>
  <r>
    <x v="4"/>
    <x v="22"/>
    <x v="1"/>
    <s v="V1026"/>
    <s v="Mumbai"/>
    <s v="Singapore"/>
    <x v="3"/>
    <n v="31.4"/>
    <n v="3989"/>
    <n v="105"/>
    <n v="10.8"/>
    <x v="0"/>
    <n v="16128.65"/>
    <n v="17097"/>
    <s v="Michael"/>
    <x v="0"/>
    <n v="127.04"/>
    <n v="4.04"/>
    <n v="0.94"/>
    <s v="Delayed"/>
    <s v="Low"/>
    <s v="Medium Risk"/>
    <x v="3"/>
    <n v="2025"/>
  </r>
  <r>
    <x v="24"/>
    <x v="23"/>
    <x v="0"/>
    <s v="V1027"/>
    <s v="Busan"/>
    <s v="Rotterdam"/>
    <x v="2"/>
    <n v="45"/>
    <n v="907"/>
    <n v="43"/>
    <n v="16.899999999999999"/>
    <x v="2"/>
    <n v="31335.279999999999"/>
    <n v="16219"/>
    <s v="Michael"/>
    <x v="0"/>
    <n v="20.16"/>
    <n v="34.549999999999997"/>
    <n v="1.93"/>
    <s v="Delayed"/>
    <s v="Medium"/>
    <s v="High Risk"/>
    <x v="5"/>
    <n v="2025"/>
  </r>
  <r>
    <x v="25"/>
    <x v="24"/>
    <x v="2"/>
    <s v="V1028"/>
    <s v="Busan"/>
    <s v="Rotterdam"/>
    <x v="0"/>
    <n v="23.1"/>
    <n v="1410"/>
    <n v="43"/>
    <n v="11.3"/>
    <x v="2"/>
    <n v="12743.47"/>
    <n v="27653"/>
    <s v="John"/>
    <x v="0"/>
    <n v="61.04"/>
    <n v="9.0399999999999991"/>
    <n v="0.46"/>
    <s v="Delayed"/>
    <s v="Low"/>
    <s v="High Risk"/>
    <x v="0"/>
    <n v="2025"/>
  </r>
  <r>
    <x v="26"/>
    <x v="17"/>
    <x v="6"/>
    <s v="V1029"/>
    <s v="Busan"/>
    <s v="Dubai"/>
    <x v="0"/>
    <n v="45.9"/>
    <n v="1703"/>
    <n v="104"/>
    <n v="22"/>
    <x v="3"/>
    <n v="21870.09"/>
    <n v="9185"/>
    <s v="John"/>
    <x v="1"/>
    <n v="37.1"/>
    <n v="12.84"/>
    <n v="2.38"/>
    <s v="On Time"/>
    <s v="Medium"/>
    <s v="Low Risk"/>
    <x v="1"/>
    <n v="2025"/>
  </r>
  <r>
    <x v="27"/>
    <x v="25"/>
    <x v="6"/>
    <s v="V1030"/>
    <s v="Colombo"/>
    <s v="Mumbai"/>
    <x v="3"/>
    <n v="54.8"/>
    <n v="2388"/>
    <n v="70"/>
    <n v="13.9"/>
    <x v="1"/>
    <n v="30431.15"/>
    <n v="14979"/>
    <s v="Michael"/>
    <x v="0"/>
    <n v="43.58"/>
    <n v="12.74"/>
    <n v="2.0299999999999998"/>
    <s v="Delayed"/>
    <s v="Medium"/>
    <s v="Low Risk"/>
    <x v="9"/>
    <n v="2025"/>
  </r>
  <r>
    <x v="28"/>
    <x v="26"/>
    <x v="6"/>
    <s v="V1031"/>
    <s v="Singapore"/>
    <s v="Mumbai"/>
    <x v="0"/>
    <n v="43.8"/>
    <n v="2060"/>
    <n v="54"/>
    <n v="14.4"/>
    <x v="0"/>
    <n v="21864.77"/>
    <n v="5760"/>
    <s v="Arun"/>
    <x v="0"/>
    <n v="47.03"/>
    <n v="10.61"/>
    <n v="3.8"/>
    <s v="Delayed"/>
    <s v="Medium"/>
    <s v="Medium Risk"/>
    <x v="0"/>
    <n v="2025"/>
  </r>
  <r>
    <x v="5"/>
    <x v="20"/>
    <x v="6"/>
    <s v="V1032"/>
    <s v="Mumbai"/>
    <s v="Singapore"/>
    <x v="3"/>
    <n v="75.400000000000006"/>
    <n v="3371"/>
    <n v="95"/>
    <n v="21.8"/>
    <x v="1"/>
    <n v="47336.1"/>
    <n v="24957"/>
    <s v="Chen"/>
    <x v="0"/>
    <n v="44.71"/>
    <n v="14.04"/>
    <n v="1.9"/>
    <s v="Delayed"/>
    <s v="High"/>
    <s v="Low Risk"/>
    <x v="4"/>
    <n v="2025"/>
  </r>
  <r>
    <x v="29"/>
    <x v="27"/>
    <x v="5"/>
    <s v="V1033"/>
    <s v="Rotterdam"/>
    <s v="Dubai"/>
    <x v="0"/>
    <n v="55.1"/>
    <n v="4954"/>
    <n v="60"/>
    <n v="12.1"/>
    <x v="0"/>
    <n v="32882.28"/>
    <n v="27860"/>
    <s v="Sato"/>
    <x v="0"/>
    <n v="89.91"/>
    <n v="6.64"/>
    <n v="1.18"/>
    <s v="Delayed"/>
    <s v="Medium"/>
    <s v="Medium Risk"/>
    <x v="3"/>
    <n v="2025"/>
  </r>
  <r>
    <x v="30"/>
    <x v="28"/>
    <x v="3"/>
    <s v="V1034"/>
    <s v="Colombo"/>
    <s v="Dubai"/>
    <x v="2"/>
    <n v="33.5"/>
    <n v="2940"/>
    <n v="110"/>
    <n v="10.4"/>
    <x v="2"/>
    <n v="16857.36"/>
    <n v="11123"/>
    <s v="Ahmed"/>
    <x v="0"/>
    <n v="87.76"/>
    <n v="5.73"/>
    <n v="1.52"/>
    <s v="Delayed"/>
    <s v="Low"/>
    <s v="High Risk"/>
    <x v="2"/>
    <n v="2025"/>
  </r>
  <r>
    <x v="31"/>
    <x v="29"/>
    <x v="2"/>
    <s v="V1035"/>
    <s v="Mumbai"/>
    <s v="Rotterdam"/>
    <x v="0"/>
    <n v="51.2"/>
    <n v="986"/>
    <n v="88"/>
    <n v="18.7"/>
    <x v="0"/>
    <n v="31511.06"/>
    <n v="14930"/>
    <s v="Arun"/>
    <x v="0"/>
    <n v="19.260000000000002"/>
    <n v="31.96"/>
    <n v="2.11"/>
    <s v="Delayed"/>
    <s v="Medium"/>
    <s v="Medium Risk"/>
    <x v="2"/>
    <n v="2025"/>
  </r>
  <r>
    <x v="32"/>
    <x v="30"/>
    <x v="7"/>
    <s v="V1036"/>
    <s v="Dubai"/>
    <s v="Colombo"/>
    <x v="2"/>
    <n v="62.3"/>
    <n v="1437"/>
    <n v="97"/>
    <n v="17.3"/>
    <x v="3"/>
    <n v="30497.23"/>
    <n v="7769"/>
    <s v="Chen"/>
    <x v="1"/>
    <n v="23.07"/>
    <n v="21.22"/>
    <n v="3.93"/>
    <s v="On Time"/>
    <s v="High"/>
    <s v="Low Risk"/>
    <x v="2"/>
    <n v="2025"/>
  </r>
  <r>
    <x v="33"/>
    <x v="19"/>
    <x v="2"/>
    <s v="V1037"/>
    <s v="Mumbai"/>
    <s v="Hamburg"/>
    <x v="2"/>
    <n v="41.7"/>
    <n v="4485"/>
    <n v="42"/>
    <n v="11.9"/>
    <x v="2"/>
    <n v="19504.669999999998"/>
    <n v="20533"/>
    <s v="Ahmed"/>
    <x v="0"/>
    <n v="107.55"/>
    <n v="4.3499999999999996"/>
    <n v="0.95"/>
    <s v="Delayed"/>
    <s v="Medium"/>
    <s v="High Risk"/>
    <x v="0"/>
    <n v="2025"/>
  </r>
  <r>
    <x v="34"/>
    <x v="31"/>
    <x v="0"/>
    <s v="V1038"/>
    <s v="Singapore"/>
    <s v="Mumbai"/>
    <x v="2"/>
    <n v="23.3"/>
    <n v="3630"/>
    <n v="105"/>
    <n v="17.2"/>
    <x v="0"/>
    <n v="11368.15"/>
    <n v="22520"/>
    <s v="John"/>
    <x v="0"/>
    <n v="155.79"/>
    <n v="3.13"/>
    <n v="0.5"/>
    <s v="Delayed"/>
    <s v="Low"/>
    <s v="Medium Risk"/>
    <x v="0"/>
    <n v="2025"/>
  </r>
  <r>
    <x v="35"/>
    <x v="9"/>
    <x v="2"/>
    <s v="V1039"/>
    <s v="Colombo"/>
    <s v="Rotterdam"/>
    <x v="3"/>
    <n v="40"/>
    <n v="1663"/>
    <n v="64"/>
    <n v="11.3"/>
    <x v="0"/>
    <n v="26741.360000000001"/>
    <n v="18020"/>
    <s v="Sato"/>
    <x v="0"/>
    <n v="41.58"/>
    <n v="16.079999999999998"/>
    <n v="1.48"/>
    <s v="Delayed"/>
    <s v="Medium"/>
    <s v="Medium Risk"/>
    <x v="3"/>
    <n v="2025"/>
  </r>
  <r>
    <x v="5"/>
    <x v="32"/>
    <x v="3"/>
    <s v="V1040"/>
    <s v="Mumbai"/>
    <s v="Dubai"/>
    <x v="2"/>
    <n v="55"/>
    <n v="1685"/>
    <n v="81"/>
    <n v="18.2"/>
    <x v="3"/>
    <n v="26464.17"/>
    <n v="17168"/>
    <s v="Chen"/>
    <x v="1"/>
    <n v="30.64"/>
    <n v="15.71"/>
    <n v="1.54"/>
    <s v="On Time"/>
    <s v="Medium"/>
    <s v="Low Risk"/>
    <x v="4"/>
    <n v="2025"/>
  </r>
  <r>
    <x v="36"/>
    <x v="27"/>
    <x v="6"/>
    <s v="V1041"/>
    <s v="Singapore"/>
    <s v="Chennai"/>
    <x v="1"/>
    <n v="54.5"/>
    <n v="2198"/>
    <n v="90"/>
    <n v="17.100000000000001"/>
    <x v="1"/>
    <n v="27516.6"/>
    <n v="26869"/>
    <s v="David"/>
    <x v="0"/>
    <n v="40.33"/>
    <n v="12.52"/>
    <n v="1.02"/>
    <s v="Delayed"/>
    <s v="Medium"/>
    <s v="Low Risk"/>
    <x v="5"/>
    <n v="2025"/>
  </r>
  <r>
    <x v="37"/>
    <x v="33"/>
    <x v="2"/>
    <s v="V1042"/>
    <s v="Dubai"/>
    <s v="Singapore"/>
    <x v="2"/>
    <n v="53.8"/>
    <n v="2268"/>
    <n v="63"/>
    <n v="19.600000000000001"/>
    <x v="2"/>
    <n v="35701.83"/>
    <n v="8349"/>
    <s v="John"/>
    <x v="0"/>
    <n v="42.16"/>
    <n v="15.74"/>
    <n v="4.28"/>
    <s v="Delayed"/>
    <s v="Medium"/>
    <s v="High Risk"/>
    <x v="10"/>
    <n v="2025"/>
  </r>
  <r>
    <x v="38"/>
    <x v="34"/>
    <x v="1"/>
    <s v="V1043"/>
    <s v="Mumbai"/>
    <s v="Chennai"/>
    <x v="2"/>
    <n v="29.3"/>
    <n v="3926"/>
    <n v="98"/>
    <n v="20.8"/>
    <x v="1"/>
    <n v="16029.66"/>
    <n v="13811"/>
    <s v="Michael"/>
    <x v="0"/>
    <n v="133.99"/>
    <n v="4.08"/>
    <n v="1.1599999999999999"/>
    <s v="Delayed"/>
    <s v="Low"/>
    <s v="Low Risk"/>
    <x v="11"/>
    <n v="2025"/>
  </r>
  <r>
    <x v="39"/>
    <x v="10"/>
    <x v="7"/>
    <s v="V1044"/>
    <s v="Dubai"/>
    <s v="Mumbai"/>
    <x v="0"/>
    <n v="47.5"/>
    <n v="1683"/>
    <n v="81"/>
    <n v="18.899999999999999"/>
    <x v="1"/>
    <n v="32873.129999999997"/>
    <n v="14195"/>
    <s v="Rahul"/>
    <x v="0"/>
    <n v="35.43"/>
    <n v="19.53"/>
    <n v="2.3199999999999998"/>
    <s v="Delayed"/>
    <s v="Medium"/>
    <s v="Low Risk"/>
    <x v="9"/>
    <n v="2025"/>
  </r>
  <r>
    <x v="40"/>
    <x v="35"/>
    <x v="6"/>
    <s v="V1045"/>
    <s v="Mumbai"/>
    <s v="Hamburg"/>
    <x v="1"/>
    <n v="71.400000000000006"/>
    <n v="2869"/>
    <n v="58"/>
    <n v="18.7"/>
    <x v="3"/>
    <n v="32245.05"/>
    <n v="10555"/>
    <s v="Chen"/>
    <x v="1"/>
    <n v="40.18"/>
    <n v="11.24"/>
    <n v="3.05"/>
    <s v="On Time"/>
    <s v="High"/>
    <s v="Low Risk"/>
    <x v="0"/>
    <n v="2025"/>
  </r>
  <r>
    <x v="41"/>
    <x v="36"/>
    <x v="0"/>
    <s v="V1046"/>
    <s v="Colombo"/>
    <s v="Hamburg"/>
    <x v="1"/>
    <n v="35.200000000000003"/>
    <n v="1005"/>
    <n v="69"/>
    <n v="19.2"/>
    <x v="1"/>
    <n v="20646.32"/>
    <n v="25774"/>
    <s v="John"/>
    <x v="0"/>
    <n v="28.55"/>
    <n v="20.54"/>
    <n v="0.8"/>
    <s v="Delayed"/>
    <s v="Low"/>
    <s v="Low Risk"/>
    <x v="7"/>
    <n v="2025"/>
  </r>
  <r>
    <x v="42"/>
    <x v="37"/>
    <x v="2"/>
    <s v="V1047"/>
    <s v="Rotterdam"/>
    <s v="Dubai"/>
    <x v="0"/>
    <n v="27.5"/>
    <n v="1948"/>
    <n v="33"/>
    <n v="17.5"/>
    <x v="1"/>
    <n v="16439.95"/>
    <n v="5624"/>
    <s v="Chen"/>
    <x v="0"/>
    <n v="70.84"/>
    <n v="8.44"/>
    <n v="2.92"/>
    <s v="Delayed"/>
    <s v="Low"/>
    <s v="Low Risk"/>
    <x v="10"/>
    <n v="2025"/>
  </r>
  <r>
    <x v="43"/>
    <x v="38"/>
    <x v="0"/>
    <s v="V1048"/>
    <s v="Colombo"/>
    <s v="Chennai"/>
    <x v="3"/>
    <n v="72.3"/>
    <n v="2463"/>
    <n v="89"/>
    <n v="21.7"/>
    <x v="0"/>
    <n v="39523.65"/>
    <n v="26992"/>
    <s v="Ahmed"/>
    <x v="0"/>
    <n v="34.07"/>
    <n v="16.05"/>
    <n v="1.46"/>
    <s v="Delayed"/>
    <s v="High"/>
    <s v="Medium Risk"/>
    <x v="10"/>
    <n v="2025"/>
  </r>
  <r>
    <x v="44"/>
    <x v="39"/>
    <x v="7"/>
    <s v="V1049"/>
    <s v="Colombo"/>
    <s v="Singapore"/>
    <x v="3"/>
    <n v="34.6"/>
    <n v="2609"/>
    <n v="77"/>
    <n v="17.5"/>
    <x v="0"/>
    <n v="19389.93"/>
    <n v="5098"/>
    <s v="David"/>
    <x v="0"/>
    <n v="75.400000000000006"/>
    <n v="7.43"/>
    <n v="3.8"/>
    <s v="Delayed"/>
    <s v="Low"/>
    <s v="Medium Risk"/>
    <x v="5"/>
    <n v="2025"/>
  </r>
  <r>
    <x v="45"/>
    <x v="12"/>
    <x v="2"/>
    <s v="V1050"/>
    <s v="Busan"/>
    <s v="Hamburg"/>
    <x v="0"/>
    <n v="61.8"/>
    <n v="4897"/>
    <n v="30"/>
    <n v="17"/>
    <x v="2"/>
    <n v="30034.99"/>
    <n v="11033"/>
    <s v="Chen"/>
    <x v="0"/>
    <n v="79.239999999999995"/>
    <n v="6.13"/>
    <n v="2.72"/>
    <s v="Delayed"/>
    <s v="High"/>
    <s v="High Risk"/>
    <x v="8"/>
    <n v="2025"/>
  </r>
  <r>
    <x v="46"/>
    <x v="40"/>
    <x v="1"/>
    <s v="V1051"/>
    <s v="Singapore"/>
    <s v="Hamburg"/>
    <x v="0"/>
    <n v="75.400000000000006"/>
    <n v="1557"/>
    <n v="68"/>
    <n v="11.6"/>
    <x v="3"/>
    <n v="51400.92"/>
    <n v="24297"/>
    <s v="Ahmed"/>
    <x v="1"/>
    <n v="20.65"/>
    <n v="33.01"/>
    <n v="2.12"/>
    <s v="On Time"/>
    <s v="High"/>
    <s v="Low Risk"/>
    <x v="10"/>
    <n v="2025"/>
  </r>
  <r>
    <x v="47"/>
    <x v="41"/>
    <x v="6"/>
    <s v="V1052"/>
    <s v="Hamburg"/>
    <s v="Colombo"/>
    <x v="2"/>
    <n v="27.3"/>
    <n v="4567"/>
    <n v="38"/>
    <n v="16.600000000000001"/>
    <x v="1"/>
    <n v="12297.66"/>
    <n v="9946"/>
    <s v="Arun"/>
    <x v="0"/>
    <n v="167.29"/>
    <n v="2.69"/>
    <n v="1.24"/>
    <s v="Delayed"/>
    <s v="Low"/>
    <s v="Low Risk"/>
    <x v="4"/>
    <n v="2025"/>
  </r>
  <r>
    <x v="48"/>
    <x v="17"/>
    <x v="7"/>
    <s v="V1053"/>
    <s v="Chennai"/>
    <s v="Rotterdam"/>
    <x v="0"/>
    <n v="76.8"/>
    <n v="4301"/>
    <n v="110"/>
    <n v="21.3"/>
    <x v="3"/>
    <n v="38894.03"/>
    <n v="16511"/>
    <s v="Arun"/>
    <x v="1"/>
    <n v="56"/>
    <n v="9.0399999999999991"/>
    <n v="2.36"/>
    <s v="On Time"/>
    <s v="High"/>
    <s v="Low Risk"/>
    <x v="1"/>
    <n v="2025"/>
  </r>
  <r>
    <x v="49"/>
    <x v="42"/>
    <x v="3"/>
    <s v="V1054"/>
    <s v="Colombo"/>
    <s v="Mumbai"/>
    <x v="2"/>
    <n v="69.900000000000006"/>
    <n v="638"/>
    <n v="78"/>
    <n v="20.100000000000001"/>
    <x v="0"/>
    <n v="39331.599999999999"/>
    <n v="28761"/>
    <s v="John"/>
    <x v="0"/>
    <n v="9.1300000000000008"/>
    <n v="61.65"/>
    <n v="1.37"/>
    <s v="Delayed"/>
    <s v="High"/>
    <s v="Medium Risk"/>
    <x v="7"/>
    <n v="2025"/>
  </r>
  <r>
    <x v="10"/>
    <x v="2"/>
    <x v="3"/>
    <s v="V1055"/>
    <s v="Busan"/>
    <s v="Colombo"/>
    <x v="2"/>
    <n v="53.5"/>
    <n v="3000"/>
    <n v="102"/>
    <n v="15.2"/>
    <x v="0"/>
    <n v="36726.57"/>
    <n v="24016"/>
    <s v="Michael"/>
    <x v="0"/>
    <n v="56.07"/>
    <n v="12.24"/>
    <n v="1.53"/>
    <s v="Delayed"/>
    <s v="Medium"/>
    <s v="Medium Risk"/>
    <x v="7"/>
    <n v="2025"/>
  </r>
  <r>
    <x v="50"/>
    <x v="43"/>
    <x v="1"/>
    <s v="V1056"/>
    <s v="Dubai"/>
    <s v="Mumbai"/>
    <x v="1"/>
    <n v="66.900000000000006"/>
    <n v="1455"/>
    <n v="76"/>
    <n v="17.5"/>
    <x v="0"/>
    <n v="45528.95"/>
    <n v="29225"/>
    <s v="Michael"/>
    <x v="0"/>
    <n v="21.75"/>
    <n v="31.29"/>
    <n v="1.56"/>
    <s v="Delayed"/>
    <s v="High"/>
    <s v="Medium Risk"/>
    <x v="5"/>
    <n v="2025"/>
  </r>
  <r>
    <x v="51"/>
    <x v="44"/>
    <x v="7"/>
    <s v="V1057"/>
    <s v="Dubai"/>
    <s v="Rotterdam"/>
    <x v="2"/>
    <n v="75.5"/>
    <n v="2441"/>
    <n v="107"/>
    <n v="11.9"/>
    <x v="0"/>
    <n v="49055.82"/>
    <n v="8497"/>
    <s v="John"/>
    <x v="0"/>
    <n v="32.33"/>
    <n v="20.100000000000001"/>
    <n v="5.77"/>
    <s v="Delayed"/>
    <s v="High"/>
    <s v="Medium Risk"/>
    <x v="1"/>
    <n v="2025"/>
  </r>
  <r>
    <x v="52"/>
    <x v="20"/>
    <x v="4"/>
    <s v="V1058"/>
    <s v="Singapore"/>
    <s v="Hamburg"/>
    <x v="2"/>
    <n v="53.5"/>
    <n v="1194"/>
    <n v="47"/>
    <n v="11.2"/>
    <x v="1"/>
    <n v="32040.9"/>
    <n v="7391"/>
    <s v="David"/>
    <x v="0"/>
    <n v="22.32"/>
    <n v="26.83"/>
    <n v="4.34"/>
    <s v="Delayed"/>
    <s v="Medium"/>
    <s v="Low Risk"/>
    <x v="7"/>
    <n v="2025"/>
  </r>
  <r>
    <x v="53"/>
    <x v="26"/>
    <x v="4"/>
    <s v="V1059"/>
    <s v="Colombo"/>
    <s v="Dubai"/>
    <x v="0"/>
    <n v="67.5"/>
    <n v="2672"/>
    <n v="101"/>
    <n v="11.5"/>
    <x v="3"/>
    <n v="43742"/>
    <n v="14109"/>
    <s v="Ahmed"/>
    <x v="1"/>
    <n v="39.590000000000003"/>
    <n v="16.37"/>
    <n v="3.1"/>
    <s v="On Time"/>
    <s v="High"/>
    <s v="Low Risk"/>
    <x v="7"/>
    <n v="2025"/>
  </r>
  <r>
    <x v="54"/>
    <x v="45"/>
    <x v="7"/>
    <s v="V1060"/>
    <s v="Singapore"/>
    <s v="Rotterdam"/>
    <x v="0"/>
    <n v="75.7"/>
    <n v="4144"/>
    <n v="107"/>
    <n v="18.399999999999999"/>
    <x v="1"/>
    <n v="42163.21"/>
    <n v="12959"/>
    <s v="David"/>
    <x v="0"/>
    <n v="54.74"/>
    <n v="10.17"/>
    <n v="3.25"/>
    <s v="Delayed"/>
    <s v="High"/>
    <s v="Low Risk"/>
    <x v="9"/>
    <n v="2025"/>
  </r>
  <r>
    <x v="55"/>
    <x v="46"/>
    <x v="4"/>
    <s v="V1061"/>
    <s v="Dubai"/>
    <s v="Busan"/>
    <x v="0"/>
    <n v="78.900000000000006"/>
    <n v="4249"/>
    <n v="110"/>
    <n v="16.2"/>
    <x v="2"/>
    <n v="45711.33"/>
    <n v="25782"/>
    <s v="John"/>
    <x v="0"/>
    <n v="53.85"/>
    <n v="10.76"/>
    <n v="1.77"/>
    <s v="Delayed"/>
    <s v="High"/>
    <s v="High Risk"/>
    <x v="4"/>
    <n v="2025"/>
  </r>
  <r>
    <x v="56"/>
    <x v="41"/>
    <x v="7"/>
    <s v="V1062"/>
    <s v="Colombo"/>
    <s v="Mumbai"/>
    <x v="1"/>
    <n v="24.4"/>
    <n v="4044"/>
    <n v="105"/>
    <n v="13"/>
    <x v="2"/>
    <n v="13122.97"/>
    <n v="14863"/>
    <s v="John"/>
    <x v="0"/>
    <n v="165.74"/>
    <n v="3.25"/>
    <n v="0.88"/>
    <s v="Delayed"/>
    <s v="Low"/>
    <s v="High Risk"/>
    <x v="0"/>
    <n v="2025"/>
  </r>
  <r>
    <x v="53"/>
    <x v="19"/>
    <x v="5"/>
    <s v="V1063"/>
    <s v="Dubai"/>
    <s v="Hamburg"/>
    <x v="1"/>
    <n v="68"/>
    <n v="4730"/>
    <n v="37"/>
    <n v="19.2"/>
    <x v="3"/>
    <n v="38360.449999999997"/>
    <n v="16325"/>
    <s v="Chen"/>
    <x v="1"/>
    <n v="69.56"/>
    <n v="8.11"/>
    <n v="2.35"/>
    <s v="On Time"/>
    <s v="High"/>
    <s v="Low Risk"/>
    <x v="7"/>
    <n v="2025"/>
  </r>
  <r>
    <x v="57"/>
    <x v="34"/>
    <x v="1"/>
    <s v="V1064"/>
    <s v="Singapore"/>
    <s v="Dubai"/>
    <x v="1"/>
    <n v="27.4"/>
    <n v="1863"/>
    <n v="82"/>
    <n v="15.5"/>
    <x v="1"/>
    <n v="17407.599999999999"/>
    <n v="11140"/>
    <s v="Michael"/>
    <x v="0"/>
    <n v="67.989999999999995"/>
    <n v="9.34"/>
    <n v="1.56"/>
    <s v="Delayed"/>
    <s v="Low"/>
    <s v="Low Risk"/>
    <x v="8"/>
    <n v="2025"/>
  </r>
  <r>
    <x v="58"/>
    <x v="15"/>
    <x v="0"/>
    <s v="V1065"/>
    <s v="Rotterdam"/>
    <s v="Busan"/>
    <x v="1"/>
    <n v="20.7"/>
    <n v="2529"/>
    <n v="93"/>
    <n v="16.7"/>
    <x v="2"/>
    <n v="11755.14"/>
    <n v="20199"/>
    <s v="Arun"/>
    <x v="0"/>
    <n v="122.17"/>
    <n v="4.6500000000000004"/>
    <n v="0.57999999999999996"/>
    <s v="Delayed"/>
    <s v="Low"/>
    <s v="High Risk"/>
    <x v="4"/>
    <n v="2025"/>
  </r>
  <r>
    <x v="59"/>
    <x v="3"/>
    <x v="0"/>
    <s v="V1066"/>
    <s v="Rotterdam"/>
    <s v="Busan"/>
    <x v="2"/>
    <n v="79"/>
    <n v="4695"/>
    <n v="87"/>
    <n v="16.600000000000001"/>
    <x v="2"/>
    <n v="39252.370000000003"/>
    <n v="20424"/>
    <s v="Michael"/>
    <x v="0"/>
    <n v="59.43"/>
    <n v="8.36"/>
    <n v="1.92"/>
    <s v="Delayed"/>
    <s v="High"/>
    <s v="High Risk"/>
    <x v="6"/>
    <n v="2025"/>
  </r>
  <r>
    <x v="60"/>
    <x v="12"/>
    <x v="0"/>
    <s v="V1067"/>
    <s v="Hamburg"/>
    <s v="Singapore"/>
    <x v="0"/>
    <n v="73"/>
    <n v="2935"/>
    <n v="101"/>
    <n v="20.8"/>
    <x v="3"/>
    <n v="35872.19"/>
    <n v="21173"/>
    <s v="John"/>
    <x v="1"/>
    <n v="40.21"/>
    <n v="12.22"/>
    <n v="1.69"/>
    <s v="On Time"/>
    <s v="High"/>
    <s v="Low Risk"/>
    <x v="6"/>
    <n v="2025"/>
  </r>
  <r>
    <x v="61"/>
    <x v="26"/>
    <x v="5"/>
    <s v="V1068"/>
    <s v="Chennai"/>
    <s v="Hamburg"/>
    <x v="2"/>
    <n v="67.099999999999994"/>
    <n v="2246"/>
    <n v="47"/>
    <n v="13.1"/>
    <x v="1"/>
    <n v="44748.58"/>
    <n v="25583"/>
    <s v="David"/>
    <x v="0"/>
    <n v="33.47"/>
    <n v="19.920000000000002"/>
    <n v="1.75"/>
    <s v="Delayed"/>
    <s v="High"/>
    <s v="Low Risk"/>
    <x v="8"/>
    <n v="2025"/>
  </r>
  <r>
    <x v="62"/>
    <x v="32"/>
    <x v="7"/>
    <s v="V1069"/>
    <s v="Hamburg"/>
    <s v="Singapore"/>
    <x v="2"/>
    <n v="72.099999999999994"/>
    <n v="1665"/>
    <n v="116"/>
    <n v="21.6"/>
    <x v="2"/>
    <n v="38873.68"/>
    <n v="10160"/>
    <s v="Chen"/>
    <x v="0"/>
    <n v="23.09"/>
    <n v="23.35"/>
    <n v="3.83"/>
    <s v="Delayed"/>
    <s v="High"/>
    <s v="High Risk"/>
    <x v="11"/>
    <n v="2025"/>
  </r>
  <r>
    <x v="63"/>
    <x v="36"/>
    <x v="1"/>
    <s v="V1070"/>
    <s v="Rotterdam"/>
    <s v="Hamburg"/>
    <x v="2"/>
    <n v="57.4"/>
    <n v="3510"/>
    <n v="107"/>
    <n v="20.5"/>
    <x v="3"/>
    <n v="29394.45"/>
    <n v="10267"/>
    <s v="Michael"/>
    <x v="1"/>
    <n v="61.15"/>
    <n v="8.3699999999999992"/>
    <n v="2.86"/>
    <s v="On Time"/>
    <s v="Medium"/>
    <s v="Low Risk"/>
    <x v="3"/>
    <n v="2025"/>
  </r>
  <r>
    <x v="64"/>
    <x v="34"/>
    <x v="7"/>
    <s v="V1071"/>
    <s v="Chennai"/>
    <s v="Colombo"/>
    <x v="2"/>
    <n v="62.1"/>
    <n v="2888"/>
    <n v="118"/>
    <n v="11.6"/>
    <x v="0"/>
    <n v="30783.81"/>
    <n v="25809"/>
    <s v="Chen"/>
    <x v="0"/>
    <n v="46.51"/>
    <n v="10.66"/>
    <n v="1.19"/>
    <s v="Delayed"/>
    <s v="High"/>
    <s v="Medium Risk"/>
    <x v="4"/>
    <n v="2025"/>
  </r>
  <r>
    <x v="65"/>
    <x v="47"/>
    <x v="2"/>
    <s v="V1072"/>
    <s v="Mumbai"/>
    <s v="Chennai"/>
    <x v="2"/>
    <n v="52.5"/>
    <n v="4819"/>
    <n v="34"/>
    <n v="21.5"/>
    <x v="3"/>
    <n v="26688.53"/>
    <n v="17727"/>
    <s v="Rahul"/>
    <x v="1"/>
    <n v="91.79"/>
    <n v="5.54"/>
    <n v="1.51"/>
    <s v="On Time"/>
    <s v="Medium"/>
    <s v="Low Risk"/>
    <x v="3"/>
    <n v="2025"/>
  </r>
  <r>
    <x v="66"/>
    <x v="23"/>
    <x v="6"/>
    <s v="V1073"/>
    <s v="Colombo"/>
    <s v="Rotterdam"/>
    <x v="3"/>
    <n v="31.6"/>
    <n v="2874"/>
    <n v="52"/>
    <n v="21.5"/>
    <x v="2"/>
    <n v="18010.18"/>
    <n v="18925"/>
    <s v="Rahul"/>
    <x v="0"/>
    <n v="90.95"/>
    <n v="6.27"/>
    <n v="0.95"/>
    <s v="Delayed"/>
    <s v="Low"/>
    <s v="High Risk"/>
    <x v="10"/>
    <n v="2025"/>
  </r>
  <r>
    <x v="67"/>
    <x v="48"/>
    <x v="1"/>
    <s v="V1074"/>
    <s v="Busan"/>
    <s v="Hamburg"/>
    <x v="0"/>
    <n v="22.7"/>
    <n v="3665"/>
    <n v="25"/>
    <n v="14.5"/>
    <x v="0"/>
    <n v="12739.52"/>
    <n v="13604"/>
    <s v="David"/>
    <x v="0"/>
    <n v="161.44999999999999"/>
    <n v="3.48"/>
    <n v="0.94"/>
    <s v="Delayed"/>
    <s v="Low"/>
    <s v="Medium Risk"/>
    <x v="2"/>
    <n v="2025"/>
  </r>
  <r>
    <x v="68"/>
    <x v="49"/>
    <x v="2"/>
    <s v="V1075"/>
    <s v="Singapore"/>
    <s v="Busan"/>
    <x v="2"/>
    <n v="44.1"/>
    <n v="2971"/>
    <n v="80"/>
    <n v="15.4"/>
    <x v="0"/>
    <n v="24438.97"/>
    <n v="10352"/>
    <s v="Sato"/>
    <x v="0"/>
    <n v="67.37"/>
    <n v="8.23"/>
    <n v="2.36"/>
    <s v="Delayed"/>
    <s v="Medium"/>
    <s v="Medium Risk"/>
    <x v="10"/>
    <n v="2025"/>
  </r>
  <r>
    <x v="3"/>
    <x v="35"/>
    <x v="2"/>
    <s v="V1076"/>
    <s v="Colombo"/>
    <s v="Singapore"/>
    <x v="2"/>
    <n v="47.7"/>
    <n v="3794"/>
    <n v="55"/>
    <n v="20"/>
    <x v="1"/>
    <n v="28934.98"/>
    <n v="16654"/>
    <s v="John"/>
    <x v="0"/>
    <n v="79.540000000000006"/>
    <n v="7.63"/>
    <n v="1.74"/>
    <s v="Delayed"/>
    <s v="Medium"/>
    <s v="Low Risk"/>
    <x v="3"/>
    <n v="2025"/>
  </r>
  <r>
    <x v="28"/>
    <x v="50"/>
    <x v="7"/>
    <s v="V1077"/>
    <s v="Chennai"/>
    <s v="Busan"/>
    <x v="3"/>
    <n v="26.8"/>
    <n v="1636"/>
    <n v="20"/>
    <n v="15.6"/>
    <x v="3"/>
    <n v="17832.39"/>
    <n v="6578"/>
    <s v="Arun"/>
    <x v="1"/>
    <n v="61.04"/>
    <n v="10.9"/>
    <n v="2.71"/>
    <s v="On Time"/>
    <s v="Low"/>
    <s v="Low Risk"/>
    <x v="0"/>
    <n v="2025"/>
  </r>
  <r>
    <x v="33"/>
    <x v="51"/>
    <x v="2"/>
    <s v="V1078"/>
    <s v="Colombo"/>
    <s v="Singapore"/>
    <x v="1"/>
    <n v="32.700000000000003"/>
    <n v="1490"/>
    <n v="114"/>
    <n v="13.9"/>
    <x v="2"/>
    <n v="15524.99"/>
    <n v="27425"/>
    <s v="Ahmed"/>
    <x v="0"/>
    <n v="45.57"/>
    <n v="10.42"/>
    <n v="0.56999999999999995"/>
    <s v="Delayed"/>
    <s v="Low"/>
    <s v="High Risk"/>
    <x v="0"/>
    <n v="2025"/>
  </r>
  <r>
    <x v="69"/>
    <x v="29"/>
    <x v="7"/>
    <s v="V1079"/>
    <s v="Hamburg"/>
    <s v="Mumbai"/>
    <x v="0"/>
    <n v="52.2"/>
    <n v="3811"/>
    <n v="104"/>
    <n v="14.8"/>
    <x v="0"/>
    <n v="28924.01"/>
    <n v="20530"/>
    <s v="David"/>
    <x v="0"/>
    <n v="73.010000000000005"/>
    <n v="7.59"/>
    <n v="1.41"/>
    <s v="Delayed"/>
    <s v="Medium"/>
    <s v="Medium Risk"/>
    <x v="8"/>
    <n v="2025"/>
  </r>
  <r>
    <x v="70"/>
    <x v="22"/>
    <x v="2"/>
    <s v="V1080"/>
    <s v="Mumbai"/>
    <s v="Colombo"/>
    <x v="0"/>
    <n v="66.900000000000006"/>
    <n v="567"/>
    <n v="32"/>
    <n v="11.7"/>
    <x v="0"/>
    <n v="33180.86"/>
    <n v="29802"/>
    <s v="Michael"/>
    <x v="0"/>
    <n v="8.48"/>
    <n v="58.52"/>
    <n v="1.1100000000000001"/>
    <s v="Delayed"/>
    <s v="High"/>
    <s v="Medium Risk"/>
    <x v="4"/>
    <n v="2025"/>
  </r>
  <r>
    <x v="71"/>
    <x v="52"/>
    <x v="2"/>
    <s v="V1081"/>
    <s v="Mumbai"/>
    <s v="Hamburg"/>
    <x v="0"/>
    <n v="32.6"/>
    <n v="2569"/>
    <n v="56"/>
    <n v="15"/>
    <x v="1"/>
    <n v="22164.35"/>
    <n v="28434"/>
    <s v="Michael"/>
    <x v="0"/>
    <n v="78.8"/>
    <n v="8.6300000000000008"/>
    <n v="0.78"/>
    <s v="Delayed"/>
    <s v="Low"/>
    <s v="Low Risk"/>
    <x v="9"/>
    <n v="2025"/>
  </r>
  <r>
    <x v="55"/>
    <x v="53"/>
    <x v="4"/>
    <s v="V1082"/>
    <s v="Rotterdam"/>
    <s v="Busan"/>
    <x v="2"/>
    <n v="48.2"/>
    <n v="2514"/>
    <n v="69"/>
    <n v="21.5"/>
    <x v="0"/>
    <n v="24470.52"/>
    <n v="18756"/>
    <s v="David"/>
    <x v="0"/>
    <n v="52.16"/>
    <n v="9.73"/>
    <n v="1.3"/>
    <s v="Delayed"/>
    <s v="Medium"/>
    <s v="Medium Risk"/>
    <x v="4"/>
    <n v="2025"/>
  </r>
  <r>
    <x v="72"/>
    <x v="54"/>
    <x v="1"/>
    <s v="V1083"/>
    <s v="Busan"/>
    <s v="Singapore"/>
    <x v="1"/>
    <n v="31.8"/>
    <n v="2945"/>
    <n v="30"/>
    <n v="20.6"/>
    <x v="0"/>
    <n v="21700.84"/>
    <n v="26073"/>
    <s v="Sato"/>
    <x v="0"/>
    <n v="92.61"/>
    <n v="7.37"/>
    <n v="0.83"/>
    <s v="Delayed"/>
    <s v="Low"/>
    <s v="Medium Risk"/>
    <x v="10"/>
    <n v="2025"/>
  </r>
  <r>
    <x v="56"/>
    <x v="6"/>
    <x v="6"/>
    <s v="V1084"/>
    <s v="Busan"/>
    <s v="Chennai"/>
    <x v="2"/>
    <n v="31"/>
    <n v="2983"/>
    <n v="106"/>
    <n v="10.199999999999999"/>
    <x v="0"/>
    <n v="21195.93"/>
    <n v="5886"/>
    <s v="John"/>
    <x v="0"/>
    <n v="96.23"/>
    <n v="7.11"/>
    <n v="3.6"/>
    <s v="Delayed"/>
    <s v="Low"/>
    <s v="Medium Risk"/>
    <x v="0"/>
    <n v="2025"/>
  </r>
  <r>
    <x v="73"/>
    <x v="44"/>
    <x v="1"/>
    <s v="V1085"/>
    <s v="Colombo"/>
    <s v="Mumbai"/>
    <x v="1"/>
    <n v="73"/>
    <n v="3878"/>
    <n v="80"/>
    <n v="12.7"/>
    <x v="1"/>
    <n v="33449.480000000003"/>
    <n v="8329"/>
    <s v="Ahmed"/>
    <x v="0"/>
    <n v="53.12"/>
    <n v="8.6300000000000008"/>
    <n v="4.0199999999999996"/>
    <s v="Delayed"/>
    <s v="High"/>
    <s v="Low Risk"/>
    <x v="1"/>
    <n v="2025"/>
  </r>
  <r>
    <x v="74"/>
    <x v="55"/>
    <x v="1"/>
    <s v="V1086"/>
    <s v="Rotterdam"/>
    <s v="Dubai"/>
    <x v="2"/>
    <n v="68.400000000000006"/>
    <n v="668"/>
    <n v="112"/>
    <n v="14"/>
    <x v="0"/>
    <n v="46099.89"/>
    <n v="13750"/>
    <s v="David"/>
    <x v="0"/>
    <n v="9.77"/>
    <n v="69.010000000000005"/>
    <n v="3.35"/>
    <s v="Delayed"/>
    <s v="High"/>
    <s v="Medium Risk"/>
    <x v="6"/>
    <n v="2025"/>
  </r>
  <r>
    <x v="75"/>
    <x v="21"/>
    <x v="3"/>
    <s v="V1087"/>
    <s v="Colombo"/>
    <s v="Dubai"/>
    <x v="2"/>
    <n v="55.7"/>
    <n v="1550"/>
    <n v="102"/>
    <n v="14.4"/>
    <x v="1"/>
    <n v="25597.46"/>
    <n v="5140"/>
    <s v="Ahmed"/>
    <x v="0"/>
    <n v="27.83"/>
    <n v="16.510000000000002"/>
    <n v="4.9800000000000004"/>
    <s v="Delayed"/>
    <s v="Medium"/>
    <s v="Low Risk"/>
    <x v="11"/>
    <n v="2025"/>
  </r>
  <r>
    <x v="76"/>
    <x v="56"/>
    <x v="7"/>
    <s v="V1088"/>
    <s v="Rotterdam"/>
    <s v="Chennai"/>
    <x v="3"/>
    <n v="51.2"/>
    <n v="2055"/>
    <n v="38"/>
    <n v="17.600000000000001"/>
    <x v="3"/>
    <n v="33017.129999999997"/>
    <n v="26447"/>
    <s v="Michael"/>
    <x v="1"/>
    <n v="40.14"/>
    <n v="16.07"/>
    <n v="1.25"/>
    <s v="On Time"/>
    <s v="Medium"/>
    <s v="Low Risk"/>
    <x v="0"/>
    <n v="2025"/>
  </r>
  <r>
    <x v="31"/>
    <x v="30"/>
    <x v="2"/>
    <s v="V1089"/>
    <s v="Mumbai"/>
    <s v="Colombo"/>
    <x v="0"/>
    <n v="43.8"/>
    <n v="3190"/>
    <n v="25"/>
    <n v="19.8"/>
    <x v="3"/>
    <n v="24750.080000000002"/>
    <n v="13850"/>
    <s v="Michael"/>
    <x v="1"/>
    <n v="72.83"/>
    <n v="7.76"/>
    <n v="1.79"/>
    <s v="On Time"/>
    <s v="Medium"/>
    <s v="Low Risk"/>
    <x v="2"/>
    <n v="2025"/>
  </r>
  <r>
    <x v="77"/>
    <x v="8"/>
    <x v="5"/>
    <s v="V1090"/>
    <s v="Colombo"/>
    <s v="Dubai"/>
    <x v="0"/>
    <n v="52.1"/>
    <n v="2689"/>
    <n v="86"/>
    <n v="11.8"/>
    <x v="0"/>
    <n v="28605.11"/>
    <n v="13924"/>
    <s v="John"/>
    <x v="0"/>
    <n v="51.61"/>
    <n v="10.64"/>
    <n v="2.0499999999999998"/>
    <s v="Delayed"/>
    <s v="Medium"/>
    <s v="Medium Risk"/>
    <x v="0"/>
    <n v="2025"/>
  </r>
  <r>
    <x v="21"/>
    <x v="57"/>
    <x v="4"/>
    <s v="V1091"/>
    <s v="Rotterdam"/>
    <s v="Singapore"/>
    <x v="2"/>
    <n v="62.1"/>
    <n v="4505"/>
    <n v="62"/>
    <n v="17.399999999999999"/>
    <x v="3"/>
    <n v="30350.32"/>
    <n v="5692"/>
    <s v="Rahul"/>
    <x v="1"/>
    <n v="72.540000000000006"/>
    <n v="6.74"/>
    <n v="5.33"/>
    <s v="On Time"/>
    <s v="High"/>
    <s v="Low Risk"/>
    <x v="6"/>
    <n v="2025"/>
  </r>
  <r>
    <x v="78"/>
    <x v="23"/>
    <x v="0"/>
    <s v="V1092"/>
    <s v="Busan"/>
    <s v="Mumbai"/>
    <x v="0"/>
    <n v="38"/>
    <n v="3112"/>
    <n v="114"/>
    <n v="12.9"/>
    <x v="0"/>
    <n v="23133.08"/>
    <n v="17331"/>
    <s v="Michael"/>
    <x v="0"/>
    <n v="81.89"/>
    <n v="7.43"/>
    <n v="1.33"/>
    <s v="Delayed"/>
    <s v="Low"/>
    <s v="Medium Risk"/>
    <x v="3"/>
    <n v="2025"/>
  </r>
  <r>
    <x v="79"/>
    <x v="58"/>
    <x v="1"/>
    <s v="V1093"/>
    <s v="Mumbai"/>
    <s v="Dubai"/>
    <x v="3"/>
    <n v="60.2"/>
    <n v="4085"/>
    <n v="53"/>
    <n v="21"/>
    <x v="1"/>
    <n v="39991.050000000003"/>
    <n v="6814"/>
    <s v="Sato"/>
    <x v="0"/>
    <n v="67.86"/>
    <n v="9.7899999999999991"/>
    <n v="5.87"/>
    <s v="Delayed"/>
    <s v="High"/>
    <s v="Low Risk"/>
    <x v="7"/>
    <n v="2025"/>
  </r>
  <r>
    <x v="80"/>
    <x v="29"/>
    <x v="7"/>
    <s v="V1094"/>
    <s v="Dubai"/>
    <s v="Mumbai"/>
    <x v="2"/>
    <n v="57.7"/>
    <n v="1526"/>
    <n v="66"/>
    <n v="15.8"/>
    <x v="1"/>
    <n v="37055.769999999997"/>
    <n v="22273"/>
    <s v="Sato"/>
    <x v="0"/>
    <n v="26.45"/>
    <n v="24.28"/>
    <n v="1.66"/>
    <s v="Delayed"/>
    <s v="Medium"/>
    <s v="Low Risk"/>
    <x v="6"/>
    <n v="2025"/>
  </r>
  <r>
    <x v="80"/>
    <x v="12"/>
    <x v="6"/>
    <s v="V1095"/>
    <s v="Dubai"/>
    <s v="Mumbai"/>
    <x v="2"/>
    <n v="39.799999999999997"/>
    <n v="3787"/>
    <n v="102"/>
    <n v="13.3"/>
    <x v="0"/>
    <n v="22818.39"/>
    <n v="20282"/>
    <s v="Michael"/>
    <x v="0"/>
    <n v="95.15"/>
    <n v="6.03"/>
    <n v="1.1299999999999999"/>
    <s v="Delayed"/>
    <s v="Low"/>
    <s v="Medium Risk"/>
    <x v="6"/>
    <n v="2025"/>
  </r>
  <r>
    <x v="81"/>
    <x v="59"/>
    <x v="3"/>
    <s v="V1096"/>
    <s v="Hamburg"/>
    <s v="Busan"/>
    <x v="0"/>
    <n v="27.8"/>
    <n v="4822"/>
    <n v="116"/>
    <n v="18.7"/>
    <x v="1"/>
    <n v="16156.49"/>
    <n v="12433"/>
    <s v="Ahmed"/>
    <x v="0"/>
    <n v="173.45"/>
    <n v="3.35"/>
    <n v="1.3"/>
    <s v="Delayed"/>
    <s v="Low"/>
    <s v="Low Risk"/>
    <x v="8"/>
    <n v="2025"/>
  </r>
  <r>
    <x v="41"/>
    <x v="60"/>
    <x v="0"/>
    <s v="V1097"/>
    <s v="Busan"/>
    <s v="Hamburg"/>
    <x v="3"/>
    <n v="33.5"/>
    <n v="904"/>
    <n v="101"/>
    <n v="14.7"/>
    <x v="2"/>
    <n v="21466.47"/>
    <n v="13551"/>
    <s v="Ahmed"/>
    <x v="0"/>
    <n v="26.99"/>
    <n v="23.75"/>
    <n v="1.58"/>
    <s v="Delayed"/>
    <s v="Low"/>
    <s v="High Risk"/>
    <x v="7"/>
    <n v="2025"/>
  </r>
  <r>
    <x v="82"/>
    <x v="49"/>
    <x v="5"/>
    <s v="V1098"/>
    <s v="Busan"/>
    <s v="Mumbai"/>
    <x v="2"/>
    <n v="57.7"/>
    <n v="1575"/>
    <n v="63"/>
    <n v="19.2"/>
    <x v="1"/>
    <n v="31484.95"/>
    <n v="19832"/>
    <s v="John"/>
    <x v="0"/>
    <n v="27.3"/>
    <n v="19.989999999999998"/>
    <n v="1.59"/>
    <s v="Delayed"/>
    <s v="Medium"/>
    <s v="Low Risk"/>
    <x v="10"/>
    <n v="2025"/>
  </r>
  <r>
    <x v="83"/>
    <x v="48"/>
    <x v="7"/>
    <s v="V1099"/>
    <s v="Chennai"/>
    <s v="Dubai"/>
    <x v="1"/>
    <n v="43.9"/>
    <n v="2070"/>
    <n v="88"/>
    <n v="11.5"/>
    <x v="1"/>
    <n v="20830.400000000001"/>
    <n v="23774"/>
    <s v="Sato"/>
    <x v="0"/>
    <n v="47.15"/>
    <n v="10.06"/>
    <n v="0.88"/>
    <s v="Delayed"/>
    <s v="Medium"/>
    <s v="Low Risk"/>
    <x v="1"/>
    <n v="2025"/>
  </r>
  <r>
    <x v="84"/>
    <x v="39"/>
    <x v="7"/>
    <s v="V1100"/>
    <s v="Mumbai"/>
    <s v="Singapore"/>
    <x v="3"/>
    <n v="45.5"/>
    <n v="4413"/>
    <n v="86"/>
    <n v="18.600000000000001"/>
    <x v="1"/>
    <n v="25415.15"/>
    <n v="23498"/>
    <s v="Rahul"/>
    <x v="0"/>
    <n v="96.99"/>
    <n v="5.76"/>
    <n v="1.08"/>
    <s v="Delayed"/>
    <s v="Medium"/>
    <s v="Low Risk"/>
    <x v="9"/>
    <n v="2025"/>
  </r>
  <r>
    <x v="61"/>
    <x v="25"/>
    <x v="6"/>
    <s v="V1101"/>
    <s v="Colombo"/>
    <s v="Hamburg"/>
    <x v="0"/>
    <n v="43.2"/>
    <n v="4562"/>
    <n v="36"/>
    <n v="20.7"/>
    <x v="1"/>
    <n v="28408.97"/>
    <n v="12051"/>
    <s v="John"/>
    <x v="0"/>
    <n v="105.6"/>
    <n v="6.23"/>
    <n v="2.36"/>
    <s v="Delayed"/>
    <s v="Medium"/>
    <s v="Low Risk"/>
    <x v="8"/>
    <n v="2025"/>
  </r>
  <r>
    <x v="85"/>
    <x v="28"/>
    <x v="6"/>
    <s v="V1102"/>
    <s v="Mumbai"/>
    <s v="Busan"/>
    <x v="1"/>
    <n v="22"/>
    <n v="4222"/>
    <n v="54"/>
    <n v="14.3"/>
    <x v="3"/>
    <n v="11619.13"/>
    <n v="23925"/>
    <s v="Arun"/>
    <x v="1"/>
    <n v="191.91"/>
    <n v="2.75"/>
    <n v="0.49"/>
    <s v="On Time"/>
    <s v="Low"/>
    <s v="Low Risk"/>
    <x v="10"/>
    <n v="2025"/>
  </r>
  <r>
    <x v="86"/>
    <x v="31"/>
    <x v="1"/>
    <s v="V1103"/>
    <s v="Rotterdam"/>
    <s v="Colombo"/>
    <x v="0"/>
    <n v="25.4"/>
    <n v="1911"/>
    <n v="108"/>
    <n v="18.600000000000001"/>
    <x v="0"/>
    <n v="16156"/>
    <n v="11710"/>
    <s v="Michael"/>
    <x v="0"/>
    <n v="75.239999999999995"/>
    <n v="8.4499999999999993"/>
    <n v="1.38"/>
    <s v="Delayed"/>
    <s v="Low"/>
    <s v="Medium Risk"/>
    <x v="1"/>
    <n v="2025"/>
  </r>
  <r>
    <x v="60"/>
    <x v="40"/>
    <x v="0"/>
    <s v="V1104"/>
    <s v="Singapore"/>
    <s v="Rotterdam"/>
    <x v="0"/>
    <n v="40.299999999999997"/>
    <n v="1930"/>
    <n v="100"/>
    <n v="20.9"/>
    <x v="3"/>
    <n v="25446.31"/>
    <n v="7206"/>
    <s v="David"/>
    <x v="1"/>
    <n v="47.89"/>
    <n v="13.18"/>
    <n v="3.53"/>
    <s v="On Time"/>
    <s v="Medium"/>
    <s v="Low Risk"/>
    <x v="6"/>
    <n v="2025"/>
  </r>
  <r>
    <x v="87"/>
    <x v="44"/>
    <x v="4"/>
    <s v="V1105"/>
    <s v="Chennai"/>
    <s v="Rotterdam"/>
    <x v="2"/>
    <n v="78.5"/>
    <n v="2169"/>
    <n v="54"/>
    <n v="11.2"/>
    <x v="1"/>
    <n v="40028.269999999997"/>
    <n v="16786"/>
    <s v="Sato"/>
    <x v="0"/>
    <n v="27.63"/>
    <n v="18.45"/>
    <n v="2.38"/>
    <s v="Delayed"/>
    <s v="High"/>
    <s v="Low Risk"/>
    <x v="9"/>
    <n v="2025"/>
  </r>
  <r>
    <x v="88"/>
    <x v="61"/>
    <x v="6"/>
    <s v="V1106"/>
    <s v="Dubai"/>
    <s v="Singapore"/>
    <x v="1"/>
    <n v="77.599999999999994"/>
    <n v="2040"/>
    <n v="94"/>
    <n v="11.5"/>
    <x v="3"/>
    <n v="41650.93"/>
    <n v="24545"/>
    <s v="Michael"/>
    <x v="1"/>
    <n v="26.29"/>
    <n v="20.420000000000002"/>
    <n v="1.7"/>
    <s v="On Time"/>
    <s v="High"/>
    <s v="Low Risk"/>
    <x v="4"/>
    <n v="2025"/>
  </r>
  <r>
    <x v="89"/>
    <x v="16"/>
    <x v="2"/>
    <s v="V1107"/>
    <s v="Dubai"/>
    <s v="Singapore"/>
    <x v="3"/>
    <n v="79.5"/>
    <n v="4003"/>
    <n v="36"/>
    <n v="19.5"/>
    <x v="0"/>
    <n v="51905.66"/>
    <n v="17880"/>
    <s v="Chen"/>
    <x v="0"/>
    <n v="50.35"/>
    <n v="12.97"/>
    <n v="2.9"/>
    <s v="Delayed"/>
    <s v="High"/>
    <s v="Medium Risk"/>
    <x v="1"/>
    <n v="2025"/>
  </r>
  <r>
    <x v="90"/>
    <x v="62"/>
    <x v="4"/>
    <s v="V1108"/>
    <s v="Chennai"/>
    <s v="Busan"/>
    <x v="1"/>
    <n v="44.7"/>
    <n v="3801"/>
    <n v="89"/>
    <n v="14.4"/>
    <x v="1"/>
    <n v="25674.84"/>
    <n v="5485"/>
    <s v="Ahmed"/>
    <x v="0"/>
    <n v="85.03"/>
    <n v="6.75"/>
    <n v="4.68"/>
    <s v="Delayed"/>
    <s v="Medium"/>
    <s v="Low Risk"/>
    <x v="9"/>
    <n v="2025"/>
  </r>
  <r>
    <x v="91"/>
    <x v="0"/>
    <x v="5"/>
    <s v="V1109"/>
    <s v="Mumbai"/>
    <s v="Rotterdam"/>
    <x v="2"/>
    <n v="55.8"/>
    <n v="4507"/>
    <n v="27"/>
    <n v="20.3"/>
    <x v="3"/>
    <n v="34112.660000000003"/>
    <n v="23205"/>
    <s v="Rahul"/>
    <x v="1"/>
    <n v="80.77"/>
    <n v="7.57"/>
    <n v="1.47"/>
    <s v="On Time"/>
    <s v="Medium"/>
    <s v="Low Risk"/>
    <x v="5"/>
    <n v="2025"/>
  </r>
  <r>
    <x v="92"/>
    <x v="49"/>
    <x v="7"/>
    <s v="V1110"/>
    <s v="Dubai"/>
    <s v="Busan"/>
    <x v="3"/>
    <n v="46.7"/>
    <n v="4199"/>
    <n v="77"/>
    <n v="18.600000000000001"/>
    <x v="2"/>
    <n v="31927.62"/>
    <n v="27502"/>
    <s v="Rahul"/>
    <x v="0"/>
    <n v="89.91"/>
    <n v="7.6"/>
    <n v="1.1599999999999999"/>
    <s v="Delayed"/>
    <s v="Medium"/>
    <s v="High Risk"/>
    <x v="9"/>
    <n v="2025"/>
  </r>
  <r>
    <x v="93"/>
    <x v="19"/>
    <x v="2"/>
    <s v="V1111"/>
    <s v="Chennai"/>
    <s v="Mumbai"/>
    <x v="1"/>
    <n v="47.8"/>
    <n v="1826"/>
    <n v="26"/>
    <n v="17.5"/>
    <x v="3"/>
    <n v="31365.919999999998"/>
    <n v="16253"/>
    <s v="Ahmed"/>
    <x v="1"/>
    <n v="38.200000000000003"/>
    <n v="17.18"/>
    <n v="1.93"/>
    <s v="On Time"/>
    <s v="Medium"/>
    <s v="Low Risk"/>
    <x v="2"/>
    <n v="2025"/>
  </r>
  <r>
    <x v="15"/>
    <x v="58"/>
    <x v="4"/>
    <s v="V1112"/>
    <s v="Colombo"/>
    <s v="Rotterdam"/>
    <x v="2"/>
    <n v="21.9"/>
    <n v="1707"/>
    <n v="107"/>
    <n v="16"/>
    <x v="0"/>
    <n v="9896.5499999999993"/>
    <n v="23269"/>
    <s v="John"/>
    <x v="0"/>
    <n v="77.95"/>
    <n v="5.8"/>
    <n v="0.43"/>
    <s v="Delayed"/>
    <s v="Low"/>
    <s v="Medium Risk"/>
    <x v="1"/>
    <n v="2025"/>
  </r>
  <r>
    <x v="94"/>
    <x v="40"/>
    <x v="4"/>
    <s v="V1113"/>
    <s v="Rotterdam"/>
    <s v="Singapore"/>
    <x v="3"/>
    <n v="71.5"/>
    <n v="2068"/>
    <n v="120"/>
    <n v="20.399999999999999"/>
    <x v="3"/>
    <n v="35038.85"/>
    <n v="15439"/>
    <s v="David"/>
    <x v="1"/>
    <n v="28.92"/>
    <n v="16.940000000000001"/>
    <n v="2.27"/>
    <s v="On Time"/>
    <s v="High"/>
    <s v="Low Risk"/>
    <x v="5"/>
    <n v="2025"/>
  </r>
  <r>
    <x v="81"/>
    <x v="22"/>
    <x v="7"/>
    <s v="V1114"/>
    <s v="Busan"/>
    <s v="Colombo"/>
    <x v="3"/>
    <n v="28.9"/>
    <n v="3244"/>
    <n v="21"/>
    <n v="17.600000000000001"/>
    <x v="0"/>
    <n v="19156.689999999999"/>
    <n v="16962"/>
    <s v="Rahul"/>
    <x v="0"/>
    <n v="112.25"/>
    <n v="5.91"/>
    <n v="1.1299999999999999"/>
    <s v="Delayed"/>
    <s v="Low"/>
    <s v="Medium Risk"/>
    <x v="8"/>
    <n v="2025"/>
  </r>
  <r>
    <x v="95"/>
    <x v="63"/>
    <x v="4"/>
    <s v="V1115"/>
    <s v="Chennai"/>
    <s v="Rotterdam"/>
    <x v="2"/>
    <n v="57.9"/>
    <n v="848"/>
    <n v="103"/>
    <n v="12.2"/>
    <x v="2"/>
    <n v="35771.040000000001"/>
    <n v="14751"/>
    <s v="David"/>
    <x v="0"/>
    <n v="14.65"/>
    <n v="42.18"/>
    <n v="2.42"/>
    <s v="Delayed"/>
    <s v="Medium"/>
    <s v="High Risk"/>
    <x v="3"/>
    <n v="2025"/>
  </r>
  <r>
    <x v="96"/>
    <x v="64"/>
    <x v="2"/>
    <s v="V1116"/>
    <s v="Chennai"/>
    <s v="Busan"/>
    <x v="2"/>
    <n v="28.1"/>
    <n v="1899"/>
    <n v="92"/>
    <n v="22"/>
    <x v="3"/>
    <n v="15256.39"/>
    <n v="23911"/>
    <s v="Sato"/>
    <x v="1"/>
    <n v="67.58"/>
    <n v="8.0299999999999994"/>
    <n v="0.64"/>
    <s v="On Time"/>
    <s v="Low"/>
    <s v="Low Risk"/>
    <x v="6"/>
    <n v="2025"/>
  </r>
  <r>
    <x v="51"/>
    <x v="26"/>
    <x v="3"/>
    <s v="V1117"/>
    <s v="Singapore"/>
    <s v="Dubai"/>
    <x v="0"/>
    <n v="48.1"/>
    <n v="2279"/>
    <n v="50"/>
    <n v="11.3"/>
    <x v="3"/>
    <n v="22226.29"/>
    <n v="27662"/>
    <s v="Rahul"/>
    <x v="1"/>
    <n v="47.38"/>
    <n v="9.75"/>
    <n v="0.8"/>
    <s v="On Time"/>
    <s v="Medium"/>
    <s v="Low Risk"/>
    <x v="1"/>
    <n v="2025"/>
  </r>
  <r>
    <x v="97"/>
    <x v="23"/>
    <x v="0"/>
    <s v="V1118"/>
    <s v="Chennai"/>
    <s v="Busan"/>
    <x v="2"/>
    <n v="77.400000000000006"/>
    <n v="3762"/>
    <n v="114"/>
    <n v="15.4"/>
    <x v="3"/>
    <n v="36157.760000000002"/>
    <n v="14008"/>
    <s v="Rahul"/>
    <x v="1"/>
    <n v="48.6"/>
    <n v="9.61"/>
    <n v="2.58"/>
    <s v="On Time"/>
    <s v="High"/>
    <s v="Low Risk"/>
    <x v="4"/>
    <n v="2025"/>
  </r>
  <r>
    <x v="98"/>
    <x v="65"/>
    <x v="7"/>
    <s v="V1119"/>
    <s v="Busan"/>
    <s v="Rotterdam"/>
    <x v="2"/>
    <n v="76.7"/>
    <n v="2901"/>
    <n v="26"/>
    <n v="21.9"/>
    <x v="1"/>
    <n v="47340.72"/>
    <n v="24153"/>
    <s v="Arun"/>
    <x v="0"/>
    <n v="37.82"/>
    <n v="16.32"/>
    <n v="1.96"/>
    <s v="Delayed"/>
    <s v="High"/>
    <s v="Low Risk"/>
    <x v="6"/>
    <n v="2025"/>
  </r>
  <r>
    <x v="99"/>
    <x v="59"/>
    <x v="0"/>
    <s v="V1120"/>
    <s v="Busan"/>
    <s v="Mumbai"/>
    <x v="3"/>
    <n v="32.6"/>
    <n v="2455"/>
    <n v="22"/>
    <n v="12.2"/>
    <x v="1"/>
    <n v="20497.419999999998"/>
    <n v="29155"/>
    <s v="Ahmed"/>
    <x v="0"/>
    <n v="75.31"/>
    <n v="8.35"/>
    <n v="0.7"/>
    <s v="Delayed"/>
    <s v="Low"/>
    <s v="Low Risk"/>
    <x v="7"/>
    <n v="2025"/>
  </r>
  <r>
    <x v="100"/>
    <x v="12"/>
    <x v="1"/>
    <s v="V1121"/>
    <s v="Singapore"/>
    <s v="Dubai"/>
    <x v="1"/>
    <n v="55.3"/>
    <n v="4204"/>
    <n v="45"/>
    <n v="16.899999999999999"/>
    <x v="3"/>
    <n v="28123.360000000001"/>
    <n v="18811"/>
    <s v="Michael"/>
    <x v="1"/>
    <n v="76.02"/>
    <n v="6.69"/>
    <n v="1.5"/>
    <s v="On Time"/>
    <s v="Medium"/>
    <s v="Low Risk"/>
    <x v="0"/>
    <n v="2025"/>
  </r>
  <r>
    <x v="37"/>
    <x v="17"/>
    <x v="1"/>
    <s v="V1122"/>
    <s v="Colombo"/>
    <s v="Dubai"/>
    <x v="2"/>
    <n v="68.7"/>
    <n v="1781"/>
    <n v="48"/>
    <n v="21"/>
    <x v="3"/>
    <n v="36659.79"/>
    <n v="14154"/>
    <s v="John"/>
    <x v="1"/>
    <n v="25.92"/>
    <n v="20.58"/>
    <n v="2.59"/>
    <s v="On Time"/>
    <s v="High"/>
    <s v="Low Risk"/>
    <x v="10"/>
    <n v="2025"/>
  </r>
  <r>
    <x v="101"/>
    <x v="28"/>
    <x v="0"/>
    <s v="V1123"/>
    <s v="Colombo"/>
    <s v="Rotterdam"/>
    <x v="3"/>
    <n v="37.799999999999997"/>
    <n v="1546"/>
    <n v="43"/>
    <n v="21.9"/>
    <x v="0"/>
    <n v="21576.48"/>
    <n v="29691"/>
    <s v="Arun"/>
    <x v="0"/>
    <n v="40.9"/>
    <n v="13.96"/>
    <n v="0.73"/>
    <s v="Delayed"/>
    <s v="Low"/>
    <s v="Medium Risk"/>
    <x v="6"/>
    <n v="2025"/>
  </r>
  <r>
    <x v="102"/>
    <x v="66"/>
    <x v="4"/>
    <s v="V1124"/>
    <s v="Hamburg"/>
    <s v="Singapore"/>
    <x v="2"/>
    <n v="65.400000000000006"/>
    <n v="4415"/>
    <n v="72"/>
    <n v="10.5"/>
    <x v="1"/>
    <n v="45695.5"/>
    <n v="19107"/>
    <s v="Sato"/>
    <x v="0"/>
    <n v="67.510000000000005"/>
    <n v="10.35"/>
    <n v="2.39"/>
    <s v="Delayed"/>
    <s v="High"/>
    <s v="Low Risk"/>
    <x v="7"/>
    <n v="2025"/>
  </r>
  <r>
    <x v="103"/>
    <x v="37"/>
    <x v="4"/>
    <s v="V1125"/>
    <s v="Singapore"/>
    <s v="Colombo"/>
    <x v="1"/>
    <n v="35.799999999999997"/>
    <n v="3448"/>
    <n v="109"/>
    <n v="14"/>
    <x v="2"/>
    <n v="23398.81"/>
    <n v="23384"/>
    <s v="Chen"/>
    <x v="0"/>
    <n v="96.31"/>
    <n v="6.79"/>
    <n v="1"/>
    <s v="Delayed"/>
    <s v="Low"/>
    <s v="High Risk"/>
    <x v="2"/>
    <n v="2025"/>
  </r>
  <r>
    <x v="104"/>
    <x v="42"/>
    <x v="1"/>
    <s v="V1126"/>
    <s v="Mumbai"/>
    <s v="Singapore"/>
    <x v="2"/>
    <n v="79.5"/>
    <n v="2607"/>
    <n v="97"/>
    <n v="14.5"/>
    <x v="1"/>
    <n v="53286.65"/>
    <n v="21477"/>
    <s v="Rahul"/>
    <x v="0"/>
    <n v="32.79"/>
    <n v="20.440000000000001"/>
    <n v="2.48"/>
    <s v="Delayed"/>
    <s v="High"/>
    <s v="Low Risk"/>
    <x v="9"/>
    <n v="2025"/>
  </r>
  <r>
    <x v="105"/>
    <x v="1"/>
    <x v="2"/>
    <s v="V1127"/>
    <s v="Singapore"/>
    <s v="Rotterdam"/>
    <x v="1"/>
    <n v="62.8"/>
    <n v="501"/>
    <n v="52"/>
    <n v="14.6"/>
    <x v="2"/>
    <n v="30990.26"/>
    <n v="28898"/>
    <s v="David"/>
    <x v="0"/>
    <n v="7.98"/>
    <n v="61.86"/>
    <n v="1.07"/>
    <s v="Delayed"/>
    <s v="High"/>
    <s v="High Risk"/>
    <x v="0"/>
    <n v="2025"/>
  </r>
  <r>
    <x v="106"/>
    <x v="1"/>
    <x v="0"/>
    <s v="V1128"/>
    <s v="Rotterdam"/>
    <s v="Singapore"/>
    <x v="0"/>
    <n v="29.4"/>
    <n v="4257"/>
    <n v="36"/>
    <n v="14.8"/>
    <x v="3"/>
    <n v="19122.759999999998"/>
    <n v="12529"/>
    <s v="Arun"/>
    <x v="1"/>
    <n v="144.80000000000001"/>
    <n v="4.49"/>
    <n v="1.53"/>
    <s v="On Time"/>
    <s v="Low"/>
    <s v="Low Risk"/>
    <x v="4"/>
    <n v="2025"/>
  </r>
  <r>
    <x v="107"/>
    <x v="30"/>
    <x v="1"/>
    <s v="V1129"/>
    <s v="Rotterdam"/>
    <s v="Mumbai"/>
    <x v="2"/>
    <n v="72.5"/>
    <n v="1918"/>
    <n v="109"/>
    <n v="11"/>
    <x v="2"/>
    <n v="50213.86"/>
    <n v="7584"/>
    <s v="John"/>
    <x v="0"/>
    <n v="26.46"/>
    <n v="26.18"/>
    <n v="6.62"/>
    <s v="Delayed"/>
    <s v="High"/>
    <s v="High Risk"/>
    <x v="9"/>
    <n v="2025"/>
  </r>
  <r>
    <x v="108"/>
    <x v="12"/>
    <x v="6"/>
    <s v="V1130"/>
    <s v="Busan"/>
    <s v="Mumbai"/>
    <x v="3"/>
    <n v="29.8"/>
    <n v="3903"/>
    <n v="64"/>
    <n v="14.2"/>
    <x v="1"/>
    <n v="17591.52"/>
    <n v="6073"/>
    <s v="Michael"/>
    <x v="0"/>
    <n v="130.97"/>
    <n v="4.51"/>
    <n v="2.9"/>
    <s v="Delayed"/>
    <s v="Low"/>
    <s v="Low Risk"/>
    <x v="4"/>
    <n v="2025"/>
  </r>
  <r>
    <x v="109"/>
    <x v="43"/>
    <x v="0"/>
    <s v="V1131"/>
    <s v="Mumbai"/>
    <s v="Busan"/>
    <x v="1"/>
    <n v="31.4"/>
    <n v="2151"/>
    <n v="96"/>
    <n v="10.3"/>
    <x v="1"/>
    <n v="16848.91"/>
    <n v="10371"/>
    <s v="John"/>
    <x v="0"/>
    <n v="68.5"/>
    <n v="7.83"/>
    <n v="1.62"/>
    <s v="Delayed"/>
    <s v="Low"/>
    <s v="Low Risk"/>
    <x v="5"/>
    <n v="2025"/>
  </r>
  <r>
    <x v="110"/>
    <x v="58"/>
    <x v="7"/>
    <s v="V1132"/>
    <s v="Rotterdam"/>
    <s v="Mumbai"/>
    <x v="2"/>
    <n v="30.4"/>
    <n v="4887"/>
    <n v="41"/>
    <n v="10.5"/>
    <x v="2"/>
    <n v="21144.28"/>
    <n v="21592"/>
    <s v="Ahmed"/>
    <x v="0"/>
    <n v="160.76"/>
    <n v="4.33"/>
    <n v="0.98"/>
    <s v="Delayed"/>
    <s v="Low"/>
    <s v="High Risk"/>
    <x v="11"/>
    <n v="2025"/>
  </r>
  <r>
    <x v="53"/>
    <x v="8"/>
    <x v="2"/>
    <s v="V1133"/>
    <s v="Chennai"/>
    <s v="Busan"/>
    <x v="1"/>
    <n v="52.5"/>
    <n v="3671"/>
    <n v="52"/>
    <n v="12"/>
    <x v="0"/>
    <n v="30005.05"/>
    <n v="8601"/>
    <s v="Arun"/>
    <x v="0"/>
    <n v="69.92"/>
    <n v="8.17"/>
    <n v="3.49"/>
    <s v="Delayed"/>
    <s v="Medium"/>
    <s v="Medium Risk"/>
    <x v="7"/>
    <n v="2025"/>
  </r>
  <r>
    <x v="111"/>
    <x v="15"/>
    <x v="1"/>
    <s v="V1134"/>
    <s v="Mumbai"/>
    <s v="Hamburg"/>
    <x v="2"/>
    <n v="69.400000000000006"/>
    <n v="4158"/>
    <n v="25"/>
    <n v="11.3"/>
    <x v="2"/>
    <n v="47565.06"/>
    <n v="11721"/>
    <s v="Ahmed"/>
    <x v="0"/>
    <n v="59.91"/>
    <n v="11.44"/>
    <n v="4.0599999999999996"/>
    <s v="Delayed"/>
    <s v="High"/>
    <s v="High Risk"/>
    <x v="7"/>
    <n v="2025"/>
  </r>
  <r>
    <x v="38"/>
    <x v="63"/>
    <x v="7"/>
    <s v="V1135"/>
    <s v="Singapore"/>
    <s v="Dubai"/>
    <x v="2"/>
    <n v="51.9"/>
    <n v="4943"/>
    <n v="54"/>
    <n v="11.9"/>
    <x v="0"/>
    <n v="28983.17"/>
    <n v="9733"/>
    <s v="Sato"/>
    <x v="0"/>
    <n v="95.24"/>
    <n v="5.86"/>
    <n v="2.98"/>
    <s v="Delayed"/>
    <s v="Medium"/>
    <s v="Medium Risk"/>
    <x v="11"/>
    <n v="2025"/>
  </r>
  <r>
    <x v="112"/>
    <x v="6"/>
    <x v="1"/>
    <s v="V1136"/>
    <s v="Busan"/>
    <s v="Colombo"/>
    <x v="2"/>
    <n v="67.900000000000006"/>
    <n v="4538"/>
    <n v="59"/>
    <n v="18.7"/>
    <x v="2"/>
    <n v="45969.52"/>
    <n v="20075"/>
    <s v="Michael"/>
    <x v="0"/>
    <n v="66.83"/>
    <n v="10.130000000000001"/>
    <n v="2.29"/>
    <s v="Delayed"/>
    <s v="High"/>
    <s v="High Risk"/>
    <x v="0"/>
    <n v="2025"/>
  </r>
  <r>
    <x v="113"/>
    <x v="7"/>
    <x v="3"/>
    <s v="V1137"/>
    <s v="Colombo"/>
    <s v="Chennai"/>
    <x v="2"/>
    <n v="68"/>
    <n v="3730"/>
    <n v="68"/>
    <n v="19.5"/>
    <x v="0"/>
    <n v="33872.28"/>
    <n v="25434"/>
    <s v="Ahmed"/>
    <x v="0"/>
    <n v="54.85"/>
    <n v="9.08"/>
    <n v="1.33"/>
    <s v="Delayed"/>
    <s v="High"/>
    <s v="Medium Risk"/>
    <x v="8"/>
    <n v="2025"/>
  </r>
  <r>
    <x v="114"/>
    <x v="2"/>
    <x v="7"/>
    <s v="V1138"/>
    <s v="Chennai"/>
    <s v="Busan"/>
    <x v="0"/>
    <n v="71.3"/>
    <n v="3612"/>
    <n v="88"/>
    <n v="19.100000000000001"/>
    <x v="2"/>
    <n v="39999.82"/>
    <n v="25291"/>
    <s v="Arun"/>
    <x v="0"/>
    <n v="50.66"/>
    <n v="11.07"/>
    <n v="1.58"/>
    <s v="Delayed"/>
    <s v="High"/>
    <s v="High Risk"/>
    <x v="11"/>
    <n v="2025"/>
  </r>
  <r>
    <x v="115"/>
    <x v="21"/>
    <x v="4"/>
    <s v="V1139"/>
    <s v="Mumbai"/>
    <s v="Busan"/>
    <x v="3"/>
    <n v="45"/>
    <n v="697"/>
    <n v="88"/>
    <n v="10.9"/>
    <x v="3"/>
    <n v="27926.15"/>
    <n v="17093"/>
    <s v="David"/>
    <x v="1"/>
    <n v="15.49"/>
    <n v="40.07"/>
    <n v="1.63"/>
    <s v="On Time"/>
    <s v="Medium"/>
    <s v="Low Risk"/>
    <x v="7"/>
    <n v="2025"/>
  </r>
  <r>
    <x v="39"/>
    <x v="26"/>
    <x v="2"/>
    <s v="V1140"/>
    <s v="Mumbai"/>
    <s v="Busan"/>
    <x v="1"/>
    <n v="22.3"/>
    <n v="3632"/>
    <n v="97"/>
    <n v="11.5"/>
    <x v="1"/>
    <n v="10222.56"/>
    <n v="23664"/>
    <s v="Michael"/>
    <x v="0"/>
    <n v="162.87"/>
    <n v="2.81"/>
    <n v="0.43"/>
    <s v="Delayed"/>
    <s v="Low"/>
    <s v="Low Risk"/>
    <x v="9"/>
    <n v="2025"/>
  </r>
  <r>
    <x v="116"/>
    <x v="50"/>
    <x v="2"/>
    <s v="V1141"/>
    <s v="Rotterdam"/>
    <s v="Busan"/>
    <x v="3"/>
    <n v="42.7"/>
    <n v="4784"/>
    <n v="101"/>
    <n v="11.5"/>
    <x v="1"/>
    <n v="27819.07"/>
    <n v="10776"/>
    <s v="Chen"/>
    <x v="0"/>
    <n v="112.04"/>
    <n v="5.82"/>
    <n v="2.58"/>
    <s v="Delayed"/>
    <s v="Medium"/>
    <s v="Low Risk"/>
    <x v="8"/>
    <n v="2025"/>
  </r>
  <r>
    <x v="117"/>
    <x v="67"/>
    <x v="7"/>
    <s v="V1142"/>
    <s v="Chennai"/>
    <s v="Colombo"/>
    <x v="3"/>
    <n v="45.4"/>
    <n v="1938"/>
    <n v="79"/>
    <n v="10.1"/>
    <x v="3"/>
    <n v="28626.41"/>
    <n v="9463"/>
    <s v="Ahmed"/>
    <x v="1"/>
    <n v="42.69"/>
    <n v="14.77"/>
    <n v="3.03"/>
    <s v="On Time"/>
    <s v="Medium"/>
    <s v="Low Risk"/>
    <x v="6"/>
    <n v="2025"/>
  </r>
  <r>
    <x v="110"/>
    <x v="68"/>
    <x v="5"/>
    <s v="V1143"/>
    <s v="Hamburg"/>
    <s v="Colombo"/>
    <x v="3"/>
    <n v="26.2"/>
    <n v="1779"/>
    <n v="42"/>
    <n v="20.6"/>
    <x v="3"/>
    <n v="17780.71"/>
    <n v="13361"/>
    <s v="Rahul"/>
    <x v="1"/>
    <n v="67.900000000000006"/>
    <n v="9.99"/>
    <n v="1.33"/>
    <s v="On Time"/>
    <s v="Low"/>
    <s v="Low Risk"/>
    <x v="11"/>
    <n v="2025"/>
  </r>
  <r>
    <x v="118"/>
    <x v="64"/>
    <x v="7"/>
    <s v="V1144"/>
    <s v="Singapore"/>
    <s v="Busan"/>
    <x v="2"/>
    <n v="29.2"/>
    <n v="1969"/>
    <n v="68"/>
    <n v="19.5"/>
    <x v="1"/>
    <n v="13509.86"/>
    <n v="26370"/>
    <s v="Chen"/>
    <x v="0"/>
    <n v="67.430000000000007"/>
    <n v="6.86"/>
    <n v="0.51"/>
    <s v="Delayed"/>
    <s v="Low"/>
    <s v="Low Risk"/>
    <x v="5"/>
    <n v="2025"/>
  </r>
  <r>
    <x v="119"/>
    <x v="46"/>
    <x v="4"/>
    <s v="V1145"/>
    <s v="Dubai"/>
    <s v="Colombo"/>
    <x v="2"/>
    <n v="44.3"/>
    <n v="4817"/>
    <n v="86"/>
    <n v="17.399999999999999"/>
    <x v="1"/>
    <n v="27254.93"/>
    <n v="11619"/>
    <s v="Arun"/>
    <x v="0"/>
    <n v="108.74"/>
    <n v="5.66"/>
    <n v="2.35"/>
    <s v="Delayed"/>
    <s v="Medium"/>
    <s v="Low Risk"/>
    <x v="9"/>
    <n v="2025"/>
  </r>
  <r>
    <x v="120"/>
    <x v="59"/>
    <x v="0"/>
    <s v="V1146"/>
    <s v="Hamburg"/>
    <s v="Mumbai"/>
    <x v="3"/>
    <n v="52.4"/>
    <n v="1818"/>
    <n v="31"/>
    <n v="15.8"/>
    <x v="2"/>
    <n v="26598.31"/>
    <n v="25413"/>
    <s v="David"/>
    <x v="0"/>
    <n v="34.69"/>
    <n v="14.63"/>
    <n v="1.05"/>
    <s v="Delayed"/>
    <s v="Medium"/>
    <s v="High Risk"/>
    <x v="11"/>
    <n v="2025"/>
  </r>
  <r>
    <x v="121"/>
    <x v="44"/>
    <x v="3"/>
    <s v="V1147"/>
    <s v="Hamburg"/>
    <s v="Chennai"/>
    <x v="0"/>
    <n v="51.8"/>
    <n v="3447"/>
    <n v="116"/>
    <n v="19.899999999999999"/>
    <x v="2"/>
    <n v="34938.42"/>
    <n v="15599"/>
    <s v="Sato"/>
    <x v="0"/>
    <n v="66.540000000000006"/>
    <n v="10.14"/>
    <n v="2.2400000000000002"/>
    <s v="Delayed"/>
    <s v="Medium"/>
    <s v="High Risk"/>
    <x v="2"/>
    <n v="2025"/>
  </r>
  <r>
    <x v="122"/>
    <x v="19"/>
    <x v="3"/>
    <s v="V1148"/>
    <s v="Dubai"/>
    <s v="Mumbai"/>
    <x v="0"/>
    <n v="50.8"/>
    <n v="1618"/>
    <n v="59"/>
    <n v="12.8"/>
    <x v="2"/>
    <n v="25488.38"/>
    <n v="21601"/>
    <s v="Arun"/>
    <x v="0"/>
    <n v="31.85"/>
    <n v="15.75"/>
    <n v="1.18"/>
    <s v="Delayed"/>
    <s v="Medium"/>
    <s v="High Risk"/>
    <x v="2"/>
    <n v="2025"/>
  </r>
  <r>
    <x v="8"/>
    <x v="57"/>
    <x v="5"/>
    <s v="V1149"/>
    <s v="Colombo"/>
    <s v="Hamburg"/>
    <x v="0"/>
    <n v="75.400000000000006"/>
    <n v="1234"/>
    <n v="91"/>
    <n v="21.3"/>
    <x v="0"/>
    <n v="35292.31"/>
    <n v="19129"/>
    <s v="John"/>
    <x v="0"/>
    <n v="16.37"/>
    <n v="28.6"/>
    <n v="1.84"/>
    <s v="Delayed"/>
    <s v="High"/>
    <s v="Medium Risk"/>
    <x v="5"/>
    <n v="2025"/>
  </r>
  <r>
    <x v="65"/>
    <x v="57"/>
    <x v="2"/>
    <s v="V1150"/>
    <s v="Hamburg"/>
    <s v="Mumbai"/>
    <x v="0"/>
    <n v="79.400000000000006"/>
    <n v="4608"/>
    <n v="21"/>
    <n v="15.9"/>
    <x v="2"/>
    <n v="39219.68"/>
    <n v="5457"/>
    <s v="Ahmed"/>
    <x v="0"/>
    <n v="58.04"/>
    <n v="8.51"/>
    <n v="7.19"/>
    <s v="Delayed"/>
    <s v="High"/>
    <s v="High Risk"/>
    <x v="3"/>
    <n v="2025"/>
  </r>
  <r>
    <x v="123"/>
    <x v="7"/>
    <x v="1"/>
    <s v="V1151"/>
    <s v="Hamburg"/>
    <s v="Chennai"/>
    <x v="0"/>
    <n v="41.7"/>
    <n v="2696"/>
    <n v="26"/>
    <n v="13.3"/>
    <x v="2"/>
    <n v="29146.15"/>
    <n v="16318"/>
    <s v="John"/>
    <x v="0"/>
    <n v="64.650000000000006"/>
    <n v="10.81"/>
    <n v="1.79"/>
    <s v="Delayed"/>
    <s v="Medium"/>
    <s v="High Risk"/>
    <x v="3"/>
    <n v="2025"/>
  </r>
  <r>
    <x v="34"/>
    <x v="34"/>
    <x v="5"/>
    <s v="V1152"/>
    <s v="Chennai"/>
    <s v="Colombo"/>
    <x v="2"/>
    <n v="21.9"/>
    <n v="1847"/>
    <n v="90"/>
    <n v="14.7"/>
    <x v="3"/>
    <n v="13052.31"/>
    <n v="22859"/>
    <s v="Sato"/>
    <x v="1"/>
    <n v="84.34"/>
    <n v="7.07"/>
    <n v="0.56999999999999995"/>
    <s v="On Time"/>
    <s v="Low"/>
    <s v="Low Risk"/>
    <x v="0"/>
    <n v="2025"/>
  </r>
  <r>
    <x v="124"/>
    <x v="44"/>
    <x v="0"/>
    <s v="V1153"/>
    <s v="Dubai"/>
    <s v="Rotterdam"/>
    <x v="3"/>
    <n v="56.4"/>
    <n v="2762"/>
    <n v="113"/>
    <n v="14.5"/>
    <x v="1"/>
    <n v="28996.03"/>
    <n v="11162"/>
    <s v="Sato"/>
    <x v="0"/>
    <n v="48.97"/>
    <n v="10.5"/>
    <n v="2.6"/>
    <s v="Delayed"/>
    <s v="Medium"/>
    <s v="Low Risk"/>
    <x v="5"/>
    <n v="2025"/>
  </r>
  <r>
    <x v="125"/>
    <x v="48"/>
    <x v="1"/>
    <s v="V1154"/>
    <s v="Dubai"/>
    <s v="Hamburg"/>
    <x v="3"/>
    <n v="66"/>
    <n v="2255"/>
    <n v="82"/>
    <n v="18.600000000000001"/>
    <x v="3"/>
    <n v="36517.769999999997"/>
    <n v="7223"/>
    <s v="Rahul"/>
    <x v="1"/>
    <n v="34.17"/>
    <n v="16.190000000000001"/>
    <n v="5.0599999999999996"/>
    <s v="On Time"/>
    <s v="High"/>
    <s v="Low Risk"/>
    <x v="10"/>
    <n v="2025"/>
  </r>
  <r>
    <x v="126"/>
    <x v="41"/>
    <x v="7"/>
    <s v="V1155"/>
    <s v="Mumbai"/>
    <s v="Chennai"/>
    <x v="1"/>
    <n v="57.4"/>
    <n v="1104"/>
    <n v="85"/>
    <n v="10.3"/>
    <x v="3"/>
    <n v="39519.57"/>
    <n v="15760"/>
    <s v="John"/>
    <x v="1"/>
    <n v="19.23"/>
    <n v="35.799999999999997"/>
    <n v="2.5099999999999998"/>
    <s v="On Time"/>
    <s v="Medium"/>
    <s v="Low Risk"/>
    <x v="5"/>
    <n v="2025"/>
  </r>
  <r>
    <x v="127"/>
    <x v="69"/>
    <x v="1"/>
    <s v="V1156"/>
    <s v="Colombo"/>
    <s v="Busan"/>
    <x v="1"/>
    <n v="44.3"/>
    <n v="2499"/>
    <n v="47"/>
    <n v="21.2"/>
    <x v="2"/>
    <n v="24580.66"/>
    <n v="7670"/>
    <s v="Sato"/>
    <x v="0"/>
    <n v="56.41"/>
    <n v="9.84"/>
    <n v="3.2"/>
    <s v="Delayed"/>
    <s v="Medium"/>
    <s v="High Risk"/>
    <x v="6"/>
    <n v="2025"/>
  </r>
  <r>
    <x v="128"/>
    <x v="28"/>
    <x v="0"/>
    <s v="V1157"/>
    <s v="Dubai"/>
    <s v="Rotterdam"/>
    <x v="2"/>
    <n v="29.1"/>
    <n v="4534"/>
    <n v="83"/>
    <n v="13.6"/>
    <x v="3"/>
    <n v="15214.33"/>
    <n v="29585"/>
    <s v="David"/>
    <x v="1"/>
    <n v="155.81"/>
    <n v="3.36"/>
    <n v="0.51"/>
    <s v="On Time"/>
    <s v="Low"/>
    <s v="Low Risk"/>
    <x v="9"/>
    <n v="2025"/>
  </r>
  <r>
    <x v="129"/>
    <x v="38"/>
    <x v="2"/>
    <s v="V1158"/>
    <s v="Rotterdam"/>
    <s v="Mumbai"/>
    <x v="3"/>
    <n v="46.3"/>
    <n v="2899"/>
    <n v="92"/>
    <n v="12.1"/>
    <x v="0"/>
    <n v="21846.66"/>
    <n v="15968"/>
    <s v="Sato"/>
    <x v="0"/>
    <n v="62.61"/>
    <n v="7.54"/>
    <n v="1.37"/>
    <s v="Delayed"/>
    <s v="Medium"/>
    <s v="Medium Risk"/>
    <x v="7"/>
    <n v="2025"/>
  </r>
  <r>
    <x v="130"/>
    <x v="57"/>
    <x v="6"/>
    <s v="V1159"/>
    <s v="Busan"/>
    <s v="Rotterdam"/>
    <x v="2"/>
    <n v="78.5"/>
    <n v="1655"/>
    <n v="88"/>
    <n v="10.4"/>
    <x v="1"/>
    <n v="43884.6"/>
    <n v="23361"/>
    <s v="David"/>
    <x v="0"/>
    <n v="21.08"/>
    <n v="26.52"/>
    <n v="1.88"/>
    <s v="Delayed"/>
    <s v="High"/>
    <s v="Low Risk"/>
    <x v="6"/>
    <n v="2025"/>
  </r>
  <r>
    <x v="131"/>
    <x v="60"/>
    <x v="6"/>
    <s v="V1160"/>
    <s v="Hamburg"/>
    <s v="Rotterdam"/>
    <x v="3"/>
    <n v="64.3"/>
    <n v="1291"/>
    <n v="59"/>
    <n v="13.1"/>
    <x v="2"/>
    <n v="37806.54"/>
    <n v="22334"/>
    <s v="Chen"/>
    <x v="0"/>
    <n v="20.079999999999998"/>
    <n v="29.28"/>
    <n v="1.69"/>
    <s v="Delayed"/>
    <s v="High"/>
    <s v="High Risk"/>
    <x v="11"/>
    <n v="2025"/>
  </r>
  <r>
    <x v="132"/>
    <x v="45"/>
    <x v="1"/>
    <s v="V1161"/>
    <s v="Singapore"/>
    <s v="Colombo"/>
    <x v="1"/>
    <n v="26.5"/>
    <n v="1521"/>
    <n v="32"/>
    <n v="14.9"/>
    <x v="0"/>
    <n v="16511.79"/>
    <n v="5941"/>
    <s v="Sato"/>
    <x v="0"/>
    <n v="57.4"/>
    <n v="10.86"/>
    <n v="2.78"/>
    <s v="Delayed"/>
    <s v="Low"/>
    <s v="Medium Risk"/>
    <x v="3"/>
    <n v="2025"/>
  </r>
  <r>
    <x v="133"/>
    <x v="28"/>
    <x v="1"/>
    <s v="V1162"/>
    <s v="Singapore"/>
    <s v="Busan"/>
    <x v="3"/>
    <n v="44.4"/>
    <n v="525"/>
    <n v="105"/>
    <n v="19"/>
    <x v="3"/>
    <n v="25974.17"/>
    <n v="17555"/>
    <s v="Sato"/>
    <x v="1"/>
    <n v="11.82"/>
    <n v="49.47"/>
    <n v="1.48"/>
    <s v="On Time"/>
    <s v="Medium"/>
    <s v="Low Risk"/>
    <x v="10"/>
    <n v="2025"/>
  </r>
  <r>
    <x v="134"/>
    <x v="36"/>
    <x v="7"/>
    <s v="V1163"/>
    <s v="Mumbai"/>
    <s v="Singapore"/>
    <x v="1"/>
    <n v="67.400000000000006"/>
    <n v="2275"/>
    <n v="116"/>
    <n v="17.8"/>
    <x v="2"/>
    <n v="46443.96"/>
    <n v="17890"/>
    <s v="Michael"/>
    <x v="0"/>
    <n v="33.75"/>
    <n v="20.41"/>
    <n v="2.6"/>
    <s v="Delayed"/>
    <s v="High"/>
    <s v="High Risk"/>
    <x v="9"/>
    <n v="2025"/>
  </r>
  <r>
    <x v="68"/>
    <x v="70"/>
    <x v="0"/>
    <s v="V1164"/>
    <s v="Mumbai"/>
    <s v="Dubai"/>
    <x v="2"/>
    <n v="47.7"/>
    <n v="2074"/>
    <n v="60"/>
    <n v="18.2"/>
    <x v="1"/>
    <n v="23687.23"/>
    <n v="22179"/>
    <s v="Michael"/>
    <x v="0"/>
    <n v="43.48"/>
    <n v="11.42"/>
    <n v="1.07"/>
    <s v="Delayed"/>
    <s v="Medium"/>
    <s v="Low Risk"/>
    <x v="10"/>
    <n v="2025"/>
  </r>
  <r>
    <x v="135"/>
    <x v="5"/>
    <x v="5"/>
    <s v="V1165"/>
    <s v="Mumbai"/>
    <s v="Dubai"/>
    <x v="1"/>
    <n v="48.6"/>
    <n v="1333"/>
    <n v="45"/>
    <n v="15.9"/>
    <x v="2"/>
    <n v="22216.71"/>
    <n v="18324"/>
    <s v="Michael"/>
    <x v="0"/>
    <n v="27.43"/>
    <n v="16.670000000000002"/>
    <n v="1.21"/>
    <s v="Delayed"/>
    <s v="Medium"/>
    <s v="High Risk"/>
    <x v="1"/>
    <n v="2025"/>
  </r>
  <r>
    <x v="136"/>
    <x v="37"/>
    <x v="1"/>
    <s v="V1166"/>
    <s v="Busan"/>
    <s v="Rotterdam"/>
    <x v="3"/>
    <n v="41.2"/>
    <n v="1616"/>
    <n v="67"/>
    <n v="16.8"/>
    <x v="2"/>
    <n v="22030.76"/>
    <n v="9912"/>
    <s v="Chen"/>
    <x v="0"/>
    <n v="39.22"/>
    <n v="13.63"/>
    <n v="2.2200000000000002"/>
    <s v="Delayed"/>
    <s v="Medium"/>
    <s v="High Risk"/>
    <x v="6"/>
    <n v="2025"/>
  </r>
  <r>
    <x v="137"/>
    <x v="12"/>
    <x v="5"/>
    <s v="V1167"/>
    <s v="Hamburg"/>
    <s v="Chennai"/>
    <x v="2"/>
    <n v="47.9"/>
    <n v="696"/>
    <n v="76"/>
    <n v="11.5"/>
    <x v="0"/>
    <n v="23588.33"/>
    <n v="19025"/>
    <s v="Arun"/>
    <x v="0"/>
    <n v="14.53"/>
    <n v="33.89"/>
    <n v="1.24"/>
    <s v="Delayed"/>
    <s v="Medium"/>
    <s v="Medium Risk"/>
    <x v="11"/>
    <n v="2025"/>
  </r>
  <r>
    <x v="111"/>
    <x v="24"/>
    <x v="0"/>
    <s v="V1168"/>
    <s v="Singapore"/>
    <s v="Hamburg"/>
    <x v="3"/>
    <n v="50.6"/>
    <n v="1972"/>
    <n v="98"/>
    <n v="11.4"/>
    <x v="0"/>
    <n v="25602.85"/>
    <n v="10937"/>
    <s v="David"/>
    <x v="0"/>
    <n v="38.97"/>
    <n v="12.98"/>
    <n v="2.34"/>
    <s v="Delayed"/>
    <s v="Medium"/>
    <s v="Medium Risk"/>
    <x v="7"/>
    <n v="2025"/>
  </r>
  <r>
    <x v="138"/>
    <x v="49"/>
    <x v="2"/>
    <s v="V1169"/>
    <s v="Chennai"/>
    <s v="Dubai"/>
    <x v="1"/>
    <n v="74.099999999999994"/>
    <n v="1624"/>
    <n v="70"/>
    <n v="16"/>
    <x v="3"/>
    <n v="37545.4"/>
    <n v="24424"/>
    <s v="Ahmed"/>
    <x v="1"/>
    <n v="21.92"/>
    <n v="23.12"/>
    <n v="1.54"/>
    <s v="On Time"/>
    <s v="High"/>
    <s v="Low Risk"/>
    <x v="4"/>
    <n v="2025"/>
  </r>
  <r>
    <x v="139"/>
    <x v="56"/>
    <x v="0"/>
    <s v="V1170"/>
    <s v="Hamburg"/>
    <s v="Chennai"/>
    <x v="1"/>
    <n v="49.7"/>
    <n v="1272"/>
    <n v="117"/>
    <n v="13.1"/>
    <x v="0"/>
    <n v="26669.24"/>
    <n v="7645"/>
    <s v="Rahul"/>
    <x v="0"/>
    <n v="25.59"/>
    <n v="20.97"/>
    <n v="3.49"/>
    <s v="Delayed"/>
    <s v="Medium"/>
    <s v="Medium Risk"/>
    <x v="1"/>
    <n v="2025"/>
  </r>
  <r>
    <x v="104"/>
    <x v="61"/>
    <x v="7"/>
    <s v="V1171"/>
    <s v="Singapore"/>
    <s v="Mumbai"/>
    <x v="3"/>
    <n v="65.8"/>
    <n v="1417"/>
    <n v="43"/>
    <n v="10"/>
    <x v="3"/>
    <n v="42842.35"/>
    <n v="21490"/>
    <s v="Arun"/>
    <x v="1"/>
    <n v="21.53"/>
    <n v="30.23"/>
    <n v="1.99"/>
    <s v="On Time"/>
    <s v="High"/>
    <s v="Low Risk"/>
    <x v="9"/>
    <n v="2025"/>
  </r>
  <r>
    <x v="140"/>
    <x v="71"/>
    <x v="6"/>
    <s v="V1172"/>
    <s v="Hamburg"/>
    <s v="Chennai"/>
    <x v="2"/>
    <n v="36.4"/>
    <n v="1506"/>
    <n v="111"/>
    <n v="17.7"/>
    <x v="0"/>
    <n v="18921.919999999998"/>
    <n v="22259"/>
    <s v="John"/>
    <x v="0"/>
    <n v="41.37"/>
    <n v="12.56"/>
    <n v="0.85"/>
    <s v="Delayed"/>
    <s v="Low"/>
    <s v="Medium Risk"/>
    <x v="6"/>
    <n v="2025"/>
  </r>
  <r>
    <x v="141"/>
    <x v="72"/>
    <x v="5"/>
    <s v="V1173"/>
    <s v="Mumbai"/>
    <s v="Singapore"/>
    <x v="3"/>
    <n v="26"/>
    <n v="3922"/>
    <n v="94"/>
    <n v="10.3"/>
    <x v="1"/>
    <n v="13967.2"/>
    <n v="28235"/>
    <s v="Ahmed"/>
    <x v="0"/>
    <n v="150.85"/>
    <n v="3.56"/>
    <n v="0.49"/>
    <s v="Delayed"/>
    <s v="Low"/>
    <s v="Low Risk"/>
    <x v="2"/>
    <n v="2025"/>
  </r>
  <r>
    <x v="18"/>
    <x v="22"/>
    <x v="2"/>
    <s v="V1174"/>
    <s v="Singapore"/>
    <s v="Busan"/>
    <x v="2"/>
    <n v="42.1"/>
    <n v="1291"/>
    <n v="92"/>
    <n v="19.5"/>
    <x v="0"/>
    <n v="20646.25"/>
    <n v="10988"/>
    <s v="Michael"/>
    <x v="0"/>
    <n v="30.67"/>
    <n v="15.99"/>
    <n v="1.88"/>
    <s v="Delayed"/>
    <s v="Medium"/>
    <s v="Medium Risk"/>
    <x v="2"/>
    <n v="2025"/>
  </r>
  <r>
    <x v="116"/>
    <x v="36"/>
    <x v="3"/>
    <s v="V1175"/>
    <s v="Rotterdam"/>
    <s v="Colombo"/>
    <x v="3"/>
    <n v="44.6"/>
    <n v="4636"/>
    <n v="90"/>
    <n v="19.3"/>
    <x v="2"/>
    <n v="30263.360000000001"/>
    <n v="9711"/>
    <s v="Rahul"/>
    <x v="0"/>
    <n v="103.95"/>
    <n v="6.53"/>
    <n v="3.12"/>
    <s v="Delayed"/>
    <s v="Medium"/>
    <s v="High Risk"/>
    <x v="8"/>
    <n v="2025"/>
  </r>
  <r>
    <x v="139"/>
    <x v="11"/>
    <x v="3"/>
    <s v="V1176"/>
    <s v="Busan"/>
    <s v="Chennai"/>
    <x v="1"/>
    <n v="33.1"/>
    <n v="4991"/>
    <n v="108"/>
    <n v="11.7"/>
    <x v="0"/>
    <n v="17614.64"/>
    <n v="22921"/>
    <s v="David"/>
    <x v="0"/>
    <n v="150.79"/>
    <n v="3.53"/>
    <n v="0.77"/>
    <s v="Delayed"/>
    <s v="Low"/>
    <s v="Medium Risk"/>
    <x v="1"/>
    <n v="2025"/>
  </r>
  <r>
    <x v="142"/>
    <x v="9"/>
    <x v="5"/>
    <s v="V1177"/>
    <s v="Hamburg"/>
    <s v="Rotterdam"/>
    <x v="3"/>
    <n v="46"/>
    <n v="3189"/>
    <n v="51"/>
    <n v="16.7"/>
    <x v="2"/>
    <n v="25152.62"/>
    <n v="8199"/>
    <s v="Michael"/>
    <x v="0"/>
    <n v="69.33"/>
    <n v="7.89"/>
    <n v="3.07"/>
    <s v="Delayed"/>
    <s v="Medium"/>
    <s v="High Risk"/>
    <x v="7"/>
    <n v="2025"/>
  </r>
  <r>
    <x v="143"/>
    <x v="73"/>
    <x v="6"/>
    <s v="V1178"/>
    <s v="Busan"/>
    <s v="Mumbai"/>
    <x v="1"/>
    <n v="27"/>
    <n v="3432"/>
    <n v="22"/>
    <n v="19.399999999999999"/>
    <x v="2"/>
    <n v="17024.04"/>
    <n v="15325"/>
    <s v="Chen"/>
    <x v="0"/>
    <n v="127.11"/>
    <n v="4.96"/>
    <n v="1.1100000000000001"/>
    <s v="Delayed"/>
    <s v="Low"/>
    <s v="High Risk"/>
    <x v="4"/>
    <n v="2025"/>
  </r>
  <r>
    <x v="144"/>
    <x v="7"/>
    <x v="2"/>
    <s v="V1179"/>
    <s v="Singapore"/>
    <s v="Colombo"/>
    <x v="1"/>
    <n v="72"/>
    <n v="1069"/>
    <n v="97"/>
    <n v="17.600000000000001"/>
    <x v="1"/>
    <n v="46600.46"/>
    <n v="26244"/>
    <s v="John"/>
    <x v="0"/>
    <n v="14.85"/>
    <n v="43.59"/>
    <n v="1.78"/>
    <s v="Delayed"/>
    <s v="High"/>
    <s v="Low Risk"/>
    <x v="11"/>
    <n v="2025"/>
  </r>
  <r>
    <x v="145"/>
    <x v="3"/>
    <x v="3"/>
    <s v="V1180"/>
    <s v="Chennai"/>
    <s v="Hamburg"/>
    <x v="2"/>
    <n v="34.1"/>
    <n v="4005"/>
    <n v="66"/>
    <n v="20.3"/>
    <x v="3"/>
    <n v="20871.740000000002"/>
    <n v="15532"/>
    <s v="Chen"/>
    <x v="1"/>
    <n v="117.45"/>
    <n v="5.21"/>
    <n v="1.34"/>
    <s v="On Time"/>
    <s v="Low"/>
    <s v="Low Risk"/>
    <x v="3"/>
    <n v="2025"/>
  </r>
  <r>
    <x v="90"/>
    <x v="24"/>
    <x v="4"/>
    <s v="V1181"/>
    <s v="Busan"/>
    <s v="Rotterdam"/>
    <x v="2"/>
    <n v="63.8"/>
    <n v="946"/>
    <n v="81"/>
    <n v="17"/>
    <x v="1"/>
    <n v="44571.24"/>
    <n v="19195"/>
    <s v="Rahul"/>
    <x v="0"/>
    <n v="14.83"/>
    <n v="47.12"/>
    <n v="2.3199999999999998"/>
    <s v="Delayed"/>
    <s v="High"/>
    <s v="Low Risk"/>
    <x v="9"/>
    <n v="2025"/>
  </r>
  <r>
    <x v="146"/>
    <x v="4"/>
    <x v="2"/>
    <s v="V1182"/>
    <s v="Colombo"/>
    <s v="Chennai"/>
    <x v="0"/>
    <n v="49.5"/>
    <n v="4465"/>
    <n v="23"/>
    <n v="20.2"/>
    <x v="2"/>
    <n v="22505.360000000001"/>
    <n v="6977"/>
    <s v="John"/>
    <x v="0"/>
    <n v="90.2"/>
    <n v="5.04"/>
    <n v="3.23"/>
    <s v="Delayed"/>
    <s v="Medium"/>
    <s v="High Risk"/>
    <x v="6"/>
    <n v="2025"/>
  </r>
  <r>
    <x v="147"/>
    <x v="31"/>
    <x v="2"/>
    <s v="V1183"/>
    <s v="Chennai"/>
    <s v="Busan"/>
    <x v="3"/>
    <n v="42.2"/>
    <n v="3417"/>
    <n v="111"/>
    <n v="17.600000000000001"/>
    <x v="0"/>
    <n v="28544.41"/>
    <n v="24412"/>
    <s v="Sato"/>
    <x v="0"/>
    <n v="80.97"/>
    <n v="8.35"/>
    <n v="1.17"/>
    <s v="Delayed"/>
    <s v="Medium"/>
    <s v="Medium Risk"/>
    <x v="4"/>
    <n v="2025"/>
  </r>
  <r>
    <x v="148"/>
    <x v="61"/>
    <x v="3"/>
    <s v="V1184"/>
    <s v="Mumbai"/>
    <s v="Dubai"/>
    <x v="2"/>
    <n v="78.3"/>
    <n v="514"/>
    <n v="61"/>
    <n v="11.5"/>
    <x v="2"/>
    <n v="39050.519999999997"/>
    <n v="15512"/>
    <s v="Ahmed"/>
    <x v="0"/>
    <n v="6.56"/>
    <n v="75.97"/>
    <n v="2.52"/>
    <s v="Delayed"/>
    <s v="High"/>
    <s v="High Risk"/>
    <x v="1"/>
    <n v="2025"/>
  </r>
  <r>
    <x v="149"/>
    <x v="71"/>
    <x v="3"/>
    <s v="V1185"/>
    <s v="Mumbai"/>
    <s v="Chennai"/>
    <x v="1"/>
    <n v="29.6"/>
    <n v="1115"/>
    <n v="103"/>
    <n v="15"/>
    <x v="3"/>
    <n v="17640.099999999999"/>
    <n v="17384"/>
    <s v="Rahul"/>
    <x v="1"/>
    <n v="37.67"/>
    <n v="15.82"/>
    <n v="1.01"/>
    <s v="On Time"/>
    <s v="Low"/>
    <s v="Low Risk"/>
    <x v="9"/>
    <n v="2025"/>
  </r>
  <r>
    <x v="150"/>
    <x v="35"/>
    <x v="1"/>
    <s v="V1186"/>
    <s v="Mumbai"/>
    <s v="Dubai"/>
    <x v="1"/>
    <n v="23.8"/>
    <n v="1033"/>
    <n v="30"/>
    <n v="11.7"/>
    <x v="3"/>
    <n v="14911.79"/>
    <n v="22664"/>
    <s v="David"/>
    <x v="1"/>
    <n v="43.4"/>
    <n v="14.44"/>
    <n v="0.66"/>
    <s v="On Time"/>
    <s v="Low"/>
    <s v="Low Risk"/>
    <x v="6"/>
    <n v="2025"/>
  </r>
  <r>
    <x v="151"/>
    <x v="36"/>
    <x v="6"/>
    <s v="V1187"/>
    <s v="Rotterdam"/>
    <s v="Dubai"/>
    <x v="0"/>
    <n v="70.8"/>
    <n v="1587"/>
    <n v="93"/>
    <n v="20.9"/>
    <x v="1"/>
    <n v="44917.1"/>
    <n v="16506"/>
    <s v="Rahul"/>
    <x v="0"/>
    <n v="22.42"/>
    <n v="28.3"/>
    <n v="2.72"/>
    <s v="Delayed"/>
    <s v="High"/>
    <s v="Low Risk"/>
    <x v="8"/>
    <n v="2025"/>
  </r>
  <r>
    <x v="108"/>
    <x v="4"/>
    <x v="3"/>
    <s v="V1188"/>
    <s v="Singapore"/>
    <s v="Hamburg"/>
    <x v="3"/>
    <n v="59.5"/>
    <n v="2380"/>
    <n v="75"/>
    <n v="16.100000000000001"/>
    <x v="2"/>
    <n v="31929.3"/>
    <n v="13753"/>
    <s v="Sato"/>
    <x v="0"/>
    <n v="40"/>
    <n v="13.42"/>
    <n v="2.3199999999999998"/>
    <s v="Delayed"/>
    <s v="Medium"/>
    <s v="High Risk"/>
    <x v="4"/>
    <n v="2025"/>
  </r>
  <r>
    <x v="135"/>
    <x v="21"/>
    <x v="5"/>
    <s v="V1189"/>
    <s v="Hamburg"/>
    <s v="Mumbai"/>
    <x v="1"/>
    <n v="58.5"/>
    <n v="4160"/>
    <n v="108"/>
    <n v="16.399999999999999"/>
    <x v="1"/>
    <n v="36372.04"/>
    <n v="10422"/>
    <s v="Arun"/>
    <x v="0"/>
    <n v="71.11"/>
    <n v="8.74"/>
    <n v="3.49"/>
    <s v="Delayed"/>
    <s v="Medium"/>
    <s v="Low Risk"/>
    <x v="1"/>
    <n v="2025"/>
  </r>
  <r>
    <x v="152"/>
    <x v="10"/>
    <x v="5"/>
    <s v="V1190"/>
    <s v="Busan"/>
    <s v="Hamburg"/>
    <x v="2"/>
    <n v="39.799999999999997"/>
    <n v="4975"/>
    <n v="48"/>
    <n v="20.3"/>
    <x v="0"/>
    <n v="24945.09"/>
    <n v="21493"/>
    <s v="Michael"/>
    <x v="0"/>
    <n v="125"/>
    <n v="5.01"/>
    <n v="1.1599999999999999"/>
    <s v="Delayed"/>
    <s v="Low"/>
    <s v="Medium Risk"/>
    <x v="9"/>
    <n v="2025"/>
  </r>
  <r>
    <x v="112"/>
    <x v="55"/>
    <x v="7"/>
    <s v="V1191"/>
    <s v="Rotterdam"/>
    <s v="Dubai"/>
    <x v="0"/>
    <n v="65.7"/>
    <n v="3791"/>
    <n v="46"/>
    <n v="21.7"/>
    <x v="2"/>
    <n v="37233.050000000003"/>
    <n v="26923"/>
    <s v="Arun"/>
    <x v="0"/>
    <n v="57.7"/>
    <n v="9.82"/>
    <n v="1.38"/>
    <s v="Delayed"/>
    <s v="High"/>
    <s v="High Risk"/>
    <x v="0"/>
    <n v="2025"/>
  </r>
  <r>
    <x v="85"/>
    <x v="12"/>
    <x v="7"/>
    <s v="V1192"/>
    <s v="Hamburg"/>
    <s v="Dubai"/>
    <x v="3"/>
    <n v="23.9"/>
    <n v="1306"/>
    <n v="33"/>
    <n v="10.5"/>
    <x v="2"/>
    <n v="12544.92"/>
    <n v="5485"/>
    <s v="Rahul"/>
    <x v="0"/>
    <n v="54.64"/>
    <n v="9.61"/>
    <n v="2.29"/>
    <s v="Delayed"/>
    <s v="Low"/>
    <s v="High Risk"/>
    <x v="10"/>
    <n v="2025"/>
  </r>
  <r>
    <x v="104"/>
    <x v="32"/>
    <x v="3"/>
    <s v="V1193"/>
    <s v="Hamburg"/>
    <s v="Mumbai"/>
    <x v="1"/>
    <n v="45.5"/>
    <n v="997"/>
    <n v="39"/>
    <n v="11.6"/>
    <x v="2"/>
    <n v="21591.71"/>
    <n v="18853"/>
    <s v="Chen"/>
    <x v="0"/>
    <n v="21.91"/>
    <n v="21.66"/>
    <n v="1.1499999999999999"/>
    <s v="Delayed"/>
    <s v="Medium"/>
    <s v="High Risk"/>
    <x v="9"/>
    <n v="2025"/>
  </r>
  <r>
    <x v="153"/>
    <x v="42"/>
    <x v="4"/>
    <s v="V1194"/>
    <s v="Rotterdam"/>
    <s v="Busan"/>
    <x v="1"/>
    <n v="42.2"/>
    <n v="3295"/>
    <n v="108"/>
    <n v="12.1"/>
    <x v="3"/>
    <n v="19264.580000000002"/>
    <n v="8086"/>
    <s v="Arun"/>
    <x v="1"/>
    <n v="78.08"/>
    <n v="5.85"/>
    <n v="2.38"/>
    <s v="On Time"/>
    <s v="Medium"/>
    <s v="Low Risk"/>
    <x v="3"/>
    <n v="2025"/>
  </r>
  <r>
    <x v="74"/>
    <x v="14"/>
    <x v="3"/>
    <s v="V1195"/>
    <s v="Mumbai"/>
    <s v="Colombo"/>
    <x v="2"/>
    <n v="48.6"/>
    <n v="4366"/>
    <n v="115"/>
    <n v="13.8"/>
    <x v="1"/>
    <n v="25762.6"/>
    <n v="12971"/>
    <s v="Rahul"/>
    <x v="0"/>
    <n v="89.84"/>
    <n v="5.9"/>
    <n v="1.99"/>
    <s v="Delayed"/>
    <s v="Medium"/>
    <s v="Low Risk"/>
    <x v="6"/>
    <n v="2025"/>
  </r>
  <r>
    <x v="45"/>
    <x v="13"/>
    <x v="5"/>
    <s v="V1196"/>
    <s v="Hamburg"/>
    <s v="Dubai"/>
    <x v="1"/>
    <n v="24.2"/>
    <n v="1934"/>
    <n v="118"/>
    <n v="14.5"/>
    <x v="2"/>
    <n v="16058.59"/>
    <n v="27428"/>
    <s v="John"/>
    <x v="0"/>
    <n v="79.92"/>
    <n v="8.3000000000000007"/>
    <n v="0.59"/>
    <s v="Delayed"/>
    <s v="Low"/>
    <s v="High Risk"/>
    <x v="8"/>
    <n v="2025"/>
  </r>
  <r>
    <x v="154"/>
    <x v="53"/>
    <x v="5"/>
    <s v="V1197"/>
    <s v="Chennai"/>
    <s v="Singapore"/>
    <x v="1"/>
    <n v="27.7"/>
    <n v="3056"/>
    <n v="98"/>
    <n v="14.5"/>
    <x v="2"/>
    <n v="14895.62"/>
    <n v="7606"/>
    <s v="David"/>
    <x v="0"/>
    <n v="110.32"/>
    <n v="4.87"/>
    <n v="1.96"/>
    <s v="Delayed"/>
    <s v="Low"/>
    <s v="High Risk"/>
    <x v="10"/>
    <n v="2025"/>
  </r>
  <r>
    <x v="155"/>
    <x v="1"/>
    <x v="6"/>
    <s v="V1198"/>
    <s v="Colombo"/>
    <s v="Dubai"/>
    <x v="1"/>
    <n v="70.8"/>
    <n v="1050"/>
    <n v="75"/>
    <n v="21.5"/>
    <x v="2"/>
    <n v="35989.49"/>
    <n v="15710"/>
    <s v="Michael"/>
    <x v="0"/>
    <n v="14.83"/>
    <n v="34.28"/>
    <n v="2.29"/>
    <s v="Delayed"/>
    <s v="High"/>
    <s v="High Risk"/>
    <x v="0"/>
    <n v="2025"/>
  </r>
  <r>
    <x v="156"/>
    <x v="4"/>
    <x v="0"/>
    <s v="V1199"/>
    <s v="Hamburg"/>
    <s v="Busan"/>
    <x v="1"/>
    <n v="53.5"/>
    <n v="4232"/>
    <n v="24"/>
    <n v="13.4"/>
    <x v="0"/>
    <n v="28104.34"/>
    <n v="14298"/>
    <s v="Arun"/>
    <x v="0"/>
    <n v="79.099999999999994"/>
    <n v="6.64"/>
    <n v="1.97"/>
    <s v="Delayed"/>
    <s v="Medium"/>
    <s v="Medium Risk"/>
    <x v="7"/>
    <n v="2025"/>
  </r>
  <r>
    <x v="2"/>
    <x v="73"/>
    <x v="4"/>
    <s v="V1200"/>
    <s v="Singapore"/>
    <s v="Rotterdam"/>
    <x v="1"/>
    <n v="62.7"/>
    <n v="4675"/>
    <n v="25"/>
    <n v="18.8"/>
    <x v="2"/>
    <n v="33945.339999999997"/>
    <n v="10705"/>
    <s v="Chen"/>
    <x v="0"/>
    <n v="74.56"/>
    <n v="7.26"/>
    <n v="3.17"/>
    <s v="Delayed"/>
    <s v="High"/>
    <s v="High Risk"/>
    <x v="2"/>
    <n v="2025"/>
  </r>
  <r>
    <x v="157"/>
    <x v="41"/>
    <x v="5"/>
    <s v="V1201"/>
    <s v="Mumbai"/>
    <s v="Chennai"/>
    <x v="2"/>
    <n v="23.8"/>
    <n v="4090"/>
    <n v="75"/>
    <n v="15.2"/>
    <x v="0"/>
    <n v="14205.26"/>
    <n v="19429"/>
    <s v="Chen"/>
    <x v="0"/>
    <n v="171.85"/>
    <n v="3.47"/>
    <n v="0.73"/>
    <s v="Delayed"/>
    <s v="Low"/>
    <s v="Medium Risk"/>
    <x v="8"/>
    <n v="2025"/>
  </r>
  <r>
    <x v="35"/>
    <x v="47"/>
    <x v="5"/>
    <s v="V1202"/>
    <s v="Singapore"/>
    <s v="Colombo"/>
    <x v="3"/>
    <n v="55.9"/>
    <n v="4415"/>
    <n v="58"/>
    <n v="10.4"/>
    <x v="3"/>
    <n v="36279.1"/>
    <n v="10309"/>
    <s v="Michael"/>
    <x v="1"/>
    <n v="78.98"/>
    <n v="8.2200000000000006"/>
    <n v="3.52"/>
    <s v="On Time"/>
    <s v="Medium"/>
    <s v="Low Risk"/>
    <x v="3"/>
    <n v="2025"/>
  </r>
  <r>
    <x v="48"/>
    <x v="70"/>
    <x v="4"/>
    <s v="V1203"/>
    <s v="Mumbai"/>
    <s v="Rotterdam"/>
    <x v="1"/>
    <n v="23.6"/>
    <n v="4678"/>
    <n v="23"/>
    <n v="13.1"/>
    <x v="0"/>
    <n v="14420.45"/>
    <n v="20623"/>
    <s v="Michael"/>
    <x v="0"/>
    <n v="198.22"/>
    <n v="3.08"/>
    <n v="0.7"/>
    <s v="Delayed"/>
    <s v="Low"/>
    <s v="Medium Risk"/>
    <x v="1"/>
    <n v="2025"/>
  </r>
  <r>
    <x v="158"/>
    <x v="36"/>
    <x v="7"/>
    <s v="V1204"/>
    <s v="Dubai"/>
    <s v="Mumbai"/>
    <x v="2"/>
    <n v="61.7"/>
    <n v="4580"/>
    <n v="93"/>
    <n v="12.4"/>
    <x v="2"/>
    <n v="34673.019999999997"/>
    <n v="25403"/>
    <s v="Rahul"/>
    <x v="0"/>
    <n v="74.23"/>
    <n v="7.57"/>
    <n v="1.36"/>
    <s v="Delayed"/>
    <s v="High"/>
    <s v="High Risk"/>
    <x v="7"/>
    <n v="2025"/>
  </r>
  <r>
    <x v="159"/>
    <x v="57"/>
    <x v="0"/>
    <s v="V1205"/>
    <s v="Rotterdam"/>
    <s v="Mumbai"/>
    <x v="1"/>
    <n v="37.4"/>
    <n v="2946"/>
    <n v="58"/>
    <n v="21.8"/>
    <x v="1"/>
    <n v="20586.86"/>
    <n v="12869"/>
    <s v="John"/>
    <x v="0"/>
    <n v="78.77"/>
    <n v="6.99"/>
    <n v="1.6"/>
    <s v="Delayed"/>
    <s v="Low"/>
    <s v="Low Risk"/>
    <x v="1"/>
    <n v="2025"/>
  </r>
  <r>
    <x v="160"/>
    <x v="24"/>
    <x v="6"/>
    <s v="V1206"/>
    <s v="Busan"/>
    <s v="Rotterdam"/>
    <x v="2"/>
    <n v="27.6"/>
    <n v="3865"/>
    <n v="51"/>
    <n v="16.5"/>
    <x v="0"/>
    <n v="15816.75"/>
    <n v="9572"/>
    <s v="John"/>
    <x v="0"/>
    <n v="140.04"/>
    <n v="4.09"/>
    <n v="1.65"/>
    <s v="Delayed"/>
    <s v="Low"/>
    <s v="Medium Risk"/>
    <x v="9"/>
    <n v="2025"/>
  </r>
  <r>
    <x v="161"/>
    <x v="0"/>
    <x v="4"/>
    <s v="V1207"/>
    <s v="Dubai"/>
    <s v="Colombo"/>
    <x v="1"/>
    <n v="57.5"/>
    <n v="1409"/>
    <n v="57"/>
    <n v="10.5"/>
    <x v="2"/>
    <n v="32392.55"/>
    <n v="14727"/>
    <s v="Sato"/>
    <x v="0"/>
    <n v="24.5"/>
    <n v="22.99"/>
    <n v="2.2000000000000002"/>
    <s v="Delayed"/>
    <s v="Medium"/>
    <s v="High Risk"/>
    <x v="9"/>
    <n v="2025"/>
  </r>
  <r>
    <x v="147"/>
    <x v="29"/>
    <x v="5"/>
    <s v="V1208"/>
    <s v="Hamburg"/>
    <s v="Colombo"/>
    <x v="2"/>
    <n v="44.6"/>
    <n v="1009"/>
    <n v="51"/>
    <n v="16.5"/>
    <x v="2"/>
    <n v="22853.83"/>
    <n v="22902"/>
    <s v="Sato"/>
    <x v="0"/>
    <n v="22.62"/>
    <n v="22.65"/>
    <n v="1"/>
    <s v="Delayed"/>
    <s v="Medium"/>
    <s v="High Risk"/>
    <x v="4"/>
    <n v="2025"/>
  </r>
  <r>
    <x v="66"/>
    <x v="74"/>
    <x v="1"/>
    <s v="V1209"/>
    <s v="Singapore"/>
    <s v="Mumbai"/>
    <x v="3"/>
    <n v="28.2"/>
    <n v="2499"/>
    <n v="89"/>
    <n v="12.1"/>
    <x v="2"/>
    <n v="15413.23"/>
    <n v="19213"/>
    <s v="John"/>
    <x v="0"/>
    <n v="88.62"/>
    <n v="6.17"/>
    <n v="0.8"/>
    <s v="Delayed"/>
    <s v="Low"/>
    <s v="High Risk"/>
    <x v="10"/>
    <n v="2025"/>
  </r>
  <r>
    <x v="139"/>
    <x v="54"/>
    <x v="6"/>
    <s v="V1210"/>
    <s v="Mumbai"/>
    <s v="Hamburg"/>
    <x v="2"/>
    <n v="39.9"/>
    <n v="1663"/>
    <n v="56"/>
    <n v="21.5"/>
    <x v="0"/>
    <n v="19437.830000000002"/>
    <n v="8295"/>
    <s v="Sato"/>
    <x v="0"/>
    <n v="41.68"/>
    <n v="11.69"/>
    <n v="2.34"/>
    <s v="Delayed"/>
    <s v="Low"/>
    <s v="Medium Risk"/>
    <x v="1"/>
    <n v="2025"/>
  </r>
  <r>
    <x v="162"/>
    <x v="71"/>
    <x v="6"/>
    <s v="V1211"/>
    <s v="Busan"/>
    <s v="Hamburg"/>
    <x v="3"/>
    <n v="27.6"/>
    <n v="2792"/>
    <n v="106"/>
    <n v="10.3"/>
    <x v="0"/>
    <n v="16802.490000000002"/>
    <n v="18979"/>
    <s v="Arun"/>
    <x v="0"/>
    <n v="101.16"/>
    <n v="6.02"/>
    <n v="0.89"/>
    <s v="Delayed"/>
    <s v="Low"/>
    <s v="Medium Risk"/>
    <x v="8"/>
    <n v="2025"/>
  </r>
  <r>
    <x v="163"/>
    <x v="65"/>
    <x v="3"/>
    <s v="V1212"/>
    <s v="Hamburg"/>
    <s v="Chennai"/>
    <x v="2"/>
    <n v="42.7"/>
    <n v="2132"/>
    <n v="47"/>
    <n v="20.100000000000001"/>
    <x v="1"/>
    <n v="21629.919999999998"/>
    <n v="13082"/>
    <s v="Sato"/>
    <x v="0"/>
    <n v="49.93"/>
    <n v="10.15"/>
    <n v="1.65"/>
    <s v="Delayed"/>
    <s v="Medium"/>
    <s v="Low Risk"/>
    <x v="10"/>
    <n v="2025"/>
  </r>
  <r>
    <x v="164"/>
    <x v="7"/>
    <x v="7"/>
    <s v="V1213"/>
    <s v="Colombo"/>
    <s v="Singapore"/>
    <x v="3"/>
    <n v="62.1"/>
    <n v="4815"/>
    <n v="114"/>
    <n v="20.8"/>
    <x v="1"/>
    <n v="40929.550000000003"/>
    <n v="10703"/>
    <s v="Arun"/>
    <x v="0"/>
    <n v="77.540000000000006"/>
    <n v="8.5"/>
    <n v="3.82"/>
    <s v="Delayed"/>
    <s v="High"/>
    <s v="Low Risk"/>
    <x v="9"/>
    <n v="2025"/>
  </r>
  <r>
    <x v="89"/>
    <x v="36"/>
    <x v="6"/>
    <s v="V1214"/>
    <s v="Hamburg"/>
    <s v="Dubai"/>
    <x v="1"/>
    <n v="73.599999999999994"/>
    <n v="528"/>
    <n v="89"/>
    <n v="16.3"/>
    <x v="1"/>
    <n v="35283.65"/>
    <n v="22280"/>
    <s v="Rahul"/>
    <x v="0"/>
    <n v="7.17"/>
    <n v="66.83"/>
    <n v="1.58"/>
    <s v="Delayed"/>
    <s v="High"/>
    <s v="Low Risk"/>
    <x v="1"/>
    <n v="2025"/>
  </r>
  <r>
    <x v="165"/>
    <x v="43"/>
    <x v="5"/>
    <s v="V1215"/>
    <s v="Hamburg"/>
    <s v="Chennai"/>
    <x v="3"/>
    <n v="56.9"/>
    <n v="3916"/>
    <n v="113"/>
    <n v="11.2"/>
    <x v="3"/>
    <n v="32430.18"/>
    <n v="11720"/>
    <s v="Sato"/>
    <x v="1"/>
    <n v="68.819999999999993"/>
    <n v="8.2799999999999994"/>
    <n v="2.77"/>
    <s v="On Time"/>
    <s v="Medium"/>
    <s v="Low Risk"/>
    <x v="5"/>
    <n v="2025"/>
  </r>
  <r>
    <x v="166"/>
    <x v="69"/>
    <x v="6"/>
    <s v="V1216"/>
    <s v="Colombo"/>
    <s v="Singapore"/>
    <x v="1"/>
    <n v="39.299999999999997"/>
    <n v="1513"/>
    <n v="54"/>
    <n v="21.4"/>
    <x v="0"/>
    <n v="20946.34"/>
    <n v="8518"/>
    <s v="David"/>
    <x v="0"/>
    <n v="38.5"/>
    <n v="13.84"/>
    <n v="2.46"/>
    <s v="Delayed"/>
    <s v="Low"/>
    <s v="Medium Risk"/>
    <x v="5"/>
    <n v="2025"/>
  </r>
  <r>
    <x v="148"/>
    <x v="52"/>
    <x v="2"/>
    <s v="V1217"/>
    <s v="Hamburg"/>
    <s v="Singapore"/>
    <x v="2"/>
    <n v="52.8"/>
    <n v="2001"/>
    <n v="68"/>
    <n v="16.7"/>
    <x v="2"/>
    <n v="36025.730000000003"/>
    <n v="14514"/>
    <s v="John"/>
    <x v="0"/>
    <n v="37.9"/>
    <n v="18"/>
    <n v="2.48"/>
    <s v="Delayed"/>
    <s v="Medium"/>
    <s v="High Risk"/>
    <x v="1"/>
    <n v="2025"/>
  </r>
  <r>
    <x v="138"/>
    <x v="50"/>
    <x v="2"/>
    <s v="V1218"/>
    <s v="Busan"/>
    <s v="Mumbai"/>
    <x v="3"/>
    <n v="50.7"/>
    <n v="3703"/>
    <n v="67"/>
    <n v="11"/>
    <x v="3"/>
    <n v="28058.2"/>
    <n v="21204"/>
    <s v="John"/>
    <x v="1"/>
    <n v="73.040000000000006"/>
    <n v="7.58"/>
    <n v="1.32"/>
    <s v="On Time"/>
    <s v="Medium"/>
    <s v="Low Risk"/>
    <x v="4"/>
    <n v="2025"/>
  </r>
  <r>
    <x v="167"/>
    <x v="53"/>
    <x v="6"/>
    <s v="V1219"/>
    <s v="Chennai"/>
    <s v="Rotterdam"/>
    <x v="1"/>
    <n v="71.7"/>
    <n v="4340"/>
    <n v="70"/>
    <n v="11.2"/>
    <x v="0"/>
    <n v="47491.37"/>
    <n v="18218"/>
    <s v="Sato"/>
    <x v="0"/>
    <n v="60.53"/>
    <n v="10.94"/>
    <n v="2.61"/>
    <s v="Delayed"/>
    <s v="High"/>
    <s v="Medium Risk"/>
    <x v="11"/>
    <n v="2025"/>
  </r>
  <r>
    <x v="168"/>
    <x v="48"/>
    <x v="5"/>
    <s v="V1220"/>
    <s v="Busan"/>
    <s v="Rotterdam"/>
    <x v="0"/>
    <n v="61.6"/>
    <n v="3131"/>
    <n v="23"/>
    <n v="16.8"/>
    <x v="2"/>
    <n v="33630.21"/>
    <n v="28783"/>
    <s v="Michael"/>
    <x v="0"/>
    <n v="50.83"/>
    <n v="10.74"/>
    <n v="1.17"/>
    <s v="Delayed"/>
    <s v="High"/>
    <s v="High Risk"/>
    <x v="7"/>
    <n v="2025"/>
  </r>
  <r>
    <x v="169"/>
    <x v="70"/>
    <x v="3"/>
    <s v="V1221"/>
    <s v="Hamburg"/>
    <s v="Rotterdam"/>
    <x v="2"/>
    <n v="60.4"/>
    <n v="3821"/>
    <n v="63"/>
    <n v="21.5"/>
    <x v="3"/>
    <n v="33007.69"/>
    <n v="23944"/>
    <s v="Chen"/>
    <x v="1"/>
    <n v="63.26"/>
    <n v="8.64"/>
    <n v="1.38"/>
    <s v="On Time"/>
    <s v="High"/>
    <s v="Low Risk"/>
    <x v="11"/>
    <n v="2025"/>
  </r>
  <r>
    <x v="170"/>
    <x v="56"/>
    <x v="0"/>
    <s v="V1222"/>
    <s v="Colombo"/>
    <s v="Singapore"/>
    <x v="2"/>
    <n v="63.3"/>
    <n v="2644"/>
    <n v="73"/>
    <n v="17.100000000000001"/>
    <x v="0"/>
    <n v="37285.730000000003"/>
    <n v="10330"/>
    <s v="Sato"/>
    <x v="0"/>
    <n v="41.77"/>
    <n v="14.1"/>
    <n v="3.61"/>
    <s v="Delayed"/>
    <s v="High"/>
    <s v="Medium Risk"/>
    <x v="4"/>
    <n v="2025"/>
  </r>
  <r>
    <x v="171"/>
    <x v="50"/>
    <x v="1"/>
    <s v="V1223"/>
    <s v="Chennai"/>
    <s v="Mumbai"/>
    <x v="1"/>
    <n v="22.7"/>
    <n v="2881"/>
    <n v="90"/>
    <n v="12.4"/>
    <x v="1"/>
    <n v="14995.31"/>
    <n v="9594"/>
    <s v="Ahmed"/>
    <x v="0"/>
    <n v="126.92"/>
    <n v="5.2"/>
    <n v="1.56"/>
    <s v="Delayed"/>
    <s v="Low"/>
    <s v="Low Risk"/>
    <x v="11"/>
    <n v="2025"/>
  </r>
  <r>
    <x v="172"/>
    <x v="54"/>
    <x v="3"/>
    <s v="V1224"/>
    <s v="Dubai"/>
    <s v="Hamburg"/>
    <x v="0"/>
    <n v="51.5"/>
    <n v="3925"/>
    <n v="32"/>
    <n v="12.2"/>
    <x v="1"/>
    <n v="28152.080000000002"/>
    <n v="13755"/>
    <s v="Rahul"/>
    <x v="0"/>
    <n v="76.209999999999994"/>
    <n v="7.17"/>
    <n v="2.0499999999999998"/>
    <s v="Delayed"/>
    <s v="Medium"/>
    <s v="Low Risk"/>
    <x v="8"/>
    <n v="2025"/>
  </r>
  <r>
    <x v="173"/>
    <x v="75"/>
    <x v="5"/>
    <s v="V1225"/>
    <s v="Chennai"/>
    <s v="Mumbai"/>
    <x v="2"/>
    <n v="49.1"/>
    <n v="2229"/>
    <n v="113"/>
    <n v="20.3"/>
    <x v="2"/>
    <n v="29711.41"/>
    <n v="15864"/>
    <s v="Ahmed"/>
    <x v="0"/>
    <n v="45.4"/>
    <n v="13.33"/>
    <n v="1.87"/>
    <s v="Delayed"/>
    <s v="Medium"/>
    <s v="High Risk"/>
    <x v="2"/>
    <n v="2025"/>
  </r>
  <r>
    <x v="174"/>
    <x v="76"/>
    <x v="0"/>
    <s v="V1226"/>
    <s v="Hamburg"/>
    <s v="Colombo"/>
    <x v="2"/>
    <n v="37.6"/>
    <n v="1336"/>
    <n v="96"/>
    <n v="14.8"/>
    <x v="3"/>
    <n v="20128.099999999999"/>
    <n v="11880"/>
    <s v="David"/>
    <x v="1"/>
    <n v="35.53"/>
    <n v="15.07"/>
    <n v="1.69"/>
    <s v="On Time"/>
    <s v="Low"/>
    <s v="Low Risk"/>
    <x v="11"/>
    <n v="2025"/>
  </r>
  <r>
    <x v="1"/>
    <x v="11"/>
    <x v="4"/>
    <s v="V1227"/>
    <s v="Dubai"/>
    <s v="Colombo"/>
    <x v="2"/>
    <n v="61.5"/>
    <n v="1165"/>
    <n v="44"/>
    <n v="15.9"/>
    <x v="0"/>
    <n v="28420.48"/>
    <n v="8950"/>
    <s v="Sato"/>
    <x v="0"/>
    <n v="18.940000000000001"/>
    <n v="24.4"/>
    <n v="3.18"/>
    <s v="Delayed"/>
    <s v="High"/>
    <s v="Medium Risk"/>
    <x v="1"/>
    <n v="2025"/>
  </r>
  <r>
    <x v="83"/>
    <x v="38"/>
    <x v="3"/>
    <s v="V1228"/>
    <s v="Mumbai"/>
    <s v="Colombo"/>
    <x v="3"/>
    <n v="26.8"/>
    <n v="749"/>
    <n v="108"/>
    <n v="11.1"/>
    <x v="0"/>
    <n v="13495.94"/>
    <n v="21460"/>
    <s v="Michael"/>
    <x v="0"/>
    <n v="27.95"/>
    <n v="18.02"/>
    <n v="0.63"/>
    <s v="Delayed"/>
    <s v="Low"/>
    <s v="Medium Risk"/>
    <x v="1"/>
    <n v="2025"/>
  </r>
  <r>
    <x v="79"/>
    <x v="61"/>
    <x v="5"/>
    <s v="V1229"/>
    <s v="Mumbai"/>
    <s v="Chennai"/>
    <x v="3"/>
    <n v="44"/>
    <n v="4477"/>
    <n v="46"/>
    <n v="15.1"/>
    <x v="1"/>
    <n v="28935.7"/>
    <n v="20687"/>
    <s v="Ahmed"/>
    <x v="0"/>
    <n v="101.75"/>
    <n v="6.46"/>
    <n v="1.4"/>
    <s v="Delayed"/>
    <s v="Medium"/>
    <s v="Low Risk"/>
    <x v="7"/>
    <n v="2025"/>
  </r>
  <r>
    <x v="175"/>
    <x v="58"/>
    <x v="7"/>
    <s v="V1230"/>
    <s v="Hamburg"/>
    <s v="Rotterdam"/>
    <x v="3"/>
    <n v="53.8"/>
    <n v="615"/>
    <n v="108"/>
    <n v="13.6"/>
    <x v="0"/>
    <n v="36847.370000000003"/>
    <n v="14415"/>
    <s v="Michael"/>
    <x v="0"/>
    <n v="11.43"/>
    <n v="59.91"/>
    <n v="2.56"/>
    <s v="Delayed"/>
    <s v="Medium"/>
    <s v="Medium Risk"/>
    <x v="2"/>
    <n v="2025"/>
  </r>
  <r>
    <x v="176"/>
    <x v="9"/>
    <x v="3"/>
    <s v="V1231"/>
    <s v="Mumbai"/>
    <s v="Singapore"/>
    <x v="2"/>
    <n v="51.8"/>
    <n v="2102"/>
    <n v="42"/>
    <n v="12"/>
    <x v="1"/>
    <n v="28243.34"/>
    <n v="26922"/>
    <s v="Chen"/>
    <x v="0"/>
    <n v="40.58"/>
    <n v="13.44"/>
    <n v="1.05"/>
    <s v="Delayed"/>
    <s v="Medium"/>
    <s v="Low Risk"/>
    <x v="10"/>
    <n v="2025"/>
  </r>
  <r>
    <x v="177"/>
    <x v="17"/>
    <x v="1"/>
    <s v="V1232"/>
    <s v="Singapore"/>
    <s v="Chennai"/>
    <x v="2"/>
    <n v="66"/>
    <n v="4044"/>
    <n v="48"/>
    <n v="13.1"/>
    <x v="0"/>
    <n v="41379.120000000003"/>
    <n v="25934"/>
    <s v="David"/>
    <x v="0"/>
    <n v="61.27"/>
    <n v="10.23"/>
    <n v="1.6"/>
    <s v="Delayed"/>
    <s v="High"/>
    <s v="Medium Risk"/>
    <x v="1"/>
    <n v="2025"/>
  </r>
  <r>
    <x v="73"/>
    <x v="6"/>
    <x v="1"/>
    <s v="V1233"/>
    <s v="Hamburg"/>
    <s v="Chennai"/>
    <x v="0"/>
    <n v="48"/>
    <n v="2141"/>
    <n v="32"/>
    <n v="13.2"/>
    <x v="0"/>
    <n v="29689.06"/>
    <n v="26355"/>
    <s v="John"/>
    <x v="0"/>
    <n v="44.6"/>
    <n v="13.87"/>
    <n v="1.1299999999999999"/>
    <s v="Delayed"/>
    <s v="Medium"/>
    <s v="Medium Risk"/>
    <x v="1"/>
    <n v="2025"/>
  </r>
  <r>
    <x v="88"/>
    <x v="26"/>
    <x v="6"/>
    <s v="V1234"/>
    <s v="Chennai"/>
    <s v="Dubai"/>
    <x v="2"/>
    <n v="68.400000000000006"/>
    <n v="1118"/>
    <n v="37"/>
    <n v="10.8"/>
    <x v="0"/>
    <n v="35868.07"/>
    <n v="24373"/>
    <s v="Ahmed"/>
    <x v="0"/>
    <n v="16.350000000000001"/>
    <n v="32.08"/>
    <n v="1.47"/>
    <s v="Delayed"/>
    <s v="High"/>
    <s v="Medium Risk"/>
    <x v="4"/>
    <n v="2025"/>
  </r>
  <r>
    <x v="162"/>
    <x v="62"/>
    <x v="5"/>
    <s v="V1235"/>
    <s v="Hamburg"/>
    <s v="Singapore"/>
    <x v="1"/>
    <n v="44.3"/>
    <n v="1423"/>
    <n v="84"/>
    <n v="17.5"/>
    <x v="2"/>
    <n v="24848.73"/>
    <n v="28286"/>
    <s v="John"/>
    <x v="0"/>
    <n v="32.119999999999997"/>
    <n v="17.46"/>
    <n v="0.88"/>
    <s v="Delayed"/>
    <s v="Medium"/>
    <s v="High Risk"/>
    <x v="8"/>
    <n v="2025"/>
  </r>
  <r>
    <x v="178"/>
    <x v="63"/>
    <x v="5"/>
    <s v="V1236"/>
    <s v="Chennai"/>
    <s v="Hamburg"/>
    <x v="3"/>
    <n v="48.2"/>
    <n v="3942"/>
    <n v="37"/>
    <n v="18.8"/>
    <x v="1"/>
    <n v="27159.34"/>
    <n v="23960"/>
    <s v="Ahmed"/>
    <x v="0"/>
    <n v="81.78"/>
    <n v="6.89"/>
    <n v="1.1299999999999999"/>
    <s v="Delayed"/>
    <s v="Medium"/>
    <s v="Low Risk"/>
    <x v="3"/>
    <n v="2025"/>
  </r>
  <r>
    <x v="179"/>
    <x v="62"/>
    <x v="5"/>
    <s v="V1237"/>
    <s v="Busan"/>
    <s v="Colombo"/>
    <x v="1"/>
    <n v="75.7"/>
    <n v="3611"/>
    <n v="88"/>
    <n v="18.2"/>
    <x v="3"/>
    <n v="42661.48"/>
    <n v="9966"/>
    <s v="Michael"/>
    <x v="1"/>
    <n v="47.7"/>
    <n v="11.81"/>
    <n v="4.28"/>
    <s v="On Time"/>
    <s v="High"/>
    <s v="Low Risk"/>
    <x v="5"/>
    <n v="2025"/>
  </r>
  <r>
    <x v="180"/>
    <x v="5"/>
    <x v="0"/>
    <s v="V1238"/>
    <s v="Chennai"/>
    <s v="Colombo"/>
    <x v="1"/>
    <n v="76.8"/>
    <n v="3063"/>
    <n v="100"/>
    <n v="20"/>
    <x v="1"/>
    <n v="37444.26"/>
    <n v="11898"/>
    <s v="David"/>
    <x v="0"/>
    <n v="39.880000000000003"/>
    <n v="12.22"/>
    <n v="3.15"/>
    <s v="Delayed"/>
    <s v="High"/>
    <s v="Low Risk"/>
    <x v="10"/>
    <n v="2025"/>
  </r>
  <r>
    <x v="181"/>
    <x v="44"/>
    <x v="6"/>
    <s v="V1239"/>
    <s v="Dubai"/>
    <s v="Singapore"/>
    <x v="1"/>
    <n v="59.8"/>
    <n v="775"/>
    <n v="38"/>
    <n v="10.4"/>
    <x v="2"/>
    <n v="30294.39"/>
    <n v="28766"/>
    <s v="Chen"/>
    <x v="0"/>
    <n v="12.96"/>
    <n v="39.090000000000003"/>
    <n v="1.05"/>
    <s v="Delayed"/>
    <s v="Medium"/>
    <s v="High Risk"/>
    <x v="7"/>
    <n v="2025"/>
  </r>
  <r>
    <x v="182"/>
    <x v="4"/>
    <x v="4"/>
    <s v="V1240"/>
    <s v="Dubai"/>
    <s v="Rotterdam"/>
    <x v="2"/>
    <n v="29.2"/>
    <n v="2116"/>
    <n v="67"/>
    <n v="20"/>
    <x v="2"/>
    <n v="20349.39"/>
    <n v="7723"/>
    <s v="Chen"/>
    <x v="0"/>
    <n v="72.47"/>
    <n v="9.6199999999999992"/>
    <n v="2.63"/>
    <s v="Delayed"/>
    <s v="Low"/>
    <s v="High Risk"/>
    <x v="6"/>
    <n v="2025"/>
  </r>
  <r>
    <x v="156"/>
    <x v="60"/>
    <x v="5"/>
    <s v="V1241"/>
    <s v="Mumbai"/>
    <s v="Dubai"/>
    <x v="0"/>
    <n v="54.7"/>
    <n v="4108"/>
    <n v="42"/>
    <n v="16.2"/>
    <x v="0"/>
    <n v="27662.92"/>
    <n v="8887"/>
    <s v="Ahmed"/>
    <x v="0"/>
    <n v="75.099999999999994"/>
    <n v="6.73"/>
    <n v="3.11"/>
    <s v="Delayed"/>
    <s v="Medium"/>
    <s v="Medium Risk"/>
    <x v="7"/>
    <n v="2025"/>
  </r>
  <r>
    <x v="183"/>
    <x v="71"/>
    <x v="7"/>
    <s v="V1242"/>
    <s v="Rotterdam"/>
    <s v="Dubai"/>
    <x v="3"/>
    <n v="30.1"/>
    <n v="1242"/>
    <n v="51"/>
    <n v="12.5"/>
    <x v="0"/>
    <n v="15019.67"/>
    <n v="18380"/>
    <s v="David"/>
    <x v="0"/>
    <n v="41.26"/>
    <n v="12.09"/>
    <n v="0.82"/>
    <s v="Delayed"/>
    <s v="Low"/>
    <s v="Medium Risk"/>
    <x v="4"/>
    <n v="2025"/>
  </r>
  <r>
    <x v="37"/>
    <x v="71"/>
    <x v="4"/>
    <s v="V1243"/>
    <s v="Colombo"/>
    <s v="Dubai"/>
    <x v="3"/>
    <n v="53.2"/>
    <n v="4833"/>
    <n v="53"/>
    <n v="18.5"/>
    <x v="2"/>
    <n v="29880.799999999999"/>
    <n v="11486"/>
    <s v="Sato"/>
    <x v="0"/>
    <n v="90.85"/>
    <n v="6.18"/>
    <n v="2.6"/>
    <s v="Delayed"/>
    <s v="Medium"/>
    <s v="High Risk"/>
    <x v="10"/>
    <n v="2025"/>
  </r>
  <r>
    <x v="184"/>
    <x v="22"/>
    <x v="6"/>
    <s v="V1244"/>
    <s v="Chennai"/>
    <s v="Dubai"/>
    <x v="2"/>
    <n v="25.6"/>
    <n v="3942"/>
    <n v="55"/>
    <n v="15.5"/>
    <x v="2"/>
    <n v="13450.61"/>
    <n v="16529"/>
    <s v="Chen"/>
    <x v="0"/>
    <n v="153.97999999999999"/>
    <n v="3.41"/>
    <n v="0.81"/>
    <s v="Delayed"/>
    <s v="Low"/>
    <s v="High Risk"/>
    <x v="9"/>
    <n v="2025"/>
  </r>
  <r>
    <x v="78"/>
    <x v="36"/>
    <x v="2"/>
    <s v="V1245"/>
    <s v="Rotterdam"/>
    <s v="Dubai"/>
    <x v="0"/>
    <n v="39.4"/>
    <n v="695"/>
    <n v="78"/>
    <n v="16.5"/>
    <x v="2"/>
    <n v="25263.46"/>
    <n v="28188"/>
    <s v="Rahul"/>
    <x v="0"/>
    <n v="17.64"/>
    <n v="36.35"/>
    <n v="0.9"/>
    <s v="Delayed"/>
    <s v="Low"/>
    <s v="High Risk"/>
    <x v="3"/>
    <n v="2025"/>
  </r>
  <r>
    <x v="185"/>
    <x v="74"/>
    <x v="2"/>
    <s v="V1246"/>
    <s v="Busan"/>
    <s v="Singapore"/>
    <x v="2"/>
    <n v="32.299999999999997"/>
    <n v="2686"/>
    <n v="56"/>
    <n v="13.9"/>
    <x v="1"/>
    <n v="15470.37"/>
    <n v="5345"/>
    <s v="Arun"/>
    <x v="0"/>
    <n v="83.16"/>
    <n v="5.76"/>
    <n v="2.89"/>
    <s v="Delayed"/>
    <s v="Low"/>
    <s v="Low Risk"/>
    <x v="4"/>
    <n v="2025"/>
  </r>
  <r>
    <x v="186"/>
    <x v="60"/>
    <x v="4"/>
    <s v="V1247"/>
    <s v="Singapore"/>
    <s v="Busan"/>
    <x v="3"/>
    <n v="76"/>
    <n v="4825"/>
    <n v="114"/>
    <n v="14.5"/>
    <x v="0"/>
    <n v="47236.3"/>
    <n v="19301"/>
    <s v="Arun"/>
    <x v="0"/>
    <n v="63.49"/>
    <n v="9.7899999999999991"/>
    <n v="2.4500000000000002"/>
    <s v="Delayed"/>
    <s v="High"/>
    <s v="Medium Risk"/>
    <x v="5"/>
    <n v="2025"/>
  </r>
  <r>
    <x v="187"/>
    <x v="51"/>
    <x v="3"/>
    <s v="V1248"/>
    <s v="Mumbai"/>
    <s v="Chennai"/>
    <x v="0"/>
    <n v="24.5"/>
    <n v="3662"/>
    <n v="79"/>
    <n v="13.3"/>
    <x v="1"/>
    <n v="14911.79"/>
    <n v="29316"/>
    <s v="Rahul"/>
    <x v="0"/>
    <n v="149.47"/>
    <n v="4.07"/>
    <n v="0.51"/>
    <s v="Delayed"/>
    <s v="Low"/>
    <s v="Low Risk"/>
    <x v="0"/>
    <n v="2025"/>
  </r>
  <r>
    <x v="106"/>
    <x v="52"/>
    <x v="1"/>
    <s v="V1249"/>
    <s v="Mumbai"/>
    <s v="Rotterdam"/>
    <x v="2"/>
    <n v="79.599999999999994"/>
    <n v="4387"/>
    <n v="36"/>
    <n v="12.9"/>
    <x v="1"/>
    <n v="39255.17"/>
    <n v="6400"/>
    <s v="John"/>
    <x v="0"/>
    <n v="55.11"/>
    <n v="8.9499999999999993"/>
    <n v="6.13"/>
    <s v="Delayed"/>
    <s v="High"/>
    <s v="Low Risk"/>
    <x v="4"/>
    <n v="2025"/>
  </r>
  <r>
    <x v="188"/>
    <x v="32"/>
    <x v="7"/>
    <s v="V1250"/>
    <s v="Rotterdam"/>
    <s v="Busan"/>
    <x v="1"/>
    <n v="68.400000000000006"/>
    <n v="4589"/>
    <n v="93"/>
    <n v="20.9"/>
    <x v="0"/>
    <n v="33433.410000000003"/>
    <n v="6305"/>
    <s v="Michael"/>
    <x v="0"/>
    <n v="67.09"/>
    <n v="7.29"/>
    <n v="5.3"/>
    <s v="Delayed"/>
    <s v="High"/>
    <s v="Medium Risk"/>
    <x v="1"/>
    <n v="2025"/>
  </r>
  <r>
    <x v="41"/>
    <x v="58"/>
    <x v="6"/>
    <s v="V1251"/>
    <s v="Chennai"/>
    <s v="Colombo"/>
    <x v="1"/>
    <n v="70.099999999999994"/>
    <n v="946"/>
    <n v="35"/>
    <n v="15.2"/>
    <x v="1"/>
    <n v="46140.94"/>
    <n v="14596"/>
    <s v="Rahul"/>
    <x v="0"/>
    <n v="13.5"/>
    <n v="48.77"/>
    <n v="3.16"/>
    <s v="Delayed"/>
    <s v="High"/>
    <s v="Low Risk"/>
    <x v="7"/>
    <n v="2025"/>
  </r>
  <r>
    <x v="189"/>
    <x v="20"/>
    <x v="2"/>
    <s v="V1252"/>
    <s v="Dubai"/>
    <s v="Hamburg"/>
    <x v="3"/>
    <n v="75.5"/>
    <n v="3843"/>
    <n v="53"/>
    <n v="15.6"/>
    <x v="3"/>
    <n v="45442.96"/>
    <n v="29393"/>
    <s v="John"/>
    <x v="1"/>
    <n v="50.9"/>
    <n v="11.82"/>
    <n v="1.55"/>
    <s v="On Time"/>
    <s v="High"/>
    <s v="Low Risk"/>
    <x v="3"/>
    <n v="2025"/>
  </r>
  <r>
    <x v="190"/>
    <x v="16"/>
    <x v="5"/>
    <s v="V1253"/>
    <s v="Hamburg"/>
    <s v="Rotterdam"/>
    <x v="0"/>
    <n v="20.399999999999999"/>
    <n v="2327"/>
    <n v="24"/>
    <n v="19.8"/>
    <x v="0"/>
    <n v="12741.92"/>
    <n v="25677"/>
    <s v="Chen"/>
    <x v="0"/>
    <n v="114.07"/>
    <n v="5.48"/>
    <n v="0.5"/>
    <s v="Delayed"/>
    <s v="Low"/>
    <s v="Medium Risk"/>
    <x v="5"/>
    <n v="2025"/>
  </r>
  <r>
    <x v="100"/>
    <x v="56"/>
    <x v="1"/>
    <s v="V1254"/>
    <s v="Chennai"/>
    <s v="Hamburg"/>
    <x v="2"/>
    <n v="31.8"/>
    <n v="2120"/>
    <n v="54"/>
    <n v="10.3"/>
    <x v="3"/>
    <n v="18552.38"/>
    <n v="17684"/>
    <s v="David"/>
    <x v="1"/>
    <n v="66.67"/>
    <n v="8.75"/>
    <n v="1.05"/>
    <s v="On Time"/>
    <s v="Low"/>
    <s v="Low Risk"/>
    <x v="0"/>
    <n v="2025"/>
  </r>
  <r>
    <x v="41"/>
    <x v="43"/>
    <x v="0"/>
    <s v="V1255"/>
    <s v="Hamburg"/>
    <s v="Rotterdam"/>
    <x v="2"/>
    <n v="23.2"/>
    <n v="3165"/>
    <n v="39"/>
    <n v="14.1"/>
    <x v="0"/>
    <n v="11221.7"/>
    <n v="12202"/>
    <s v="Ahmed"/>
    <x v="0"/>
    <n v="136.41999999999999"/>
    <n v="3.55"/>
    <n v="0.92"/>
    <s v="Delayed"/>
    <s v="Low"/>
    <s v="Medium Risk"/>
    <x v="7"/>
    <n v="2025"/>
  </r>
  <r>
    <x v="191"/>
    <x v="57"/>
    <x v="0"/>
    <s v="V1256"/>
    <s v="Rotterdam"/>
    <s v="Busan"/>
    <x v="3"/>
    <n v="55.7"/>
    <n v="3280"/>
    <n v="78"/>
    <n v="20.5"/>
    <x v="0"/>
    <n v="32340.33"/>
    <n v="9463"/>
    <s v="Sato"/>
    <x v="0"/>
    <n v="58.89"/>
    <n v="9.86"/>
    <n v="3.42"/>
    <s v="Delayed"/>
    <s v="Medium"/>
    <s v="Medium Risk"/>
    <x v="9"/>
    <n v="2025"/>
  </r>
  <r>
    <x v="192"/>
    <x v="8"/>
    <x v="3"/>
    <s v="V1257"/>
    <s v="Busan"/>
    <s v="Singapore"/>
    <x v="3"/>
    <n v="44"/>
    <n v="544"/>
    <n v="104"/>
    <n v="11"/>
    <x v="3"/>
    <n v="23787.27"/>
    <n v="20595"/>
    <s v="Arun"/>
    <x v="1"/>
    <n v="12.36"/>
    <n v="43.73"/>
    <n v="1.1599999999999999"/>
    <s v="On Time"/>
    <s v="Medium"/>
    <s v="Low Risk"/>
    <x v="0"/>
    <n v="2025"/>
  </r>
  <r>
    <x v="193"/>
    <x v="5"/>
    <x v="0"/>
    <s v="V1258"/>
    <s v="Singapore"/>
    <s v="Mumbai"/>
    <x v="2"/>
    <n v="63.2"/>
    <n v="3723"/>
    <n v="87"/>
    <n v="17"/>
    <x v="1"/>
    <n v="39195.86"/>
    <n v="23612"/>
    <s v="Sato"/>
    <x v="0"/>
    <n v="58.91"/>
    <n v="10.53"/>
    <n v="1.66"/>
    <s v="Delayed"/>
    <s v="High"/>
    <s v="Low Risk"/>
    <x v="3"/>
    <n v="2025"/>
  </r>
  <r>
    <x v="87"/>
    <x v="38"/>
    <x v="4"/>
    <s v="V1259"/>
    <s v="Busan"/>
    <s v="Chennai"/>
    <x v="0"/>
    <n v="31.1"/>
    <n v="2224"/>
    <n v="105"/>
    <n v="21.6"/>
    <x v="0"/>
    <n v="15822.84"/>
    <n v="20641"/>
    <s v="Arun"/>
    <x v="0"/>
    <n v="71.510000000000005"/>
    <n v="7.11"/>
    <n v="0.77"/>
    <s v="Delayed"/>
    <s v="Low"/>
    <s v="Medium Risk"/>
    <x v="9"/>
    <n v="2025"/>
  </r>
  <r>
    <x v="194"/>
    <x v="69"/>
    <x v="0"/>
    <s v="V1260"/>
    <s v="Rotterdam"/>
    <s v="Colombo"/>
    <x v="3"/>
    <n v="26.2"/>
    <n v="538"/>
    <n v="100"/>
    <n v="19.899999999999999"/>
    <x v="3"/>
    <n v="12117.75"/>
    <n v="7965"/>
    <s v="David"/>
    <x v="1"/>
    <n v="20.53"/>
    <n v="22.52"/>
    <n v="1.52"/>
    <s v="On Time"/>
    <s v="Low"/>
    <s v="Low Risk"/>
    <x v="4"/>
    <n v="2025"/>
  </r>
  <r>
    <x v="152"/>
    <x v="62"/>
    <x v="4"/>
    <s v="V1261"/>
    <s v="Colombo"/>
    <s v="Singapore"/>
    <x v="1"/>
    <n v="66.5"/>
    <n v="872"/>
    <n v="101"/>
    <n v="16.100000000000001"/>
    <x v="0"/>
    <n v="33947.75"/>
    <n v="16239"/>
    <s v="Ahmed"/>
    <x v="0"/>
    <n v="13.11"/>
    <n v="38.93"/>
    <n v="2.09"/>
    <s v="Delayed"/>
    <s v="High"/>
    <s v="Medium Risk"/>
    <x v="9"/>
    <n v="2025"/>
  </r>
  <r>
    <x v="195"/>
    <x v="71"/>
    <x v="7"/>
    <s v="V1262"/>
    <s v="Colombo"/>
    <s v="Busan"/>
    <x v="0"/>
    <n v="26.3"/>
    <n v="582"/>
    <n v="73"/>
    <n v="12.5"/>
    <x v="0"/>
    <n v="14089.4"/>
    <n v="14175"/>
    <s v="Chen"/>
    <x v="0"/>
    <n v="22.13"/>
    <n v="24.21"/>
    <n v="0.99"/>
    <s v="Delayed"/>
    <s v="Low"/>
    <s v="Medium Risk"/>
    <x v="2"/>
    <n v="2025"/>
  </r>
  <r>
    <x v="148"/>
    <x v="41"/>
    <x v="2"/>
    <s v="V1263"/>
    <s v="Hamburg"/>
    <s v="Colombo"/>
    <x v="2"/>
    <n v="44.9"/>
    <n v="2593"/>
    <n v="102"/>
    <n v="13.8"/>
    <x v="3"/>
    <n v="25558.53"/>
    <n v="19400"/>
    <s v="David"/>
    <x v="1"/>
    <n v="57.75"/>
    <n v="9.86"/>
    <n v="1.32"/>
    <s v="On Time"/>
    <s v="Medium"/>
    <s v="Low Risk"/>
    <x v="1"/>
    <n v="2025"/>
  </r>
  <r>
    <x v="127"/>
    <x v="76"/>
    <x v="0"/>
    <s v="V1264"/>
    <s v="Chennai"/>
    <s v="Mumbai"/>
    <x v="3"/>
    <n v="61.7"/>
    <n v="1136"/>
    <n v="29"/>
    <n v="16"/>
    <x v="1"/>
    <n v="33166.519999999997"/>
    <n v="7522"/>
    <s v="John"/>
    <x v="0"/>
    <n v="18.41"/>
    <n v="29.2"/>
    <n v="4.41"/>
    <s v="Delayed"/>
    <s v="High"/>
    <s v="Low Risk"/>
    <x v="6"/>
    <n v="2025"/>
  </r>
  <r>
    <x v="196"/>
    <x v="54"/>
    <x v="0"/>
    <s v="V1265"/>
    <s v="Rotterdam"/>
    <s v="Singapore"/>
    <x v="0"/>
    <n v="50.7"/>
    <n v="533"/>
    <n v="53"/>
    <n v="18.8"/>
    <x v="3"/>
    <n v="31696.35"/>
    <n v="24278"/>
    <s v="John"/>
    <x v="1"/>
    <n v="10.51"/>
    <n v="59.47"/>
    <n v="1.31"/>
    <s v="On Time"/>
    <s v="Medium"/>
    <s v="Low Risk"/>
    <x v="1"/>
    <n v="2025"/>
  </r>
  <r>
    <x v="197"/>
    <x v="25"/>
    <x v="2"/>
    <s v="V1266"/>
    <s v="Hamburg"/>
    <s v="Chennai"/>
    <x v="0"/>
    <n v="62.9"/>
    <n v="705"/>
    <n v="111"/>
    <n v="11.8"/>
    <x v="2"/>
    <n v="36115.480000000003"/>
    <n v="25297"/>
    <s v="John"/>
    <x v="0"/>
    <n v="11.21"/>
    <n v="51.23"/>
    <n v="1.43"/>
    <s v="Delayed"/>
    <s v="High"/>
    <s v="High Risk"/>
    <x v="5"/>
    <n v="2025"/>
  </r>
  <r>
    <x v="198"/>
    <x v="17"/>
    <x v="6"/>
    <s v="V1267"/>
    <s v="Busan"/>
    <s v="Hamburg"/>
    <x v="2"/>
    <n v="78.900000000000006"/>
    <n v="2597"/>
    <n v="97"/>
    <n v="12.7"/>
    <x v="0"/>
    <n v="37442.120000000003"/>
    <n v="18159"/>
    <s v="Chen"/>
    <x v="0"/>
    <n v="32.92"/>
    <n v="14.42"/>
    <n v="2.06"/>
    <s v="Delayed"/>
    <s v="High"/>
    <s v="Medium Risk"/>
    <x v="7"/>
    <n v="2025"/>
  </r>
  <r>
    <x v="199"/>
    <x v="0"/>
    <x v="6"/>
    <s v="V1268"/>
    <s v="Chennai"/>
    <s v="Dubai"/>
    <x v="0"/>
    <n v="36.5"/>
    <n v="1972"/>
    <n v="99"/>
    <n v="12.8"/>
    <x v="1"/>
    <n v="20442.87"/>
    <n v="21750"/>
    <s v="Michael"/>
    <x v="0"/>
    <n v="54.03"/>
    <n v="10.37"/>
    <n v="0.94"/>
    <s v="Delayed"/>
    <s v="Low"/>
    <s v="Low Risk"/>
    <x v="10"/>
    <n v="2025"/>
  </r>
  <r>
    <x v="88"/>
    <x v="40"/>
    <x v="1"/>
    <s v="V1269"/>
    <s v="Colombo"/>
    <s v="Singapore"/>
    <x v="0"/>
    <n v="64.3"/>
    <n v="1275"/>
    <n v="56"/>
    <n v="13.5"/>
    <x v="1"/>
    <n v="34478.01"/>
    <n v="14886"/>
    <s v="David"/>
    <x v="0"/>
    <n v="19.829999999999998"/>
    <n v="27.04"/>
    <n v="2.3199999999999998"/>
    <s v="Delayed"/>
    <s v="High"/>
    <s v="Low Risk"/>
    <x v="4"/>
    <n v="2025"/>
  </r>
  <r>
    <x v="45"/>
    <x v="17"/>
    <x v="5"/>
    <s v="V1270"/>
    <s v="Hamburg"/>
    <s v="Colombo"/>
    <x v="3"/>
    <n v="35.799999999999997"/>
    <n v="4347"/>
    <n v="46"/>
    <n v="12.9"/>
    <x v="2"/>
    <n v="16203.93"/>
    <n v="18538"/>
    <s v="Chen"/>
    <x v="0"/>
    <n v="121.42"/>
    <n v="3.73"/>
    <n v="0.87"/>
    <s v="Delayed"/>
    <s v="Low"/>
    <s v="High Risk"/>
    <x v="8"/>
    <n v="2025"/>
  </r>
  <r>
    <x v="200"/>
    <x v="4"/>
    <x v="4"/>
    <s v="V1271"/>
    <s v="Mumbai"/>
    <s v="Rotterdam"/>
    <x v="2"/>
    <n v="41.4"/>
    <n v="2997"/>
    <n v="20"/>
    <n v="17.2"/>
    <x v="2"/>
    <n v="25049.59"/>
    <n v="29182"/>
    <s v="Arun"/>
    <x v="0"/>
    <n v="72.39"/>
    <n v="8.36"/>
    <n v="0.86"/>
    <s v="Delayed"/>
    <s v="Medium"/>
    <s v="High Risk"/>
    <x v="10"/>
    <n v="2025"/>
  </r>
  <r>
    <x v="188"/>
    <x v="59"/>
    <x v="6"/>
    <s v="V1272"/>
    <s v="Rotterdam"/>
    <s v="Dubai"/>
    <x v="1"/>
    <n v="73.099999999999994"/>
    <n v="2714"/>
    <n v="55"/>
    <n v="15.9"/>
    <x v="1"/>
    <n v="49952.78"/>
    <n v="5860"/>
    <s v="Arun"/>
    <x v="0"/>
    <n v="37.130000000000003"/>
    <n v="18.41"/>
    <n v="8.52"/>
    <s v="Delayed"/>
    <s v="High"/>
    <s v="Low Risk"/>
    <x v="1"/>
    <n v="2025"/>
  </r>
  <r>
    <x v="201"/>
    <x v="38"/>
    <x v="3"/>
    <s v="V1273"/>
    <s v="Chennai"/>
    <s v="Hamburg"/>
    <x v="1"/>
    <n v="75.3"/>
    <n v="1357"/>
    <n v="70"/>
    <n v="16.399999999999999"/>
    <x v="0"/>
    <n v="35699.54"/>
    <n v="9091"/>
    <s v="David"/>
    <x v="0"/>
    <n v="18.02"/>
    <n v="26.31"/>
    <n v="3.93"/>
    <s v="Delayed"/>
    <s v="High"/>
    <s v="Medium Risk"/>
    <x v="6"/>
    <n v="2025"/>
  </r>
  <r>
    <x v="127"/>
    <x v="77"/>
    <x v="0"/>
    <s v="V1274"/>
    <s v="Chennai"/>
    <s v="Dubai"/>
    <x v="3"/>
    <n v="66.099999999999994"/>
    <n v="1968"/>
    <n v="66"/>
    <n v="21.4"/>
    <x v="2"/>
    <n v="37589.4"/>
    <n v="29894"/>
    <s v="John"/>
    <x v="0"/>
    <n v="29.77"/>
    <n v="19.100000000000001"/>
    <n v="1.26"/>
    <s v="Delayed"/>
    <s v="High"/>
    <s v="High Risk"/>
    <x v="6"/>
    <n v="2025"/>
  </r>
  <r>
    <x v="202"/>
    <x v="49"/>
    <x v="1"/>
    <s v="V1275"/>
    <s v="Colombo"/>
    <s v="Singapore"/>
    <x v="3"/>
    <n v="41.3"/>
    <n v="4270"/>
    <n v="91"/>
    <n v="20.7"/>
    <x v="2"/>
    <n v="24403.83"/>
    <n v="26428"/>
    <s v="David"/>
    <x v="0"/>
    <n v="103.39"/>
    <n v="5.72"/>
    <n v="0.92"/>
    <s v="Delayed"/>
    <s v="Medium"/>
    <s v="High Risk"/>
    <x v="11"/>
    <n v="2025"/>
  </r>
  <r>
    <x v="203"/>
    <x v="56"/>
    <x v="5"/>
    <s v="V1276"/>
    <s v="Dubai"/>
    <s v="Mumbai"/>
    <x v="3"/>
    <n v="24.5"/>
    <n v="940"/>
    <n v="76"/>
    <n v="15.1"/>
    <x v="0"/>
    <n v="15783.99"/>
    <n v="20586"/>
    <s v="Rahul"/>
    <x v="0"/>
    <n v="38.369999999999997"/>
    <n v="16.79"/>
    <n v="0.77"/>
    <s v="Delayed"/>
    <s v="Low"/>
    <s v="Medium Risk"/>
    <x v="4"/>
    <n v="2025"/>
  </r>
  <r>
    <x v="204"/>
    <x v="45"/>
    <x v="5"/>
    <s v="V1277"/>
    <s v="Busan"/>
    <s v="Mumbai"/>
    <x v="3"/>
    <n v="50.6"/>
    <n v="3340"/>
    <n v="53"/>
    <n v="10"/>
    <x v="1"/>
    <n v="24133.68"/>
    <n v="11282"/>
    <s v="Michael"/>
    <x v="0"/>
    <n v="66.010000000000005"/>
    <n v="7.23"/>
    <n v="2.14"/>
    <s v="Delayed"/>
    <s v="Medium"/>
    <s v="Low Risk"/>
    <x v="8"/>
    <n v="2025"/>
  </r>
  <r>
    <x v="102"/>
    <x v="71"/>
    <x v="5"/>
    <s v="V1278"/>
    <s v="Singapore"/>
    <s v="Rotterdam"/>
    <x v="3"/>
    <n v="42.6"/>
    <n v="4625"/>
    <n v="116"/>
    <n v="14.7"/>
    <x v="0"/>
    <n v="23385.27"/>
    <n v="23008"/>
    <s v="Chen"/>
    <x v="0"/>
    <n v="108.57"/>
    <n v="5.0599999999999996"/>
    <n v="1.02"/>
    <s v="Delayed"/>
    <s v="Medium"/>
    <s v="Medium Risk"/>
    <x v="7"/>
    <n v="2025"/>
  </r>
  <r>
    <x v="205"/>
    <x v="47"/>
    <x v="4"/>
    <s v="V1279"/>
    <s v="Mumbai"/>
    <s v="Singapore"/>
    <x v="0"/>
    <n v="53.3"/>
    <n v="3662"/>
    <n v="103"/>
    <n v="11.1"/>
    <x v="1"/>
    <n v="33109.03"/>
    <n v="12698"/>
    <s v="Ahmed"/>
    <x v="0"/>
    <n v="68.709999999999994"/>
    <n v="9.0399999999999991"/>
    <n v="2.61"/>
    <s v="Delayed"/>
    <s v="Medium"/>
    <s v="Low Risk"/>
    <x v="5"/>
    <n v="2025"/>
  </r>
  <r>
    <x v="148"/>
    <x v="7"/>
    <x v="3"/>
    <s v="V1280"/>
    <s v="Rotterdam"/>
    <s v="Hamburg"/>
    <x v="1"/>
    <n v="21.7"/>
    <n v="2482"/>
    <n v="46"/>
    <n v="13.5"/>
    <x v="2"/>
    <n v="11282.57"/>
    <n v="20931"/>
    <s v="Rahul"/>
    <x v="0"/>
    <n v="114.38"/>
    <n v="4.55"/>
    <n v="0.54"/>
    <s v="Delayed"/>
    <s v="Low"/>
    <s v="High Risk"/>
    <x v="1"/>
    <n v="2025"/>
  </r>
  <r>
    <x v="9"/>
    <x v="11"/>
    <x v="3"/>
    <s v="V1281"/>
    <s v="Busan"/>
    <s v="Hamburg"/>
    <x v="1"/>
    <n v="32.799999999999997"/>
    <n v="3636"/>
    <n v="45"/>
    <n v="19.8"/>
    <x v="2"/>
    <n v="15822.91"/>
    <n v="22082"/>
    <s v="Chen"/>
    <x v="0"/>
    <n v="110.85"/>
    <n v="4.3499999999999996"/>
    <n v="0.72"/>
    <s v="Delayed"/>
    <s v="Low"/>
    <s v="High Risk"/>
    <x v="6"/>
    <n v="2025"/>
  </r>
  <r>
    <x v="114"/>
    <x v="39"/>
    <x v="5"/>
    <s v="V1282"/>
    <s v="Colombo"/>
    <s v="Dubai"/>
    <x v="1"/>
    <n v="66.599999999999994"/>
    <n v="3945"/>
    <n v="58"/>
    <n v="12.7"/>
    <x v="1"/>
    <n v="30236.51"/>
    <n v="25055"/>
    <s v="Sato"/>
    <x v="0"/>
    <n v="59.23"/>
    <n v="7.66"/>
    <n v="1.21"/>
    <s v="Delayed"/>
    <s v="High"/>
    <s v="Low Risk"/>
    <x v="11"/>
    <n v="2025"/>
  </r>
  <r>
    <x v="206"/>
    <x v="17"/>
    <x v="3"/>
    <s v="V1283"/>
    <s v="Busan"/>
    <s v="Colombo"/>
    <x v="2"/>
    <n v="51.8"/>
    <n v="2009"/>
    <n v="105"/>
    <n v="21.1"/>
    <x v="2"/>
    <n v="34844.07"/>
    <n v="26479"/>
    <s v="Sato"/>
    <x v="0"/>
    <n v="38.78"/>
    <n v="17.34"/>
    <n v="1.32"/>
    <s v="Delayed"/>
    <s v="Medium"/>
    <s v="High Risk"/>
    <x v="7"/>
    <n v="2025"/>
  </r>
  <r>
    <x v="68"/>
    <x v="10"/>
    <x v="0"/>
    <s v="V1284"/>
    <s v="Colombo"/>
    <s v="Chennai"/>
    <x v="1"/>
    <n v="75.099999999999994"/>
    <n v="945"/>
    <n v="25"/>
    <n v="10.9"/>
    <x v="2"/>
    <n v="49221.51"/>
    <n v="22501"/>
    <s v="Michael"/>
    <x v="0"/>
    <n v="12.58"/>
    <n v="52.09"/>
    <n v="2.19"/>
    <s v="Delayed"/>
    <s v="High"/>
    <s v="High Risk"/>
    <x v="10"/>
    <n v="2025"/>
  </r>
  <r>
    <x v="207"/>
    <x v="49"/>
    <x v="7"/>
    <s v="V1285"/>
    <s v="Colombo"/>
    <s v="Dubai"/>
    <x v="3"/>
    <n v="56.6"/>
    <n v="1450"/>
    <n v="54"/>
    <n v="16.100000000000001"/>
    <x v="1"/>
    <n v="37394.17"/>
    <n v="14044"/>
    <s v="Sato"/>
    <x v="0"/>
    <n v="25.62"/>
    <n v="25.79"/>
    <n v="2.66"/>
    <s v="Delayed"/>
    <s v="Medium"/>
    <s v="Low Risk"/>
    <x v="1"/>
    <n v="2025"/>
  </r>
  <r>
    <x v="24"/>
    <x v="78"/>
    <x v="1"/>
    <s v="V1286"/>
    <s v="Dubai"/>
    <s v="Mumbai"/>
    <x v="0"/>
    <n v="30.9"/>
    <n v="3137"/>
    <n v="109"/>
    <n v="10.5"/>
    <x v="2"/>
    <n v="21315.41"/>
    <n v="26002"/>
    <s v="Arun"/>
    <x v="0"/>
    <n v="101.52"/>
    <n v="6.79"/>
    <n v="0.82"/>
    <s v="Delayed"/>
    <s v="Low"/>
    <s v="High Risk"/>
    <x v="5"/>
    <n v="2025"/>
  </r>
  <r>
    <x v="43"/>
    <x v="53"/>
    <x v="3"/>
    <s v="V1287"/>
    <s v="Colombo"/>
    <s v="Hamburg"/>
    <x v="0"/>
    <n v="52.6"/>
    <n v="1906"/>
    <n v="93"/>
    <n v="11.3"/>
    <x v="2"/>
    <n v="28991.7"/>
    <n v="15520"/>
    <s v="Chen"/>
    <x v="0"/>
    <n v="36.24"/>
    <n v="15.21"/>
    <n v="1.87"/>
    <s v="Delayed"/>
    <s v="Medium"/>
    <s v="High Risk"/>
    <x v="10"/>
    <n v="2025"/>
  </r>
  <r>
    <x v="208"/>
    <x v="8"/>
    <x v="1"/>
    <s v="V1288"/>
    <s v="Dubai"/>
    <s v="Hamburg"/>
    <x v="3"/>
    <n v="32.6"/>
    <n v="4132"/>
    <n v="61"/>
    <n v="15.4"/>
    <x v="2"/>
    <n v="18479.21"/>
    <n v="8473"/>
    <s v="Ahmed"/>
    <x v="0"/>
    <n v="126.75"/>
    <n v="4.47"/>
    <n v="2.1800000000000002"/>
    <s v="Delayed"/>
    <s v="Low"/>
    <s v="High Risk"/>
    <x v="6"/>
    <n v="2025"/>
  </r>
  <r>
    <x v="42"/>
    <x v="10"/>
    <x v="4"/>
    <s v="V1289"/>
    <s v="Busan"/>
    <s v="Singapore"/>
    <x v="0"/>
    <n v="25.4"/>
    <n v="2045"/>
    <n v="53"/>
    <n v="19.600000000000001"/>
    <x v="0"/>
    <n v="13779.35"/>
    <n v="8490"/>
    <s v="Arun"/>
    <x v="0"/>
    <n v="80.510000000000005"/>
    <n v="6.74"/>
    <n v="1.62"/>
    <s v="Delayed"/>
    <s v="Low"/>
    <s v="Medium Risk"/>
    <x v="10"/>
    <n v="2025"/>
  </r>
  <r>
    <x v="146"/>
    <x v="6"/>
    <x v="5"/>
    <s v="V1290"/>
    <s v="Singapore"/>
    <s v="Chennai"/>
    <x v="0"/>
    <n v="75.2"/>
    <n v="3739"/>
    <n v="50"/>
    <n v="20"/>
    <x v="3"/>
    <n v="47816.81"/>
    <n v="13527"/>
    <s v="John"/>
    <x v="1"/>
    <n v="49.72"/>
    <n v="12.79"/>
    <n v="3.53"/>
    <s v="On Time"/>
    <s v="High"/>
    <s v="Low Risk"/>
    <x v="6"/>
    <n v="2025"/>
  </r>
  <r>
    <x v="2"/>
    <x v="51"/>
    <x v="3"/>
    <s v="V1291"/>
    <s v="Colombo"/>
    <s v="Dubai"/>
    <x v="3"/>
    <n v="32.299999999999997"/>
    <n v="2882"/>
    <n v="114"/>
    <n v="11.2"/>
    <x v="3"/>
    <n v="14962.27"/>
    <n v="24208"/>
    <s v="Sato"/>
    <x v="1"/>
    <n v="89.23"/>
    <n v="5.19"/>
    <n v="0.62"/>
    <s v="On Time"/>
    <s v="Low"/>
    <s v="Low Risk"/>
    <x v="2"/>
    <n v="2025"/>
  </r>
  <r>
    <x v="209"/>
    <x v="38"/>
    <x v="1"/>
    <s v="V1292"/>
    <s v="Busan"/>
    <s v="Rotterdam"/>
    <x v="3"/>
    <n v="65.099999999999994"/>
    <n v="2244"/>
    <n v="98"/>
    <n v="16.3"/>
    <x v="3"/>
    <n v="38019.61"/>
    <n v="17749"/>
    <s v="Michael"/>
    <x v="1"/>
    <n v="34.47"/>
    <n v="16.940000000000001"/>
    <n v="2.14"/>
    <s v="On Time"/>
    <s v="High"/>
    <s v="Low Risk"/>
    <x v="0"/>
    <n v="2025"/>
  </r>
  <r>
    <x v="90"/>
    <x v="64"/>
    <x v="0"/>
    <s v="V1293"/>
    <s v="Chennai"/>
    <s v="Colombo"/>
    <x v="2"/>
    <n v="30.2"/>
    <n v="1302"/>
    <n v="105"/>
    <n v="17.399999999999999"/>
    <x v="3"/>
    <n v="19630.990000000002"/>
    <n v="19841"/>
    <s v="John"/>
    <x v="1"/>
    <n v="43.11"/>
    <n v="15.08"/>
    <n v="0.99"/>
    <s v="On Time"/>
    <s v="Low"/>
    <s v="Low Risk"/>
    <x v="9"/>
    <n v="2025"/>
  </r>
  <r>
    <x v="83"/>
    <x v="8"/>
    <x v="3"/>
    <s v="V1294"/>
    <s v="Mumbai"/>
    <s v="Rotterdam"/>
    <x v="0"/>
    <n v="76.900000000000006"/>
    <n v="1939"/>
    <n v="73"/>
    <n v="16.399999999999999"/>
    <x v="3"/>
    <n v="49635.38"/>
    <n v="10917"/>
    <s v="John"/>
    <x v="1"/>
    <n v="25.21"/>
    <n v="25.6"/>
    <n v="4.55"/>
    <s v="On Time"/>
    <s v="High"/>
    <s v="Low Risk"/>
    <x v="1"/>
    <n v="2025"/>
  </r>
  <r>
    <x v="210"/>
    <x v="46"/>
    <x v="5"/>
    <s v="V1295"/>
    <s v="Singapore"/>
    <s v="Rotterdam"/>
    <x v="2"/>
    <n v="74.2"/>
    <n v="4787"/>
    <n v="66"/>
    <n v="17.899999999999999"/>
    <x v="2"/>
    <n v="39629.410000000003"/>
    <n v="18903"/>
    <s v="David"/>
    <x v="0"/>
    <n v="64.510000000000005"/>
    <n v="8.2799999999999994"/>
    <n v="2.1"/>
    <s v="Delayed"/>
    <s v="High"/>
    <s v="High Risk"/>
    <x v="11"/>
    <n v="2025"/>
  </r>
  <r>
    <x v="46"/>
    <x v="11"/>
    <x v="4"/>
    <s v="V1296"/>
    <s v="Chennai"/>
    <s v="Singapore"/>
    <x v="1"/>
    <n v="68.599999999999994"/>
    <n v="4860"/>
    <n v="52"/>
    <n v="15.9"/>
    <x v="1"/>
    <n v="32990.57"/>
    <n v="20332"/>
    <s v="Michael"/>
    <x v="0"/>
    <n v="70.849999999999994"/>
    <n v="6.79"/>
    <n v="1.62"/>
    <s v="Delayed"/>
    <s v="High"/>
    <s v="Low Risk"/>
    <x v="10"/>
    <n v="2025"/>
  </r>
  <r>
    <x v="53"/>
    <x v="54"/>
    <x v="5"/>
    <s v="V1297"/>
    <s v="Colombo"/>
    <s v="Hamburg"/>
    <x v="2"/>
    <n v="52.7"/>
    <n v="2237"/>
    <n v="58"/>
    <n v="12.7"/>
    <x v="1"/>
    <n v="32777.550000000003"/>
    <n v="5479"/>
    <s v="Rahul"/>
    <x v="0"/>
    <n v="42.45"/>
    <n v="14.65"/>
    <n v="5.98"/>
    <s v="Delayed"/>
    <s v="Medium"/>
    <s v="Low Risk"/>
    <x v="7"/>
    <n v="2025"/>
  </r>
  <r>
    <x v="211"/>
    <x v="35"/>
    <x v="4"/>
    <s v="V1298"/>
    <s v="Rotterdam"/>
    <s v="Busan"/>
    <x v="1"/>
    <n v="29.9"/>
    <n v="4778"/>
    <n v="111"/>
    <n v="21.1"/>
    <x v="2"/>
    <n v="13818.8"/>
    <n v="16702"/>
    <s v="Arun"/>
    <x v="0"/>
    <n v="159.80000000000001"/>
    <n v="2.89"/>
    <n v="0.83"/>
    <s v="Delayed"/>
    <s v="Low"/>
    <s v="High Risk"/>
    <x v="8"/>
    <n v="2025"/>
  </r>
  <r>
    <x v="212"/>
    <x v="11"/>
    <x v="0"/>
    <s v="V1299"/>
    <s v="Mumbai"/>
    <s v="Hamburg"/>
    <x v="3"/>
    <n v="69.599999999999994"/>
    <n v="4180"/>
    <n v="81"/>
    <n v="17.100000000000001"/>
    <x v="1"/>
    <n v="37321.370000000003"/>
    <n v="11020"/>
    <s v="Ahmed"/>
    <x v="0"/>
    <n v="60.06"/>
    <n v="8.93"/>
    <n v="3.39"/>
    <s v="Delayed"/>
    <s v="High"/>
    <s v="Low Risk"/>
    <x v="0"/>
    <n v="2025"/>
  </r>
  <r>
    <x v="213"/>
    <x v="4"/>
    <x v="6"/>
    <s v="V1300"/>
    <s v="Mumbai"/>
    <s v="Dubai"/>
    <x v="1"/>
    <n v="54.5"/>
    <n v="1230"/>
    <n v="55"/>
    <n v="16.2"/>
    <x v="3"/>
    <n v="30951.15"/>
    <n v="14317"/>
    <s v="Michael"/>
    <x v="1"/>
    <n v="22.57"/>
    <n v="25.16"/>
    <n v="2.16"/>
    <s v="On Time"/>
    <s v="Medium"/>
    <s v="Low Risk"/>
    <x v="3"/>
    <n v="2025"/>
  </r>
  <r>
    <x v="143"/>
    <x v="33"/>
    <x v="4"/>
    <s v="V1301"/>
    <s v="Chennai"/>
    <s v="Mumbai"/>
    <x v="1"/>
    <n v="66.900000000000006"/>
    <n v="3860"/>
    <n v="75"/>
    <n v="12.3"/>
    <x v="1"/>
    <n v="44641.64"/>
    <n v="19584"/>
    <s v="Sato"/>
    <x v="0"/>
    <n v="57.7"/>
    <n v="11.57"/>
    <n v="2.2799999999999998"/>
    <s v="Delayed"/>
    <s v="High"/>
    <s v="Low Risk"/>
    <x v="4"/>
    <n v="2025"/>
  </r>
  <r>
    <x v="139"/>
    <x v="10"/>
    <x v="4"/>
    <s v="V1302"/>
    <s v="Busan"/>
    <s v="Singapore"/>
    <x v="0"/>
    <n v="64"/>
    <n v="2070"/>
    <n v="70"/>
    <n v="19.2"/>
    <x v="2"/>
    <n v="34250.36"/>
    <n v="12302"/>
    <s v="Arun"/>
    <x v="0"/>
    <n v="32.340000000000003"/>
    <n v="16.55"/>
    <n v="2.78"/>
    <s v="Delayed"/>
    <s v="High"/>
    <s v="High Risk"/>
    <x v="1"/>
    <n v="2025"/>
  </r>
  <r>
    <x v="214"/>
    <x v="73"/>
    <x v="2"/>
    <s v="V1303"/>
    <s v="Dubai"/>
    <s v="Rotterdam"/>
    <x v="3"/>
    <n v="54.2"/>
    <n v="3024"/>
    <n v="93"/>
    <n v="14.7"/>
    <x v="1"/>
    <n v="27175.7"/>
    <n v="17353"/>
    <s v="Ahmed"/>
    <x v="0"/>
    <n v="55.79"/>
    <n v="8.99"/>
    <n v="1.57"/>
    <s v="Delayed"/>
    <s v="Medium"/>
    <s v="Low Risk"/>
    <x v="8"/>
    <n v="2025"/>
  </r>
  <r>
    <x v="215"/>
    <x v="8"/>
    <x v="3"/>
    <s v="V1304"/>
    <s v="Chennai"/>
    <s v="Rotterdam"/>
    <x v="3"/>
    <n v="64.400000000000006"/>
    <n v="1023"/>
    <n v="40"/>
    <n v="19.399999999999999"/>
    <x v="2"/>
    <n v="32874.870000000003"/>
    <n v="8818"/>
    <s v="Sato"/>
    <x v="0"/>
    <n v="15.89"/>
    <n v="32.14"/>
    <n v="3.73"/>
    <s v="Delayed"/>
    <s v="High"/>
    <s v="High Risk"/>
    <x v="1"/>
    <n v="2025"/>
  </r>
  <r>
    <x v="198"/>
    <x v="72"/>
    <x v="3"/>
    <s v="V1305"/>
    <s v="Mumbai"/>
    <s v="Chennai"/>
    <x v="3"/>
    <n v="77.400000000000006"/>
    <n v="2917"/>
    <n v="93"/>
    <n v="10.5"/>
    <x v="0"/>
    <n v="38127.01"/>
    <n v="16056"/>
    <s v="Chen"/>
    <x v="0"/>
    <n v="37.69"/>
    <n v="13.07"/>
    <n v="2.37"/>
    <s v="Delayed"/>
    <s v="High"/>
    <s v="Medium Risk"/>
    <x v="7"/>
    <n v="2025"/>
  </r>
  <r>
    <x v="34"/>
    <x v="11"/>
    <x v="0"/>
    <s v="V1306"/>
    <s v="Hamburg"/>
    <s v="Mumbai"/>
    <x v="0"/>
    <n v="48.5"/>
    <n v="2495"/>
    <n v="47"/>
    <n v="13.9"/>
    <x v="3"/>
    <n v="26200.39"/>
    <n v="14563"/>
    <s v="Rahul"/>
    <x v="1"/>
    <n v="51.44"/>
    <n v="10.5"/>
    <n v="1.8"/>
    <s v="On Time"/>
    <s v="Medium"/>
    <s v="Low Risk"/>
    <x v="0"/>
    <n v="2025"/>
  </r>
  <r>
    <x v="41"/>
    <x v="42"/>
    <x v="5"/>
    <s v="V1307"/>
    <s v="Chennai"/>
    <s v="Rotterdam"/>
    <x v="3"/>
    <n v="58.3"/>
    <n v="1879"/>
    <n v="58"/>
    <n v="17"/>
    <x v="0"/>
    <n v="30488.080000000002"/>
    <n v="8314"/>
    <s v="Chen"/>
    <x v="0"/>
    <n v="32.229999999999997"/>
    <n v="16.23"/>
    <n v="3.67"/>
    <s v="Delayed"/>
    <s v="Medium"/>
    <s v="Medium Risk"/>
    <x v="7"/>
    <n v="2025"/>
  </r>
  <r>
    <x v="145"/>
    <x v="11"/>
    <x v="3"/>
    <s v="V1308"/>
    <s v="Dubai"/>
    <s v="Chennai"/>
    <x v="1"/>
    <n v="34.9"/>
    <n v="3965"/>
    <n v="55"/>
    <n v="15"/>
    <x v="0"/>
    <n v="15962.47"/>
    <n v="8298"/>
    <s v="Michael"/>
    <x v="0"/>
    <n v="113.61"/>
    <n v="4.03"/>
    <n v="1.92"/>
    <s v="Delayed"/>
    <s v="Low"/>
    <s v="Medium Risk"/>
    <x v="3"/>
    <n v="2025"/>
  </r>
  <r>
    <x v="68"/>
    <x v="30"/>
    <x v="3"/>
    <s v="V1309"/>
    <s v="Hamburg"/>
    <s v="Mumbai"/>
    <x v="0"/>
    <n v="49.3"/>
    <n v="1543"/>
    <n v="21"/>
    <n v="15.6"/>
    <x v="3"/>
    <n v="27474.5"/>
    <n v="17037"/>
    <s v="John"/>
    <x v="1"/>
    <n v="31.3"/>
    <n v="17.809999999999999"/>
    <n v="1.61"/>
    <s v="On Time"/>
    <s v="Medium"/>
    <s v="Low Risk"/>
    <x v="10"/>
    <n v="2025"/>
  </r>
  <r>
    <x v="216"/>
    <x v="68"/>
    <x v="2"/>
    <s v="V1310"/>
    <s v="Singapore"/>
    <s v="Hamburg"/>
    <x v="1"/>
    <n v="42.4"/>
    <n v="2186"/>
    <n v="37"/>
    <n v="20.5"/>
    <x v="1"/>
    <n v="22469.53"/>
    <n v="28189"/>
    <s v="Arun"/>
    <x v="0"/>
    <n v="51.56"/>
    <n v="10.28"/>
    <n v="0.8"/>
    <s v="Delayed"/>
    <s v="Medium"/>
    <s v="Low Risk"/>
    <x v="5"/>
    <n v="2025"/>
  </r>
  <r>
    <x v="15"/>
    <x v="53"/>
    <x v="1"/>
    <s v="V1311"/>
    <s v="Singapore"/>
    <s v="Colombo"/>
    <x v="0"/>
    <n v="37"/>
    <n v="1167"/>
    <n v="50"/>
    <n v="12.3"/>
    <x v="2"/>
    <n v="21334.23"/>
    <n v="22948"/>
    <s v="Sato"/>
    <x v="0"/>
    <n v="31.54"/>
    <n v="18.28"/>
    <n v="0.93"/>
    <s v="Delayed"/>
    <s v="Low"/>
    <s v="High Risk"/>
    <x v="1"/>
    <n v="2025"/>
  </r>
  <r>
    <x v="45"/>
    <x v="16"/>
    <x v="2"/>
    <s v="V1312"/>
    <s v="Chennai"/>
    <s v="Busan"/>
    <x v="3"/>
    <n v="64.7"/>
    <n v="3279"/>
    <n v="76"/>
    <n v="11.7"/>
    <x v="1"/>
    <n v="32801.269999999997"/>
    <n v="27465"/>
    <s v="David"/>
    <x v="0"/>
    <n v="50.68"/>
    <n v="10"/>
    <n v="1.19"/>
    <s v="Delayed"/>
    <s v="High"/>
    <s v="Low Risk"/>
    <x v="8"/>
    <n v="2025"/>
  </r>
  <r>
    <x v="162"/>
    <x v="8"/>
    <x v="5"/>
    <s v="V1313"/>
    <s v="Hamburg"/>
    <s v="Singapore"/>
    <x v="3"/>
    <n v="75.8"/>
    <n v="2859"/>
    <n v="53"/>
    <n v="10.8"/>
    <x v="2"/>
    <n v="35493.919999999998"/>
    <n v="21289"/>
    <s v="Michael"/>
    <x v="0"/>
    <n v="37.72"/>
    <n v="12.41"/>
    <n v="1.67"/>
    <s v="Delayed"/>
    <s v="High"/>
    <s v="High Risk"/>
    <x v="8"/>
    <n v="2025"/>
  </r>
  <r>
    <x v="3"/>
    <x v="61"/>
    <x v="0"/>
    <s v="V1314"/>
    <s v="Singapore"/>
    <s v="Colombo"/>
    <x v="2"/>
    <n v="22.3"/>
    <n v="3482"/>
    <n v="99"/>
    <n v="21.4"/>
    <x v="2"/>
    <n v="13730.49"/>
    <n v="5259"/>
    <s v="Michael"/>
    <x v="0"/>
    <n v="156.13999999999999"/>
    <n v="3.94"/>
    <n v="2.61"/>
    <s v="Delayed"/>
    <s v="Low"/>
    <s v="High Risk"/>
    <x v="3"/>
    <n v="2025"/>
  </r>
  <r>
    <x v="195"/>
    <x v="70"/>
    <x v="0"/>
    <s v="V1315"/>
    <s v="Chennai"/>
    <s v="Colombo"/>
    <x v="2"/>
    <n v="29"/>
    <n v="3116"/>
    <n v="29"/>
    <n v="17.899999999999999"/>
    <x v="2"/>
    <n v="13812.22"/>
    <n v="27445"/>
    <s v="Arun"/>
    <x v="0"/>
    <n v="107.45"/>
    <n v="4.43"/>
    <n v="0.5"/>
    <s v="Delayed"/>
    <s v="Low"/>
    <s v="High Risk"/>
    <x v="2"/>
    <n v="2025"/>
  </r>
  <r>
    <x v="217"/>
    <x v="0"/>
    <x v="4"/>
    <s v="V1316"/>
    <s v="Singapore"/>
    <s v="Chennai"/>
    <x v="0"/>
    <n v="74.099999999999994"/>
    <n v="2226"/>
    <n v="116"/>
    <n v="21.8"/>
    <x v="1"/>
    <n v="41560.410000000003"/>
    <n v="6393"/>
    <s v="Sato"/>
    <x v="0"/>
    <n v="30.04"/>
    <n v="18.670000000000002"/>
    <n v="6.5"/>
    <s v="Delayed"/>
    <s v="High"/>
    <s v="Low Risk"/>
    <x v="8"/>
    <n v="2025"/>
  </r>
  <r>
    <x v="218"/>
    <x v="1"/>
    <x v="6"/>
    <s v="V1317"/>
    <s v="Singapore"/>
    <s v="Hamburg"/>
    <x v="1"/>
    <n v="20.5"/>
    <n v="4945"/>
    <n v="118"/>
    <n v="14"/>
    <x v="2"/>
    <n v="9781.0400000000009"/>
    <n v="19706"/>
    <s v="Arun"/>
    <x v="0"/>
    <n v="241.22"/>
    <n v="1.98"/>
    <n v="0.5"/>
    <s v="Delayed"/>
    <s v="Low"/>
    <s v="High Risk"/>
    <x v="11"/>
    <n v="2025"/>
  </r>
  <r>
    <x v="131"/>
    <x v="79"/>
    <x v="2"/>
    <s v="V1318"/>
    <s v="Colombo"/>
    <s v="Busan"/>
    <x v="0"/>
    <n v="25.3"/>
    <n v="4472"/>
    <n v="68"/>
    <n v="20"/>
    <x v="1"/>
    <n v="15612.77"/>
    <n v="16927"/>
    <s v="Chen"/>
    <x v="0"/>
    <n v="176.76"/>
    <n v="3.49"/>
    <n v="0.92"/>
    <s v="Delayed"/>
    <s v="Low"/>
    <s v="Low Risk"/>
    <x v="11"/>
    <n v="2025"/>
  </r>
  <r>
    <x v="219"/>
    <x v="1"/>
    <x v="2"/>
    <s v="V1319"/>
    <s v="Colombo"/>
    <s v="Hamburg"/>
    <x v="3"/>
    <n v="48.1"/>
    <n v="3187"/>
    <n v="57"/>
    <n v="14"/>
    <x v="3"/>
    <n v="28395.52"/>
    <n v="12704"/>
    <s v="Sato"/>
    <x v="1"/>
    <n v="66.260000000000005"/>
    <n v="8.91"/>
    <n v="2.2400000000000002"/>
    <s v="On Time"/>
    <s v="Medium"/>
    <s v="Low Risk"/>
    <x v="11"/>
    <n v="2025"/>
  </r>
  <r>
    <x v="157"/>
    <x v="59"/>
    <x v="1"/>
    <s v="V1320"/>
    <s v="Chennai"/>
    <s v="Busan"/>
    <x v="3"/>
    <n v="76.7"/>
    <n v="3947"/>
    <n v="71"/>
    <n v="15.3"/>
    <x v="3"/>
    <n v="50966"/>
    <n v="11950"/>
    <s v="Ahmed"/>
    <x v="1"/>
    <n v="51.46"/>
    <n v="12.91"/>
    <n v="4.26"/>
    <s v="On Time"/>
    <s v="High"/>
    <s v="Low Risk"/>
    <x v="8"/>
    <n v="2025"/>
  </r>
  <r>
    <x v="32"/>
    <x v="57"/>
    <x v="1"/>
    <s v="V1321"/>
    <s v="Dubai"/>
    <s v="Hamburg"/>
    <x v="3"/>
    <n v="62.4"/>
    <n v="1475"/>
    <n v="54"/>
    <n v="10.1"/>
    <x v="3"/>
    <n v="28246.93"/>
    <n v="10627"/>
    <s v="Ahmed"/>
    <x v="1"/>
    <n v="23.64"/>
    <n v="19.149999999999999"/>
    <n v="2.66"/>
    <s v="On Time"/>
    <s v="High"/>
    <s v="Low Risk"/>
    <x v="2"/>
    <n v="2025"/>
  </r>
  <r>
    <x v="220"/>
    <x v="46"/>
    <x v="6"/>
    <s v="V1322"/>
    <s v="Singapore"/>
    <s v="Rotterdam"/>
    <x v="3"/>
    <n v="44.9"/>
    <n v="3275"/>
    <n v="47"/>
    <n v="12.2"/>
    <x v="2"/>
    <n v="20598"/>
    <n v="6806"/>
    <s v="Ahmed"/>
    <x v="0"/>
    <n v="72.94"/>
    <n v="6.29"/>
    <n v="3.03"/>
    <s v="Delayed"/>
    <s v="Medium"/>
    <s v="High Risk"/>
    <x v="0"/>
    <n v="2025"/>
  </r>
  <r>
    <x v="35"/>
    <x v="51"/>
    <x v="5"/>
    <s v="V1323"/>
    <s v="Rotterdam"/>
    <s v="Mumbai"/>
    <x v="0"/>
    <n v="36.799999999999997"/>
    <n v="557"/>
    <n v="60"/>
    <n v="12"/>
    <x v="2"/>
    <n v="21210.06"/>
    <n v="20333"/>
    <s v="Michael"/>
    <x v="0"/>
    <n v="15.14"/>
    <n v="38.08"/>
    <n v="1.04"/>
    <s v="Delayed"/>
    <s v="Low"/>
    <s v="High Risk"/>
    <x v="3"/>
    <n v="2025"/>
  </r>
  <r>
    <x v="221"/>
    <x v="11"/>
    <x v="1"/>
    <s v="V1324"/>
    <s v="Colombo"/>
    <s v="Singapore"/>
    <x v="2"/>
    <n v="73.8"/>
    <n v="4446"/>
    <n v="26"/>
    <n v="20.7"/>
    <x v="0"/>
    <n v="46442.720000000001"/>
    <n v="20894"/>
    <s v="Sato"/>
    <x v="0"/>
    <n v="60.24"/>
    <n v="10.45"/>
    <n v="2.2200000000000002"/>
    <s v="Delayed"/>
    <s v="High"/>
    <s v="Medium Risk"/>
    <x v="1"/>
    <n v="2025"/>
  </r>
  <r>
    <x v="67"/>
    <x v="1"/>
    <x v="7"/>
    <s v="V1325"/>
    <s v="Singapore"/>
    <s v="Hamburg"/>
    <x v="1"/>
    <n v="22.1"/>
    <n v="4985"/>
    <n v="109"/>
    <n v="12.3"/>
    <x v="2"/>
    <n v="13551.95"/>
    <n v="19524"/>
    <s v="Rahul"/>
    <x v="0"/>
    <n v="225.57"/>
    <n v="2.72"/>
    <n v="0.69"/>
    <s v="Delayed"/>
    <s v="Low"/>
    <s v="High Risk"/>
    <x v="2"/>
    <n v="2025"/>
  </r>
  <r>
    <x v="59"/>
    <x v="44"/>
    <x v="1"/>
    <s v="V1326"/>
    <s v="Rotterdam"/>
    <s v="Chennai"/>
    <x v="3"/>
    <n v="63"/>
    <n v="880"/>
    <n v="95"/>
    <n v="18.600000000000001"/>
    <x v="0"/>
    <n v="29949.18"/>
    <n v="9347"/>
    <s v="Rahul"/>
    <x v="0"/>
    <n v="13.97"/>
    <n v="34.03"/>
    <n v="3.2"/>
    <s v="Delayed"/>
    <s v="High"/>
    <s v="Medium Risk"/>
    <x v="6"/>
    <n v="2025"/>
  </r>
  <r>
    <x v="54"/>
    <x v="68"/>
    <x v="4"/>
    <s v="V1327"/>
    <s v="Hamburg"/>
    <s v="Dubai"/>
    <x v="3"/>
    <n v="31.9"/>
    <n v="3984"/>
    <n v="53"/>
    <n v="16.3"/>
    <x v="0"/>
    <n v="19785.400000000001"/>
    <n v="15967"/>
    <s v="Ahmed"/>
    <x v="0"/>
    <n v="124.89"/>
    <n v="4.97"/>
    <n v="1.24"/>
    <s v="Delayed"/>
    <s v="Low"/>
    <s v="Medium Risk"/>
    <x v="9"/>
    <n v="2025"/>
  </r>
  <r>
    <x v="79"/>
    <x v="18"/>
    <x v="4"/>
    <s v="V1328"/>
    <s v="Mumbai"/>
    <s v="Singapore"/>
    <x v="0"/>
    <n v="50"/>
    <n v="2110"/>
    <n v="65"/>
    <n v="16.3"/>
    <x v="3"/>
    <n v="27772.27"/>
    <n v="18850"/>
    <s v="John"/>
    <x v="1"/>
    <n v="42.2"/>
    <n v="13.16"/>
    <n v="1.47"/>
    <s v="On Time"/>
    <s v="Medium"/>
    <s v="Low Risk"/>
    <x v="7"/>
    <n v="2025"/>
  </r>
  <r>
    <x v="127"/>
    <x v="77"/>
    <x v="1"/>
    <s v="V1329"/>
    <s v="Singapore"/>
    <s v="Dubai"/>
    <x v="2"/>
    <n v="77.400000000000006"/>
    <n v="1986"/>
    <n v="68"/>
    <n v="21.8"/>
    <x v="1"/>
    <n v="48479.73"/>
    <n v="26342"/>
    <s v="Sato"/>
    <x v="0"/>
    <n v="25.66"/>
    <n v="24.41"/>
    <n v="1.84"/>
    <s v="Delayed"/>
    <s v="High"/>
    <s v="Low Risk"/>
    <x v="6"/>
    <n v="2025"/>
  </r>
  <r>
    <x v="222"/>
    <x v="10"/>
    <x v="3"/>
    <s v="V1330"/>
    <s v="Rotterdam"/>
    <s v="Dubai"/>
    <x v="2"/>
    <n v="62.6"/>
    <n v="3929"/>
    <n v="88"/>
    <n v="20.100000000000001"/>
    <x v="0"/>
    <n v="38246.22"/>
    <n v="27756"/>
    <s v="Rahul"/>
    <x v="0"/>
    <n v="62.76"/>
    <n v="9.73"/>
    <n v="1.38"/>
    <s v="Delayed"/>
    <s v="High"/>
    <s v="Medium Risk"/>
    <x v="11"/>
    <n v="2025"/>
  </r>
  <r>
    <x v="66"/>
    <x v="6"/>
    <x v="3"/>
    <s v="V1331"/>
    <s v="Mumbai"/>
    <s v="Colombo"/>
    <x v="2"/>
    <n v="42.6"/>
    <n v="1354"/>
    <n v="56"/>
    <n v="10.1"/>
    <x v="3"/>
    <n v="25498.36"/>
    <n v="17676"/>
    <s v="Rahul"/>
    <x v="1"/>
    <n v="31.78"/>
    <n v="18.829999999999998"/>
    <n v="1.44"/>
    <s v="On Time"/>
    <s v="Medium"/>
    <s v="Low Risk"/>
    <x v="10"/>
    <n v="2025"/>
  </r>
  <r>
    <x v="76"/>
    <x v="69"/>
    <x v="6"/>
    <s v="V1332"/>
    <s v="Rotterdam"/>
    <s v="Dubai"/>
    <x v="1"/>
    <n v="78.8"/>
    <n v="1597"/>
    <n v="109"/>
    <n v="17.600000000000001"/>
    <x v="3"/>
    <n v="49359.29"/>
    <n v="28710"/>
    <s v="David"/>
    <x v="1"/>
    <n v="20.27"/>
    <n v="30.91"/>
    <n v="1.72"/>
    <s v="On Time"/>
    <s v="High"/>
    <s v="Low Risk"/>
    <x v="0"/>
    <n v="2025"/>
  </r>
  <r>
    <x v="223"/>
    <x v="6"/>
    <x v="3"/>
    <s v="V1333"/>
    <s v="Rotterdam"/>
    <s v="Colombo"/>
    <x v="3"/>
    <n v="61.2"/>
    <n v="4094"/>
    <n v="99"/>
    <n v="12.6"/>
    <x v="1"/>
    <n v="37208.28"/>
    <n v="26009"/>
    <s v="Chen"/>
    <x v="0"/>
    <n v="66.900000000000006"/>
    <n v="9.09"/>
    <n v="1.43"/>
    <s v="Delayed"/>
    <s v="High"/>
    <s v="Low Risk"/>
    <x v="2"/>
    <n v="2025"/>
  </r>
  <r>
    <x v="37"/>
    <x v="26"/>
    <x v="7"/>
    <s v="V1334"/>
    <s v="Mumbai"/>
    <s v="Colombo"/>
    <x v="2"/>
    <n v="63.9"/>
    <n v="4724"/>
    <n v="43"/>
    <n v="19.3"/>
    <x v="3"/>
    <n v="41538.879999999997"/>
    <n v="14126"/>
    <s v="Michael"/>
    <x v="1"/>
    <n v="73.930000000000007"/>
    <n v="8.7899999999999991"/>
    <n v="2.94"/>
    <s v="On Time"/>
    <s v="High"/>
    <s v="Low Risk"/>
    <x v="10"/>
    <n v="2025"/>
  </r>
  <r>
    <x v="100"/>
    <x v="49"/>
    <x v="1"/>
    <s v="V1335"/>
    <s v="Dubai"/>
    <s v="Hamburg"/>
    <x v="0"/>
    <n v="75.599999999999994"/>
    <n v="3879"/>
    <n v="50"/>
    <n v="15.3"/>
    <x v="3"/>
    <n v="52556.71"/>
    <n v="12841"/>
    <s v="Chen"/>
    <x v="1"/>
    <n v="51.31"/>
    <n v="13.55"/>
    <n v="4.09"/>
    <s v="On Time"/>
    <s v="High"/>
    <s v="Low Risk"/>
    <x v="0"/>
    <n v="2025"/>
  </r>
  <r>
    <x v="224"/>
    <x v="22"/>
    <x v="7"/>
    <s v="V1336"/>
    <s v="Busan"/>
    <s v="Mumbai"/>
    <x v="1"/>
    <n v="40.5"/>
    <n v="1993"/>
    <n v="104"/>
    <n v="18.399999999999999"/>
    <x v="3"/>
    <n v="24974.29"/>
    <n v="20117"/>
    <s v="Sato"/>
    <x v="1"/>
    <n v="49.21"/>
    <n v="12.53"/>
    <n v="1.24"/>
    <s v="On Time"/>
    <s v="Medium"/>
    <s v="Low Risk"/>
    <x v="2"/>
    <n v="2025"/>
  </r>
  <r>
    <x v="48"/>
    <x v="20"/>
    <x v="5"/>
    <s v="V1337"/>
    <s v="Colombo"/>
    <s v="Mumbai"/>
    <x v="0"/>
    <n v="24.8"/>
    <n v="1230"/>
    <n v="32"/>
    <n v="21.5"/>
    <x v="2"/>
    <n v="11984.84"/>
    <n v="29785"/>
    <s v="Arun"/>
    <x v="0"/>
    <n v="49.6"/>
    <n v="9.74"/>
    <n v="0.4"/>
    <s v="Delayed"/>
    <s v="Low"/>
    <s v="High Risk"/>
    <x v="1"/>
    <n v="2025"/>
  </r>
  <r>
    <x v="63"/>
    <x v="16"/>
    <x v="0"/>
    <s v="V1338"/>
    <s v="Singapore"/>
    <s v="Colombo"/>
    <x v="3"/>
    <n v="64"/>
    <n v="2310"/>
    <n v="63"/>
    <n v="17.100000000000001"/>
    <x v="3"/>
    <n v="31718.47"/>
    <n v="28987"/>
    <s v="Sato"/>
    <x v="1"/>
    <n v="36.090000000000003"/>
    <n v="13.73"/>
    <n v="1.0900000000000001"/>
    <s v="On Time"/>
    <s v="High"/>
    <s v="Low Risk"/>
    <x v="3"/>
    <n v="2025"/>
  </r>
  <r>
    <x v="225"/>
    <x v="45"/>
    <x v="0"/>
    <s v="V1339"/>
    <s v="Rotterdam"/>
    <s v="Dubai"/>
    <x v="0"/>
    <n v="47"/>
    <n v="1195"/>
    <n v="40"/>
    <n v="11.4"/>
    <x v="1"/>
    <n v="22982.16"/>
    <n v="9399"/>
    <s v="David"/>
    <x v="0"/>
    <n v="25.43"/>
    <n v="19.23"/>
    <n v="2.4500000000000002"/>
    <s v="Delayed"/>
    <s v="Medium"/>
    <s v="Low Risk"/>
    <x v="11"/>
    <n v="2025"/>
  </r>
  <r>
    <x v="226"/>
    <x v="45"/>
    <x v="7"/>
    <s v="V1340"/>
    <s v="Hamburg"/>
    <s v="Singapore"/>
    <x v="3"/>
    <n v="63.6"/>
    <n v="4482"/>
    <n v="100"/>
    <n v="14.9"/>
    <x v="1"/>
    <n v="39185.17"/>
    <n v="16850"/>
    <s v="Arun"/>
    <x v="0"/>
    <n v="70.47"/>
    <n v="8.74"/>
    <n v="2.33"/>
    <s v="Delayed"/>
    <s v="High"/>
    <s v="Low Risk"/>
    <x v="2"/>
    <n v="2025"/>
  </r>
  <r>
    <x v="135"/>
    <x v="20"/>
    <x v="2"/>
    <s v="V1341"/>
    <s v="Busan"/>
    <s v="Dubai"/>
    <x v="0"/>
    <n v="49.4"/>
    <n v="1170"/>
    <n v="80"/>
    <n v="21.9"/>
    <x v="1"/>
    <n v="28047.01"/>
    <n v="14817"/>
    <s v="Rahul"/>
    <x v="0"/>
    <n v="23.68"/>
    <n v="23.97"/>
    <n v="1.89"/>
    <s v="Delayed"/>
    <s v="Medium"/>
    <s v="Low Risk"/>
    <x v="1"/>
    <n v="2025"/>
  </r>
  <r>
    <x v="227"/>
    <x v="37"/>
    <x v="1"/>
    <s v="V1342"/>
    <s v="Colombo"/>
    <s v="Chennai"/>
    <x v="0"/>
    <n v="25.9"/>
    <n v="3930"/>
    <n v="77"/>
    <n v="14.7"/>
    <x v="0"/>
    <n v="16195.77"/>
    <n v="19800"/>
    <s v="David"/>
    <x v="0"/>
    <n v="151.74"/>
    <n v="4.12"/>
    <n v="0.82"/>
    <s v="Delayed"/>
    <s v="Low"/>
    <s v="Medium Risk"/>
    <x v="2"/>
    <n v="2025"/>
  </r>
  <r>
    <x v="228"/>
    <x v="73"/>
    <x v="3"/>
    <s v="V1343"/>
    <s v="Mumbai"/>
    <s v="Hamburg"/>
    <x v="3"/>
    <n v="23.8"/>
    <n v="3661"/>
    <n v="41"/>
    <n v="14.2"/>
    <x v="0"/>
    <n v="16102.43"/>
    <n v="17853"/>
    <s v="Sato"/>
    <x v="0"/>
    <n v="153.82"/>
    <n v="4.4000000000000004"/>
    <n v="0.9"/>
    <s v="Delayed"/>
    <s v="Low"/>
    <s v="Medium Risk"/>
    <x v="11"/>
    <n v="2025"/>
  </r>
  <r>
    <x v="16"/>
    <x v="65"/>
    <x v="1"/>
    <s v="V1344"/>
    <s v="Hamburg"/>
    <s v="Rotterdam"/>
    <x v="2"/>
    <n v="50.5"/>
    <n v="3493"/>
    <n v="98"/>
    <n v="18.5"/>
    <x v="3"/>
    <n v="35122.11"/>
    <n v="12746"/>
    <s v="Rahul"/>
    <x v="1"/>
    <n v="69.17"/>
    <n v="10.050000000000001"/>
    <n v="2.76"/>
    <s v="On Time"/>
    <s v="Medium"/>
    <s v="Low Risk"/>
    <x v="3"/>
    <n v="2025"/>
  </r>
  <r>
    <x v="229"/>
    <x v="79"/>
    <x v="0"/>
    <s v="V1345"/>
    <s v="Dubai"/>
    <s v="Rotterdam"/>
    <x v="2"/>
    <n v="26.4"/>
    <n v="706"/>
    <n v="43"/>
    <n v="11.4"/>
    <x v="0"/>
    <n v="17620.45"/>
    <n v="11542"/>
    <s v="Chen"/>
    <x v="0"/>
    <n v="26.74"/>
    <n v="24.96"/>
    <n v="1.53"/>
    <s v="Delayed"/>
    <s v="Low"/>
    <s v="Medium Risk"/>
    <x v="1"/>
    <n v="2025"/>
  </r>
  <r>
    <x v="230"/>
    <x v="55"/>
    <x v="2"/>
    <s v="V1346"/>
    <s v="Hamburg"/>
    <s v="Dubai"/>
    <x v="3"/>
    <n v="28.5"/>
    <n v="1254"/>
    <n v="68"/>
    <n v="15"/>
    <x v="1"/>
    <n v="19000.439999999999"/>
    <n v="18571"/>
    <s v="David"/>
    <x v="0"/>
    <n v="44"/>
    <n v="15.15"/>
    <n v="1.02"/>
    <s v="Delayed"/>
    <s v="Low"/>
    <s v="Low Risk"/>
    <x v="6"/>
    <n v="2025"/>
  </r>
  <r>
    <x v="91"/>
    <x v="13"/>
    <x v="3"/>
    <s v="V1347"/>
    <s v="Chennai"/>
    <s v="Dubai"/>
    <x v="1"/>
    <n v="60.4"/>
    <n v="4372"/>
    <n v="48"/>
    <n v="17.3"/>
    <x v="2"/>
    <n v="38932.19"/>
    <n v="7348"/>
    <s v="Michael"/>
    <x v="0"/>
    <n v="72.38"/>
    <n v="8.9"/>
    <n v="5.3"/>
    <s v="Delayed"/>
    <s v="High"/>
    <s v="High Risk"/>
    <x v="5"/>
    <n v="2025"/>
  </r>
  <r>
    <x v="231"/>
    <x v="62"/>
    <x v="7"/>
    <s v="V1348"/>
    <s v="Singapore"/>
    <s v="Busan"/>
    <x v="3"/>
    <n v="62.9"/>
    <n v="4618"/>
    <n v="31"/>
    <n v="20.399999999999999"/>
    <x v="0"/>
    <n v="38631.14"/>
    <n v="22597"/>
    <s v="John"/>
    <x v="0"/>
    <n v="73.42"/>
    <n v="8.3699999999999992"/>
    <n v="1.71"/>
    <s v="Delayed"/>
    <s v="High"/>
    <s v="Medium Risk"/>
    <x v="2"/>
    <n v="2025"/>
  </r>
  <r>
    <x v="232"/>
    <x v="69"/>
    <x v="7"/>
    <s v="V1349"/>
    <s v="Rotterdam"/>
    <s v="Hamburg"/>
    <x v="0"/>
    <n v="23.8"/>
    <n v="2569"/>
    <n v="56"/>
    <n v="10.5"/>
    <x v="3"/>
    <n v="14849.18"/>
    <n v="7777"/>
    <s v="Michael"/>
    <x v="1"/>
    <n v="107.94"/>
    <n v="5.78"/>
    <n v="1.91"/>
    <s v="On Time"/>
    <s v="Low"/>
    <s v="Low Risk"/>
    <x v="10"/>
    <n v="2025"/>
  </r>
  <r>
    <x v="233"/>
    <x v="10"/>
    <x v="1"/>
    <s v="V1350"/>
    <s v="Mumbai"/>
    <s v="Busan"/>
    <x v="3"/>
    <n v="72.3"/>
    <n v="2885"/>
    <n v="93"/>
    <n v="12.6"/>
    <x v="3"/>
    <n v="37375.17"/>
    <n v="18659"/>
    <s v="Sato"/>
    <x v="1"/>
    <n v="39.9"/>
    <n v="12.95"/>
    <n v="2"/>
    <s v="On Time"/>
    <s v="High"/>
    <s v="Low Risk"/>
    <x v="5"/>
    <n v="2025"/>
  </r>
  <r>
    <x v="196"/>
    <x v="36"/>
    <x v="5"/>
    <s v="V1351"/>
    <s v="Dubai"/>
    <s v="Hamburg"/>
    <x v="2"/>
    <n v="34.200000000000003"/>
    <n v="3735"/>
    <n v="66"/>
    <n v="16.899999999999999"/>
    <x v="2"/>
    <n v="23920.36"/>
    <n v="14898"/>
    <s v="Arun"/>
    <x v="0"/>
    <n v="109.21"/>
    <n v="6.4"/>
    <n v="1.61"/>
    <s v="Delayed"/>
    <s v="Low"/>
    <s v="High Risk"/>
    <x v="1"/>
    <n v="2025"/>
  </r>
  <r>
    <x v="36"/>
    <x v="55"/>
    <x v="4"/>
    <s v="V1352"/>
    <s v="Hamburg"/>
    <s v="Dubai"/>
    <x v="3"/>
    <n v="61.9"/>
    <n v="3239"/>
    <n v="42"/>
    <n v="17.2"/>
    <x v="2"/>
    <n v="39360.14"/>
    <n v="15008"/>
    <s v="Sato"/>
    <x v="0"/>
    <n v="52.33"/>
    <n v="12.15"/>
    <n v="2.62"/>
    <s v="Delayed"/>
    <s v="High"/>
    <s v="High Risk"/>
    <x v="5"/>
    <n v="2025"/>
  </r>
  <r>
    <x v="194"/>
    <x v="48"/>
    <x v="0"/>
    <s v="V1353"/>
    <s v="Singapore"/>
    <s v="Dubai"/>
    <x v="2"/>
    <n v="22.7"/>
    <n v="2106"/>
    <n v="86"/>
    <n v="16"/>
    <x v="0"/>
    <n v="14100.29"/>
    <n v="18321"/>
    <s v="John"/>
    <x v="0"/>
    <n v="92.78"/>
    <n v="6.7"/>
    <n v="0.77"/>
    <s v="Delayed"/>
    <s v="Low"/>
    <s v="Medium Risk"/>
    <x v="4"/>
    <n v="2025"/>
  </r>
  <r>
    <x v="98"/>
    <x v="41"/>
    <x v="3"/>
    <s v="V1354"/>
    <s v="Rotterdam"/>
    <s v="Dubai"/>
    <x v="2"/>
    <n v="40.799999999999997"/>
    <n v="1866"/>
    <n v="24"/>
    <n v="18.600000000000001"/>
    <x v="2"/>
    <n v="25721.63"/>
    <n v="12036"/>
    <s v="Sato"/>
    <x v="0"/>
    <n v="45.74"/>
    <n v="13.78"/>
    <n v="2.14"/>
    <s v="Delayed"/>
    <s v="Medium"/>
    <s v="High Risk"/>
    <x v="6"/>
    <n v="2025"/>
  </r>
  <r>
    <x v="234"/>
    <x v="64"/>
    <x v="5"/>
    <s v="V1355"/>
    <s v="Mumbai"/>
    <s v="Rotterdam"/>
    <x v="2"/>
    <n v="78.2"/>
    <n v="2255"/>
    <n v="89"/>
    <n v="17"/>
    <x v="2"/>
    <n v="45453.23"/>
    <n v="13536"/>
    <s v="David"/>
    <x v="0"/>
    <n v="28.84"/>
    <n v="20.16"/>
    <n v="3.36"/>
    <s v="Delayed"/>
    <s v="High"/>
    <s v="High Risk"/>
    <x v="10"/>
    <n v="2025"/>
  </r>
  <r>
    <x v="235"/>
    <x v="30"/>
    <x v="4"/>
    <s v="V1356"/>
    <s v="Mumbai"/>
    <s v="Hamburg"/>
    <x v="2"/>
    <n v="32.299999999999997"/>
    <n v="1625"/>
    <n v="97"/>
    <n v="14.2"/>
    <x v="2"/>
    <n v="17322.86"/>
    <n v="28860"/>
    <s v="Sato"/>
    <x v="0"/>
    <n v="50.31"/>
    <n v="10.66"/>
    <n v="0.6"/>
    <s v="Delayed"/>
    <s v="Low"/>
    <s v="High Risk"/>
    <x v="4"/>
    <n v="2025"/>
  </r>
  <r>
    <x v="236"/>
    <x v="59"/>
    <x v="6"/>
    <s v="V1357"/>
    <s v="Singapore"/>
    <s v="Mumbai"/>
    <x v="3"/>
    <n v="28.2"/>
    <n v="4324"/>
    <n v="31"/>
    <n v="21.1"/>
    <x v="3"/>
    <n v="12964.44"/>
    <n v="14932"/>
    <s v="Sato"/>
    <x v="1"/>
    <n v="153.33000000000001"/>
    <n v="3"/>
    <n v="0.87"/>
    <s v="On Time"/>
    <s v="Low"/>
    <s v="Low Risk"/>
    <x v="9"/>
    <n v="2025"/>
  </r>
  <r>
    <x v="230"/>
    <x v="61"/>
    <x v="1"/>
    <s v="V1358"/>
    <s v="Colombo"/>
    <s v="Chennai"/>
    <x v="2"/>
    <n v="69.5"/>
    <n v="2705"/>
    <n v="106"/>
    <n v="14.3"/>
    <x v="3"/>
    <n v="45462.87"/>
    <n v="13074"/>
    <s v="Ahmed"/>
    <x v="1"/>
    <n v="38.92"/>
    <n v="16.809999999999999"/>
    <n v="3.48"/>
    <s v="On Time"/>
    <s v="High"/>
    <s v="Low Risk"/>
    <x v="6"/>
    <n v="2025"/>
  </r>
  <r>
    <x v="82"/>
    <x v="45"/>
    <x v="4"/>
    <s v="V1359"/>
    <s v="Busan"/>
    <s v="Singapore"/>
    <x v="0"/>
    <n v="43.6"/>
    <n v="3145"/>
    <n v="80"/>
    <n v="14.7"/>
    <x v="1"/>
    <n v="27527.66"/>
    <n v="26346"/>
    <s v="Michael"/>
    <x v="0"/>
    <n v="72.13"/>
    <n v="8.75"/>
    <n v="1.04"/>
    <s v="Delayed"/>
    <s v="Medium"/>
    <s v="Low Risk"/>
    <x v="10"/>
    <n v="2025"/>
  </r>
  <r>
    <x v="80"/>
    <x v="68"/>
    <x v="4"/>
    <s v="V1360"/>
    <s v="Hamburg"/>
    <s v="Chennai"/>
    <x v="2"/>
    <n v="20.100000000000001"/>
    <n v="2829"/>
    <n v="88"/>
    <n v="10"/>
    <x v="1"/>
    <n v="13219.85"/>
    <n v="26440"/>
    <s v="David"/>
    <x v="0"/>
    <n v="140.75"/>
    <n v="4.67"/>
    <n v="0.5"/>
    <s v="Delayed"/>
    <s v="Low"/>
    <s v="Low Risk"/>
    <x v="6"/>
    <n v="2025"/>
  </r>
  <r>
    <x v="36"/>
    <x v="39"/>
    <x v="1"/>
    <s v="V1361"/>
    <s v="Busan"/>
    <s v="Colombo"/>
    <x v="1"/>
    <n v="46.9"/>
    <n v="1765"/>
    <n v="49"/>
    <n v="17.3"/>
    <x v="1"/>
    <n v="28504.400000000001"/>
    <n v="5662"/>
    <s v="Chen"/>
    <x v="0"/>
    <n v="37.630000000000003"/>
    <n v="16.149999999999999"/>
    <n v="5.03"/>
    <s v="Delayed"/>
    <s v="Medium"/>
    <s v="Low Risk"/>
    <x v="5"/>
    <n v="2025"/>
  </r>
  <r>
    <x v="237"/>
    <x v="34"/>
    <x v="2"/>
    <s v="V1362"/>
    <s v="Dubai"/>
    <s v="Singapore"/>
    <x v="3"/>
    <n v="38.5"/>
    <n v="4209"/>
    <n v="39"/>
    <n v="22"/>
    <x v="0"/>
    <n v="17716.52"/>
    <n v="8585"/>
    <s v="Sato"/>
    <x v="0"/>
    <n v="109.32"/>
    <n v="4.21"/>
    <n v="2.06"/>
    <s v="Delayed"/>
    <s v="Low"/>
    <s v="Medium Risk"/>
    <x v="6"/>
    <n v="2025"/>
  </r>
  <r>
    <x v="155"/>
    <x v="23"/>
    <x v="4"/>
    <s v="V1363"/>
    <s v="Rotterdam"/>
    <s v="Dubai"/>
    <x v="1"/>
    <n v="63.7"/>
    <n v="1824"/>
    <n v="77"/>
    <n v="17.7"/>
    <x v="1"/>
    <n v="43546.23"/>
    <n v="6616"/>
    <s v="Ahmed"/>
    <x v="0"/>
    <n v="28.63"/>
    <n v="23.87"/>
    <n v="6.58"/>
    <s v="Delayed"/>
    <s v="High"/>
    <s v="Low Risk"/>
    <x v="0"/>
    <n v="2025"/>
  </r>
  <r>
    <x v="18"/>
    <x v="14"/>
    <x v="1"/>
    <s v="V1364"/>
    <s v="Busan"/>
    <s v="Dubai"/>
    <x v="1"/>
    <n v="67"/>
    <n v="4317"/>
    <n v="89"/>
    <n v="12.5"/>
    <x v="1"/>
    <n v="42734.28"/>
    <n v="7914"/>
    <s v="Chen"/>
    <x v="0"/>
    <n v="64.430000000000007"/>
    <n v="9.9"/>
    <n v="5.4"/>
    <s v="Delayed"/>
    <s v="High"/>
    <s v="Low Risk"/>
    <x v="2"/>
    <n v="2025"/>
  </r>
  <r>
    <x v="167"/>
    <x v="10"/>
    <x v="6"/>
    <s v="V1365"/>
    <s v="Busan"/>
    <s v="Chennai"/>
    <x v="0"/>
    <n v="35.4"/>
    <n v="3250"/>
    <n v="27"/>
    <n v="11.6"/>
    <x v="1"/>
    <n v="21334.22"/>
    <n v="16283"/>
    <s v="Michael"/>
    <x v="0"/>
    <n v="91.81"/>
    <n v="6.56"/>
    <n v="1.31"/>
    <s v="Delayed"/>
    <s v="Low"/>
    <s v="Low Risk"/>
    <x v="11"/>
    <n v="2025"/>
  </r>
  <r>
    <x v="238"/>
    <x v="1"/>
    <x v="0"/>
    <s v="V1366"/>
    <s v="Hamburg"/>
    <s v="Singapore"/>
    <x v="0"/>
    <n v="39.799999999999997"/>
    <n v="4211"/>
    <n v="49"/>
    <n v="11.9"/>
    <x v="1"/>
    <n v="19642.919999999998"/>
    <n v="28398"/>
    <s v="Arun"/>
    <x v="0"/>
    <n v="105.8"/>
    <n v="4.66"/>
    <n v="0.69"/>
    <s v="Delayed"/>
    <s v="Low"/>
    <s v="Low Risk"/>
    <x v="4"/>
    <n v="2025"/>
  </r>
  <r>
    <x v="112"/>
    <x v="59"/>
    <x v="4"/>
    <s v="V1367"/>
    <s v="Singapore"/>
    <s v="Colombo"/>
    <x v="2"/>
    <n v="60.4"/>
    <n v="2037"/>
    <n v="81"/>
    <n v="11.9"/>
    <x v="0"/>
    <n v="31055.82"/>
    <n v="10484"/>
    <s v="David"/>
    <x v="0"/>
    <n v="33.729999999999997"/>
    <n v="15.25"/>
    <n v="2.96"/>
    <s v="Delayed"/>
    <s v="High"/>
    <s v="Medium Risk"/>
    <x v="0"/>
    <n v="2025"/>
  </r>
  <r>
    <x v="239"/>
    <x v="15"/>
    <x v="2"/>
    <s v="V1368"/>
    <s v="Dubai"/>
    <s v="Singapore"/>
    <x v="1"/>
    <n v="30.3"/>
    <n v="3677"/>
    <n v="115"/>
    <n v="22"/>
    <x v="0"/>
    <n v="20737.77"/>
    <n v="21539"/>
    <s v="Michael"/>
    <x v="0"/>
    <n v="121.35"/>
    <n v="5.64"/>
    <n v="0.96"/>
    <s v="Delayed"/>
    <s v="Low"/>
    <s v="Medium Risk"/>
    <x v="6"/>
    <n v="2025"/>
  </r>
  <r>
    <x v="240"/>
    <x v="66"/>
    <x v="5"/>
    <s v="V1369"/>
    <s v="Mumbai"/>
    <s v="Rotterdam"/>
    <x v="1"/>
    <n v="32.799999999999997"/>
    <n v="1225"/>
    <n v="71"/>
    <n v="21.8"/>
    <x v="1"/>
    <n v="15451.67"/>
    <n v="10935"/>
    <s v="Rahul"/>
    <x v="0"/>
    <n v="37.35"/>
    <n v="12.61"/>
    <n v="1.41"/>
    <s v="Delayed"/>
    <s v="Low"/>
    <s v="Low Risk"/>
    <x v="5"/>
    <n v="2025"/>
  </r>
  <r>
    <x v="95"/>
    <x v="61"/>
    <x v="4"/>
    <s v="V1370"/>
    <s v="Rotterdam"/>
    <s v="Mumbai"/>
    <x v="3"/>
    <n v="23.6"/>
    <n v="4352"/>
    <n v="92"/>
    <n v="19.600000000000001"/>
    <x v="1"/>
    <n v="10960.92"/>
    <n v="26685"/>
    <s v="Sato"/>
    <x v="0"/>
    <n v="184.41"/>
    <n v="2.52"/>
    <n v="0.41"/>
    <s v="Delayed"/>
    <s v="Low"/>
    <s v="Low Risk"/>
    <x v="3"/>
    <n v="2025"/>
  </r>
  <r>
    <x v="241"/>
    <x v="68"/>
    <x v="5"/>
    <s v="V1371"/>
    <s v="Rotterdam"/>
    <s v="Mumbai"/>
    <x v="0"/>
    <n v="60.4"/>
    <n v="2188"/>
    <n v="46"/>
    <n v="16.8"/>
    <x v="0"/>
    <n v="30437.24"/>
    <n v="11304"/>
    <s v="Chen"/>
    <x v="0"/>
    <n v="36.229999999999997"/>
    <n v="13.91"/>
    <n v="2.69"/>
    <s v="Delayed"/>
    <s v="High"/>
    <s v="Medium Risk"/>
    <x v="5"/>
    <n v="2025"/>
  </r>
  <r>
    <x v="20"/>
    <x v="40"/>
    <x v="1"/>
    <s v="V1372"/>
    <s v="Dubai"/>
    <s v="Chennai"/>
    <x v="0"/>
    <n v="53.8"/>
    <n v="3026"/>
    <n v="119"/>
    <n v="13.1"/>
    <x v="1"/>
    <n v="34323.35"/>
    <n v="13954"/>
    <s v="Chen"/>
    <x v="0"/>
    <n v="56.25"/>
    <n v="11.34"/>
    <n v="2.46"/>
    <s v="Delayed"/>
    <s v="Medium"/>
    <s v="Low Risk"/>
    <x v="3"/>
    <n v="2025"/>
  </r>
  <r>
    <x v="98"/>
    <x v="25"/>
    <x v="4"/>
    <s v="V1373"/>
    <s v="Singapore"/>
    <s v="Dubai"/>
    <x v="1"/>
    <n v="57.7"/>
    <n v="4552"/>
    <n v="118"/>
    <n v="15.8"/>
    <x v="0"/>
    <n v="29947.61"/>
    <n v="16519"/>
    <s v="Rahul"/>
    <x v="0"/>
    <n v="78.89"/>
    <n v="6.58"/>
    <n v="1.81"/>
    <s v="Delayed"/>
    <s v="Medium"/>
    <s v="Medium Risk"/>
    <x v="6"/>
    <n v="2025"/>
  </r>
  <r>
    <x v="22"/>
    <x v="79"/>
    <x v="7"/>
    <s v="V1374"/>
    <s v="Colombo"/>
    <s v="Busan"/>
    <x v="2"/>
    <n v="61.3"/>
    <n v="535"/>
    <n v="85"/>
    <n v="17.399999999999999"/>
    <x v="1"/>
    <n v="42664.17"/>
    <n v="18042"/>
    <s v="John"/>
    <x v="0"/>
    <n v="8.73"/>
    <n v="79.75"/>
    <n v="2.36"/>
    <s v="Delayed"/>
    <s v="High"/>
    <s v="Low Risk"/>
    <x v="0"/>
    <n v="2025"/>
  </r>
  <r>
    <x v="158"/>
    <x v="38"/>
    <x v="1"/>
    <s v="V1375"/>
    <s v="Dubai"/>
    <s v="Mumbai"/>
    <x v="1"/>
    <n v="72"/>
    <n v="853"/>
    <n v="57"/>
    <n v="19.100000000000001"/>
    <x v="0"/>
    <n v="33519.620000000003"/>
    <n v="28831"/>
    <s v="Chen"/>
    <x v="0"/>
    <n v="11.85"/>
    <n v="39.299999999999997"/>
    <n v="1.1599999999999999"/>
    <s v="Delayed"/>
    <s v="High"/>
    <s v="Medium Risk"/>
    <x v="7"/>
    <n v="2025"/>
  </r>
  <r>
    <x v="184"/>
    <x v="79"/>
    <x v="5"/>
    <s v="V1376"/>
    <s v="Singapore"/>
    <s v="Chennai"/>
    <x v="0"/>
    <n v="47.8"/>
    <n v="4956"/>
    <n v="63"/>
    <n v="10.5"/>
    <x v="1"/>
    <n v="32057.65"/>
    <n v="10189"/>
    <s v="Rahul"/>
    <x v="0"/>
    <n v="103.68"/>
    <n v="6.47"/>
    <n v="3.15"/>
    <s v="Delayed"/>
    <s v="Medium"/>
    <s v="Low Risk"/>
    <x v="9"/>
    <n v="2025"/>
  </r>
  <r>
    <x v="107"/>
    <x v="29"/>
    <x v="6"/>
    <s v="V1377"/>
    <s v="Colombo"/>
    <s v="Chennai"/>
    <x v="2"/>
    <n v="46.9"/>
    <n v="3609"/>
    <n v="81"/>
    <n v="21"/>
    <x v="1"/>
    <n v="26298.47"/>
    <n v="10920"/>
    <s v="Sato"/>
    <x v="0"/>
    <n v="76.95"/>
    <n v="7.29"/>
    <n v="2.41"/>
    <s v="Delayed"/>
    <s v="Medium"/>
    <s v="Low Risk"/>
    <x v="9"/>
    <n v="2025"/>
  </r>
  <r>
    <x v="40"/>
    <x v="19"/>
    <x v="5"/>
    <s v="V1378"/>
    <s v="Busan"/>
    <s v="Dubai"/>
    <x v="1"/>
    <n v="36.1"/>
    <n v="4556"/>
    <n v="80"/>
    <n v="13.4"/>
    <x v="1"/>
    <n v="17710.77"/>
    <n v="6530"/>
    <s v="John"/>
    <x v="0"/>
    <n v="126.2"/>
    <n v="3.89"/>
    <n v="2.71"/>
    <s v="Delayed"/>
    <s v="Low"/>
    <s v="Low Risk"/>
    <x v="0"/>
    <n v="2025"/>
  </r>
  <r>
    <x v="242"/>
    <x v="9"/>
    <x v="0"/>
    <s v="V1379"/>
    <s v="Hamburg"/>
    <s v="Chennai"/>
    <x v="1"/>
    <n v="25.6"/>
    <n v="4136"/>
    <n v="66"/>
    <n v="15.8"/>
    <x v="1"/>
    <n v="12008.22"/>
    <n v="20287"/>
    <s v="Rahul"/>
    <x v="0"/>
    <n v="161.56"/>
    <n v="2.9"/>
    <n v="0.59"/>
    <s v="Delayed"/>
    <s v="Low"/>
    <s v="Low Risk"/>
    <x v="6"/>
    <n v="2025"/>
  </r>
  <r>
    <x v="5"/>
    <x v="79"/>
    <x v="0"/>
    <s v="V1380"/>
    <s v="Hamburg"/>
    <s v="Mumbai"/>
    <x v="0"/>
    <n v="34.4"/>
    <n v="3005"/>
    <n v="87"/>
    <n v="12.1"/>
    <x v="0"/>
    <n v="18539.12"/>
    <n v="26956"/>
    <s v="Rahul"/>
    <x v="0"/>
    <n v="87.35"/>
    <n v="6.17"/>
    <n v="0.69"/>
    <s v="Delayed"/>
    <s v="Low"/>
    <s v="Medium Risk"/>
    <x v="4"/>
    <n v="2025"/>
  </r>
  <r>
    <x v="79"/>
    <x v="6"/>
    <x v="2"/>
    <s v="V1381"/>
    <s v="Rotterdam"/>
    <s v="Colombo"/>
    <x v="1"/>
    <n v="31.8"/>
    <n v="2156"/>
    <n v="109"/>
    <n v="19"/>
    <x v="0"/>
    <n v="19810.259999999998"/>
    <n v="7282"/>
    <s v="John"/>
    <x v="0"/>
    <n v="67.8"/>
    <n v="9.19"/>
    <n v="2.72"/>
    <s v="Delayed"/>
    <s v="Low"/>
    <s v="Medium Risk"/>
    <x v="7"/>
    <n v="2025"/>
  </r>
  <r>
    <x v="169"/>
    <x v="40"/>
    <x v="0"/>
    <s v="V1382"/>
    <s v="Busan"/>
    <s v="Dubai"/>
    <x v="1"/>
    <n v="75.5"/>
    <n v="3849"/>
    <n v="37"/>
    <n v="15.3"/>
    <x v="2"/>
    <n v="47820.35"/>
    <n v="5249"/>
    <s v="Arun"/>
    <x v="0"/>
    <n v="50.98"/>
    <n v="12.42"/>
    <n v="9.11"/>
    <s v="Delayed"/>
    <s v="High"/>
    <s v="High Risk"/>
    <x v="11"/>
    <n v="2025"/>
  </r>
  <r>
    <x v="243"/>
    <x v="74"/>
    <x v="4"/>
    <s v="V1383"/>
    <s v="Rotterdam"/>
    <s v="Colombo"/>
    <x v="1"/>
    <n v="67.5"/>
    <n v="3524"/>
    <n v="103"/>
    <n v="12.3"/>
    <x v="2"/>
    <n v="35016.089999999997"/>
    <n v="14790"/>
    <s v="Chen"/>
    <x v="0"/>
    <n v="52.21"/>
    <n v="9.94"/>
    <n v="2.37"/>
    <s v="Delayed"/>
    <s v="High"/>
    <s v="High Risk"/>
    <x v="10"/>
    <n v="2025"/>
  </r>
  <r>
    <x v="140"/>
    <x v="55"/>
    <x v="1"/>
    <s v="V1384"/>
    <s v="Hamburg"/>
    <s v="Mumbai"/>
    <x v="1"/>
    <n v="34.200000000000003"/>
    <n v="3400"/>
    <n v="112"/>
    <n v="14.9"/>
    <x v="1"/>
    <n v="21695.21"/>
    <n v="26364"/>
    <s v="Rahul"/>
    <x v="0"/>
    <n v="99.42"/>
    <n v="6.38"/>
    <n v="0.82"/>
    <s v="Delayed"/>
    <s v="Low"/>
    <s v="Low Risk"/>
    <x v="6"/>
    <n v="2025"/>
  </r>
  <r>
    <x v="244"/>
    <x v="34"/>
    <x v="0"/>
    <s v="V1385"/>
    <s v="Colombo"/>
    <s v="Dubai"/>
    <x v="2"/>
    <n v="60.3"/>
    <n v="4316"/>
    <n v="40"/>
    <n v="20.100000000000001"/>
    <x v="3"/>
    <n v="31067.45"/>
    <n v="14578"/>
    <s v="Sato"/>
    <x v="1"/>
    <n v="71.58"/>
    <n v="7.2"/>
    <n v="2.13"/>
    <s v="On Time"/>
    <s v="High"/>
    <s v="Low Risk"/>
    <x v="6"/>
    <n v="2025"/>
  </r>
  <r>
    <x v="94"/>
    <x v="56"/>
    <x v="3"/>
    <s v="V1386"/>
    <s v="Chennai"/>
    <s v="Singapore"/>
    <x v="3"/>
    <n v="30.9"/>
    <n v="750"/>
    <n v="64"/>
    <n v="14.8"/>
    <x v="1"/>
    <n v="18890.32"/>
    <n v="21827"/>
    <s v="Sato"/>
    <x v="0"/>
    <n v="24.27"/>
    <n v="25.19"/>
    <n v="0.87"/>
    <s v="Delayed"/>
    <s v="Low"/>
    <s v="Low Risk"/>
    <x v="5"/>
    <n v="2025"/>
  </r>
  <r>
    <x v="186"/>
    <x v="13"/>
    <x v="0"/>
    <s v="V1387"/>
    <s v="Mumbai"/>
    <s v="Hamburg"/>
    <x v="3"/>
    <n v="60.5"/>
    <n v="4090"/>
    <n v="50"/>
    <n v="18.600000000000001"/>
    <x v="2"/>
    <n v="36481.050000000003"/>
    <n v="27356"/>
    <s v="David"/>
    <x v="0"/>
    <n v="67.599999999999994"/>
    <n v="8.92"/>
    <n v="1.33"/>
    <s v="Delayed"/>
    <s v="High"/>
    <s v="High Risk"/>
    <x v="5"/>
    <n v="2025"/>
  </r>
  <r>
    <x v="245"/>
    <x v="3"/>
    <x v="0"/>
    <s v="V1388"/>
    <s v="Singapore"/>
    <s v="Hamburg"/>
    <x v="3"/>
    <n v="78.2"/>
    <n v="4326"/>
    <n v="21"/>
    <n v="12"/>
    <x v="2"/>
    <n v="53499.08"/>
    <n v="27150"/>
    <s v="Ahmed"/>
    <x v="0"/>
    <n v="55.32"/>
    <n v="12.37"/>
    <n v="1.97"/>
    <s v="Delayed"/>
    <s v="High"/>
    <s v="High Risk"/>
    <x v="0"/>
    <n v="2025"/>
  </r>
  <r>
    <x v="246"/>
    <x v="65"/>
    <x v="5"/>
    <s v="V1389"/>
    <s v="Dubai"/>
    <s v="Colombo"/>
    <x v="0"/>
    <n v="61.6"/>
    <n v="1282"/>
    <n v="28"/>
    <n v="17.399999999999999"/>
    <x v="2"/>
    <n v="34723.86"/>
    <n v="7581"/>
    <s v="Chen"/>
    <x v="0"/>
    <n v="20.81"/>
    <n v="27.09"/>
    <n v="4.58"/>
    <s v="Delayed"/>
    <s v="High"/>
    <s v="High Risk"/>
    <x v="8"/>
    <n v="2025"/>
  </r>
  <r>
    <x v="135"/>
    <x v="16"/>
    <x v="0"/>
    <s v="V1390"/>
    <s v="Rotterdam"/>
    <s v="Chennai"/>
    <x v="0"/>
    <n v="59.4"/>
    <n v="4429"/>
    <n v="70"/>
    <n v="20.7"/>
    <x v="2"/>
    <n v="38658.720000000001"/>
    <n v="15495"/>
    <s v="John"/>
    <x v="0"/>
    <n v="74.56"/>
    <n v="8.73"/>
    <n v="2.4900000000000002"/>
    <s v="Delayed"/>
    <s v="Medium"/>
    <s v="High Risk"/>
    <x v="1"/>
    <n v="2025"/>
  </r>
  <r>
    <x v="247"/>
    <x v="3"/>
    <x v="6"/>
    <s v="V1391"/>
    <s v="Busan"/>
    <s v="Hamburg"/>
    <x v="0"/>
    <n v="29.5"/>
    <n v="3056"/>
    <n v="100"/>
    <n v="11.2"/>
    <x v="3"/>
    <n v="16706.759999999998"/>
    <n v="25415"/>
    <s v="Ahmed"/>
    <x v="1"/>
    <n v="103.59"/>
    <n v="5.47"/>
    <n v="0.66"/>
    <s v="On Time"/>
    <s v="Low"/>
    <s v="Low Risk"/>
    <x v="10"/>
    <n v="2025"/>
  </r>
  <r>
    <x v="248"/>
    <x v="77"/>
    <x v="4"/>
    <s v="V1392"/>
    <s v="Dubai"/>
    <s v="Rotterdam"/>
    <x v="3"/>
    <n v="42"/>
    <n v="4324"/>
    <n v="60"/>
    <n v="15.1"/>
    <x v="1"/>
    <n v="27675.15"/>
    <n v="8879"/>
    <s v="Chen"/>
    <x v="0"/>
    <n v="102.95"/>
    <n v="6.4"/>
    <n v="3.12"/>
    <s v="Delayed"/>
    <s v="Medium"/>
    <s v="Low Risk"/>
    <x v="7"/>
    <n v="2025"/>
  </r>
  <r>
    <x v="100"/>
    <x v="71"/>
    <x v="1"/>
    <s v="V1393"/>
    <s v="Colombo"/>
    <s v="Mumbai"/>
    <x v="1"/>
    <n v="53.5"/>
    <n v="1981"/>
    <n v="90"/>
    <n v="20.100000000000001"/>
    <x v="3"/>
    <n v="26972.240000000002"/>
    <n v="22190"/>
    <s v="John"/>
    <x v="1"/>
    <n v="37.03"/>
    <n v="13.62"/>
    <n v="1.22"/>
    <s v="On Time"/>
    <s v="Medium"/>
    <s v="Low Risk"/>
    <x v="0"/>
    <n v="2025"/>
  </r>
  <r>
    <x v="61"/>
    <x v="77"/>
    <x v="6"/>
    <s v="V1394"/>
    <s v="Busan"/>
    <s v="Mumbai"/>
    <x v="3"/>
    <n v="72.400000000000006"/>
    <n v="2242"/>
    <n v="115"/>
    <n v="17"/>
    <x v="2"/>
    <n v="48712.34"/>
    <n v="25007"/>
    <s v="Sato"/>
    <x v="0"/>
    <n v="30.97"/>
    <n v="21.73"/>
    <n v="1.95"/>
    <s v="Delayed"/>
    <s v="High"/>
    <s v="High Risk"/>
    <x v="8"/>
    <n v="2025"/>
  </r>
  <r>
    <x v="249"/>
    <x v="52"/>
    <x v="3"/>
    <s v="V1395"/>
    <s v="Dubai"/>
    <s v="Singapore"/>
    <x v="1"/>
    <n v="56.5"/>
    <n v="1112"/>
    <n v="32"/>
    <n v="14.4"/>
    <x v="1"/>
    <n v="29845.65"/>
    <n v="10768"/>
    <s v="John"/>
    <x v="0"/>
    <n v="19.68"/>
    <n v="26.84"/>
    <n v="2.77"/>
    <s v="Delayed"/>
    <s v="Medium"/>
    <s v="Low Risk"/>
    <x v="9"/>
    <n v="2025"/>
  </r>
  <r>
    <x v="104"/>
    <x v="67"/>
    <x v="0"/>
    <s v="V1396"/>
    <s v="Rotterdam"/>
    <s v="Colombo"/>
    <x v="1"/>
    <n v="20.3"/>
    <n v="4723"/>
    <n v="48"/>
    <n v="11.4"/>
    <x v="2"/>
    <n v="10182.450000000001"/>
    <n v="9172"/>
    <s v="Ahmed"/>
    <x v="0"/>
    <n v="232.66"/>
    <n v="2.16"/>
    <n v="1.1100000000000001"/>
    <s v="Delayed"/>
    <s v="Low"/>
    <s v="High Risk"/>
    <x v="9"/>
    <n v="2025"/>
  </r>
  <r>
    <x v="190"/>
    <x v="52"/>
    <x v="2"/>
    <s v="V1397"/>
    <s v="Mumbai"/>
    <s v="Colombo"/>
    <x v="1"/>
    <n v="22.1"/>
    <n v="2449"/>
    <n v="50"/>
    <n v="12.1"/>
    <x v="3"/>
    <n v="12287.02"/>
    <n v="16333"/>
    <s v="David"/>
    <x v="1"/>
    <n v="110.81"/>
    <n v="5.0199999999999996"/>
    <n v="0.75"/>
    <s v="On Time"/>
    <s v="Low"/>
    <s v="Low Risk"/>
    <x v="5"/>
    <n v="2025"/>
  </r>
  <r>
    <x v="250"/>
    <x v="74"/>
    <x v="4"/>
    <s v="V1398"/>
    <s v="Busan"/>
    <s v="Mumbai"/>
    <x v="1"/>
    <n v="42.6"/>
    <n v="4782"/>
    <n v="34"/>
    <n v="17"/>
    <x v="3"/>
    <n v="29373.03"/>
    <n v="18601"/>
    <s v="Rahul"/>
    <x v="1"/>
    <n v="112.25"/>
    <n v="6.14"/>
    <n v="1.58"/>
    <s v="On Time"/>
    <s v="Medium"/>
    <s v="Low Risk"/>
    <x v="6"/>
    <n v="2025"/>
  </r>
  <r>
    <x v="128"/>
    <x v="73"/>
    <x v="7"/>
    <s v="V1399"/>
    <s v="Hamburg"/>
    <s v="Singapore"/>
    <x v="2"/>
    <n v="55.3"/>
    <n v="4950"/>
    <n v="112"/>
    <n v="14.4"/>
    <x v="0"/>
    <n v="31414.85"/>
    <n v="12000"/>
    <s v="Ahmed"/>
    <x v="0"/>
    <n v="89.51"/>
    <n v="6.35"/>
    <n v="2.62"/>
    <s v="Delayed"/>
    <s v="Medium"/>
    <s v="Medium Risk"/>
    <x v="9"/>
    <n v="2025"/>
  </r>
  <r>
    <x v="251"/>
    <x v="20"/>
    <x v="6"/>
    <s v="V1400"/>
    <s v="Hamburg"/>
    <s v="Colombo"/>
    <x v="3"/>
    <n v="66.900000000000006"/>
    <n v="1105"/>
    <n v="38"/>
    <n v="18.8"/>
    <x v="0"/>
    <n v="36112.9"/>
    <n v="23875"/>
    <s v="Sato"/>
    <x v="0"/>
    <n v="16.52"/>
    <n v="32.68"/>
    <n v="1.51"/>
    <s v="Delayed"/>
    <s v="High"/>
    <s v="Medium Risk"/>
    <x v="9"/>
    <n v="2025"/>
  </r>
  <r>
    <x v="210"/>
    <x v="57"/>
    <x v="2"/>
    <s v="V1401"/>
    <s v="Mumbai"/>
    <s v="Busan"/>
    <x v="3"/>
    <n v="24.9"/>
    <n v="2214"/>
    <n v="94"/>
    <n v="19.100000000000001"/>
    <x v="2"/>
    <n v="13829.5"/>
    <n v="26824"/>
    <s v="John"/>
    <x v="0"/>
    <n v="88.92"/>
    <n v="6.25"/>
    <n v="0.52"/>
    <s v="Delayed"/>
    <s v="Low"/>
    <s v="High Risk"/>
    <x v="11"/>
    <n v="2025"/>
  </r>
  <r>
    <x v="252"/>
    <x v="6"/>
    <x v="7"/>
    <s v="V1402"/>
    <s v="Mumbai"/>
    <s v="Chennai"/>
    <x v="0"/>
    <n v="37.4"/>
    <n v="535"/>
    <n v="114"/>
    <n v="13.4"/>
    <x v="0"/>
    <n v="26074.48"/>
    <n v="7163"/>
    <s v="David"/>
    <x v="0"/>
    <n v="14.3"/>
    <n v="48.74"/>
    <n v="3.64"/>
    <s v="Delayed"/>
    <s v="Low"/>
    <s v="Medium Risk"/>
    <x v="9"/>
    <n v="2025"/>
  </r>
  <r>
    <x v="253"/>
    <x v="22"/>
    <x v="6"/>
    <s v="V1403"/>
    <s v="Busan"/>
    <s v="Hamburg"/>
    <x v="0"/>
    <n v="61.6"/>
    <n v="3743"/>
    <n v="94"/>
    <n v="14.7"/>
    <x v="0"/>
    <n v="39915.25"/>
    <n v="22450"/>
    <s v="Chen"/>
    <x v="0"/>
    <n v="60.76"/>
    <n v="10.66"/>
    <n v="1.78"/>
    <s v="Delayed"/>
    <s v="High"/>
    <s v="Medium Risk"/>
    <x v="7"/>
    <n v="2025"/>
  </r>
  <r>
    <x v="254"/>
    <x v="36"/>
    <x v="2"/>
    <s v="V1404"/>
    <s v="Chennai"/>
    <s v="Mumbai"/>
    <x v="1"/>
    <n v="40.1"/>
    <n v="1126"/>
    <n v="98"/>
    <n v="15.3"/>
    <x v="2"/>
    <n v="28050.26"/>
    <n v="16976"/>
    <s v="Chen"/>
    <x v="0"/>
    <n v="28.08"/>
    <n v="24.91"/>
    <n v="1.65"/>
    <s v="Delayed"/>
    <s v="Medium"/>
    <s v="High Risk"/>
    <x v="2"/>
    <n v="2025"/>
  </r>
  <r>
    <x v="190"/>
    <x v="38"/>
    <x v="1"/>
    <s v="V1405"/>
    <s v="Hamburg"/>
    <s v="Colombo"/>
    <x v="1"/>
    <n v="28.8"/>
    <n v="3693"/>
    <n v="86"/>
    <n v="15.1"/>
    <x v="0"/>
    <n v="16683.849999999999"/>
    <n v="23440"/>
    <s v="John"/>
    <x v="0"/>
    <n v="128.22999999999999"/>
    <n v="4.5199999999999996"/>
    <n v="0.71"/>
    <s v="Delayed"/>
    <s v="Low"/>
    <s v="Medium Risk"/>
    <x v="5"/>
    <n v="2025"/>
  </r>
  <r>
    <x v="84"/>
    <x v="33"/>
    <x v="1"/>
    <s v="V1406"/>
    <s v="Busan"/>
    <s v="Mumbai"/>
    <x v="0"/>
    <n v="79.2"/>
    <n v="2634"/>
    <n v="61"/>
    <n v="21.7"/>
    <x v="2"/>
    <n v="38833.449999999997"/>
    <n v="17158"/>
    <s v="Ahmed"/>
    <x v="0"/>
    <n v="33.26"/>
    <n v="14.74"/>
    <n v="2.2599999999999998"/>
    <s v="Delayed"/>
    <s v="High"/>
    <s v="High Risk"/>
    <x v="9"/>
    <n v="2025"/>
  </r>
  <r>
    <x v="132"/>
    <x v="46"/>
    <x v="1"/>
    <s v="V1407"/>
    <s v="Chennai"/>
    <s v="Rotterdam"/>
    <x v="2"/>
    <n v="25.8"/>
    <n v="4861"/>
    <n v="39"/>
    <n v="21.2"/>
    <x v="1"/>
    <n v="17830.34"/>
    <n v="20252"/>
    <s v="Sato"/>
    <x v="0"/>
    <n v="188.41"/>
    <n v="3.67"/>
    <n v="0.88"/>
    <s v="Delayed"/>
    <s v="Low"/>
    <s v="Low Risk"/>
    <x v="3"/>
    <n v="2025"/>
  </r>
  <r>
    <x v="255"/>
    <x v="64"/>
    <x v="2"/>
    <s v="V1408"/>
    <s v="Mumbai"/>
    <s v="Dubai"/>
    <x v="1"/>
    <n v="69.8"/>
    <n v="2743"/>
    <n v="94"/>
    <n v="14.2"/>
    <x v="2"/>
    <n v="43496.55"/>
    <n v="22311"/>
    <s v="Ahmed"/>
    <x v="0"/>
    <n v="39.299999999999997"/>
    <n v="15.86"/>
    <n v="1.95"/>
    <s v="Delayed"/>
    <s v="High"/>
    <s v="High Risk"/>
    <x v="2"/>
    <n v="2025"/>
  </r>
  <r>
    <x v="1"/>
    <x v="75"/>
    <x v="5"/>
    <s v="V1409"/>
    <s v="Chennai"/>
    <s v="Singapore"/>
    <x v="2"/>
    <n v="23.7"/>
    <n v="3198"/>
    <n v="69"/>
    <n v="14.2"/>
    <x v="1"/>
    <n v="12328.06"/>
    <n v="16756"/>
    <s v="Chen"/>
    <x v="0"/>
    <n v="134.94"/>
    <n v="3.85"/>
    <n v="0.74"/>
    <s v="Delayed"/>
    <s v="Low"/>
    <s v="Low Risk"/>
    <x v="1"/>
    <n v="2025"/>
  </r>
  <r>
    <x v="135"/>
    <x v="36"/>
    <x v="2"/>
    <s v="V1410"/>
    <s v="Mumbai"/>
    <s v="Colombo"/>
    <x v="1"/>
    <n v="24.7"/>
    <n v="2059"/>
    <n v="103"/>
    <n v="12.3"/>
    <x v="2"/>
    <n v="11621.28"/>
    <n v="6347"/>
    <s v="Michael"/>
    <x v="0"/>
    <n v="83.36"/>
    <n v="5.64"/>
    <n v="1.83"/>
    <s v="Delayed"/>
    <s v="Low"/>
    <s v="High Risk"/>
    <x v="1"/>
    <n v="2025"/>
  </r>
  <r>
    <x v="164"/>
    <x v="41"/>
    <x v="0"/>
    <s v="V1411"/>
    <s v="Hamburg"/>
    <s v="Singapore"/>
    <x v="2"/>
    <n v="24.9"/>
    <n v="2247"/>
    <n v="24"/>
    <n v="12.8"/>
    <x v="3"/>
    <n v="11995.87"/>
    <n v="24303"/>
    <s v="John"/>
    <x v="1"/>
    <n v="90.24"/>
    <n v="5.34"/>
    <n v="0.49"/>
    <s v="On Time"/>
    <s v="Low"/>
    <s v="Low Risk"/>
    <x v="9"/>
    <n v="2025"/>
  </r>
  <r>
    <x v="211"/>
    <x v="2"/>
    <x v="2"/>
    <s v="V1412"/>
    <s v="Busan"/>
    <s v="Chennai"/>
    <x v="3"/>
    <n v="55.2"/>
    <n v="3785"/>
    <n v="22"/>
    <n v="20.7"/>
    <x v="3"/>
    <n v="34301.279999999999"/>
    <n v="16320"/>
    <s v="Ahmed"/>
    <x v="1"/>
    <n v="68.569999999999993"/>
    <n v="9.06"/>
    <n v="2.1"/>
    <s v="On Time"/>
    <s v="Medium"/>
    <s v="Low Risk"/>
    <x v="8"/>
    <n v="2025"/>
  </r>
  <r>
    <x v="252"/>
    <x v="59"/>
    <x v="1"/>
    <s v="V1413"/>
    <s v="Hamburg"/>
    <s v="Rotterdam"/>
    <x v="3"/>
    <n v="76.5"/>
    <n v="805"/>
    <n v="86"/>
    <n v="21.9"/>
    <x v="0"/>
    <n v="38657.39"/>
    <n v="19081"/>
    <s v="Sato"/>
    <x v="0"/>
    <n v="10.52"/>
    <n v="48.02"/>
    <n v="2.0299999999999998"/>
    <s v="Delayed"/>
    <s v="High"/>
    <s v="Medium Risk"/>
    <x v="9"/>
    <n v="2025"/>
  </r>
  <r>
    <x v="92"/>
    <x v="17"/>
    <x v="3"/>
    <s v="V1414"/>
    <s v="Colombo"/>
    <s v="Dubai"/>
    <x v="0"/>
    <n v="46.6"/>
    <n v="3278"/>
    <n v="100"/>
    <n v="19"/>
    <x v="0"/>
    <n v="26221.07"/>
    <n v="7174"/>
    <s v="Chen"/>
    <x v="0"/>
    <n v="70.34"/>
    <n v="8"/>
    <n v="3.66"/>
    <s v="Delayed"/>
    <s v="Medium"/>
    <s v="Medium Risk"/>
    <x v="9"/>
    <n v="2025"/>
  </r>
  <r>
    <x v="55"/>
    <x v="44"/>
    <x v="3"/>
    <s v="V1415"/>
    <s v="Busan"/>
    <s v="Dubai"/>
    <x v="3"/>
    <n v="49.1"/>
    <n v="2517"/>
    <n v="114"/>
    <n v="11.9"/>
    <x v="2"/>
    <n v="26460.65"/>
    <n v="26638"/>
    <s v="Rahul"/>
    <x v="0"/>
    <n v="51.26"/>
    <n v="10.51"/>
    <n v="0.99"/>
    <s v="Delayed"/>
    <s v="Medium"/>
    <s v="High Risk"/>
    <x v="4"/>
    <n v="2025"/>
  </r>
  <r>
    <x v="82"/>
    <x v="71"/>
    <x v="4"/>
    <s v="V1416"/>
    <s v="Dubai"/>
    <s v="Colombo"/>
    <x v="3"/>
    <n v="50.3"/>
    <n v="3545"/>
    <n v="40"/>
    <n v="10.5"/>
    <x v="2"/>
    <n v="33777.96"/>
    <n v="5370"/>
    <s v="Michael"/>
    <x v="0"/>
    <n v="70.48"/>
    <n v="9.5299999999999994"/>
    <n v="6.29"/>
    <s v="Delayed"/>
    <s v="Medium"/>
    <s v="High Risk"/>
    <x v="10"/>
    <n v="2025"/>
  </r>
  <r>
    <x v="34"/>
    <x v="56"/>
    <x v="0"/>
    <s v="V1417"/>
    <s v="Chennai"/>
    <s v="Busan"/>
    <x v="3"/>
    <n v="39.6"/>
    <n v="4578"/>
    <n v="118"/>
    <n v="19.399999999999999"/>
    <x v="2"/>
    <n v="23040.03"/>
    <n v="23605"/>
    <s v="John"/>
    <x v="0"/>
    <n v="115.61"/>
    <n v="5.03"/>
    <n v="0.98"/>
    <s v="Delayed"/>
    <s v="Low"/>
    <s v="High Risk"/>
    <x v="0"/>
    <n v="2025"/>
  </r>
  <r>
    <x v="112"/>
    <x v="6"/>
    <x v="2"/>
    <s v="V1418"/>
    <s v="Singapore"/>
    <s v="Hamburg"/>
    <x v="1"/>
    <n v="47.1"/>
    <n v="2927"/>
    <n v="30"/>
    <n v="17.399999999999999"/>
    <x v="2"/>
    <n v="23300.080000000002"/>
    <n v="24754"/>
    <s v="Sato"/>
    <x v="0"/>
    <n v="62.14"/>
    <n v="7.96"/>
    <n v="0.94"/>
    <s v="Delayed"/>
    <s v="Medium"/>
    <s v="High Risk"/>
    <x v="0"/>
    <n v="2025"/>
  </r>
  <r>
    <x v="256"/>
    <x v="35"/>
    <x v="7"/>
    <s v="V1419"/>
    <s v="Chennai"/>
    <s v="Colombo"/>
    <x v="1"/>
    <n v="70"/>
    <n v="1262"/>
    <n v="100"/>
    <n v="21.8"/>
    <x v="3"/>
    <n v="48680.85"/>
    <n v="22798"/>
    <s v="Michael"/>
    <x v="1"/>
    <n v="18.03"/>
    <n v="38.57"/>
    <n v="2.14"/>
    <s v="On Time"/>
    <s v="High"/>
    <s v="Low Risk"/>
    <x v="7"/>
    <n v="2025"/>
  </r>
  <r>
    <x v="116"/>
    <x v="30"/>
    <x v="1"/>
    <s v="V1420"/>
    <s v="Hamburg"/>
    <s v="Rotterdam"/>
    <x v="2"/>
    <n v="66.5"/>
    <n v="3016"/>
    <n v="66"/>
    <n v="14.5"/>
    <x v="0"/>
    <n v="30061.96"/>
    <n v="5240"/>
    <s v="David"/>
    <x v="0"/>
    <n v="45.35"/>
    <n v="9.9700000000000006"/>
    <n v="5.74"/>
    <s v="Delayed"/>
    <s v="High"/>
    <s v="Medium Risk"/>
    <x v="8"/>
    <n v="2025"/>
  </r>
  <r>
    <x v="224"/>
    <x v="40"/>
    <x v="1"/>
    <s v="V1421"/>
    <s v="Dubai"/>
    <s v="Chennai"/>
    <x v="2"/>
    <n v="35"/>
    <n v="4777"/>
    <n v="119"/>
    <n v="12.8"/>
    <x v="2"/>
    <n v="20488.62"/>
    <n v="20904"/>
    <s v="Michael"/>
    <x v="0"/>
    <n v="136.49"/>
    <n v="4.29"/>
    <n v="0.98"/>
    <s v="Delayed"/>
    <s v="Low"/>
    <s v="High Risk"/>
    <x v="2"/>
    <n v="2025"/>
  </r>
  <r>
    <x v="257"/>
    <x v="57"/>
    <x v="0"/>
    <s v="V1422"/>
    <s v="Mumbai"/>
    <s v="Hamburg"/>
    <x v="1"/>
    <n v="76"/>
    <n v="1154"/>
    <n v="21"/>
    <n v="18.5"/>
    <x v="1"/>
    <n v="48761.02"/>
    <n v="21523"/>
    <s v="Michael"/>
    <x v="0"/>
    <n v="15.18"/>
    <n v="42.25"/>
    <n v="2.27"/>
    <s v="Delayed"/>
    <s v="High"/>
    <s v="Low Risk"/>
    <x v="3"/>
    <n v="2025"/>
  </r>
  <r>
    <x v="258"/>
    <x v="3"/>
    <x v="3"/>
    <s v="V1423"/>
    <s v="Dubai"/>
    <s v="Busan"/>
    <x v="1"/>
    <n v="49.6"/>
    <n v="1480"/>
    <n v="56"/>
    <n v="17.399999999999999"/>
    <x v="1"/>
    <n v="24170"/>
    <n v="24207"/>
    <s v="Sato"/>
    <x v="0"/>
    <n v="29.84"/>
    <n v="16.329999999999998"/>
    <n v="1"/>
    <s v="Delayed"/>
    <s v="Medium"/>
    <s v="Low Risk"/>
    <x v="1"/>
    <n v="2025"/>
  </r>
  <r>
    <x v="128"/>
    <x v="9"/>
    <x v="5"/>
    <s v="V1424"/>
    <s v="Mumbai"/>
    <s v="Singapore"/>
    <x v="0"/>
    <n v="79.7"/>
    <n v="1056"/>
    <n v="76"/>
    <n v="16.399999999999999"/>
    <x v="2"/>
    <n v="45728.88"/>
    <n v="15717"/>
    <s v="Rahul"/>
    <x v="0"/>
    <n v="13.25"/>
    <n v="43.3"/>
    <n v="2.91"/>
    <s v="Delayed"/>
    <s v="High"/>
    <s v="High Risk"/>
    <x v="9"/>
    <n v="2025"/>
  </r>
  <r>
    <x v="196"/>
    <x v="79"/>
    <x v="0"/>
    <s v="V1425"/>
    <s v="Mumbai"/>
    <s v="Colombo"/>
    <x v="2"/>
    <n v="47.7"/>
    <n v="4413"/>
    <n v="30"/>
    <n v="16.5"/>
    <x v="2"/>
    <n v="28436.46"/>
    <n v="12942"/>
    <s v="Sato"/>
    <x v="0"/>
    <n v="92.52"/>
    <n v="6.44"/>
    <n v="2.2000000000000002"/>
    <s v="Delayed"/>
    <s v="Medium"/>
    <s v="High Risk"/>
    <x v="1"/>
    <n v="2025"/>
  </r>
  <r>
    <x v="259"/>
    <x v="11"/>
    <x v="0"/>
    <s v="V1426"/>
    <s v="Colombo"/>
    <s v="Busan"/>
    <x v="1"/>
    <n v="36.1"/>
    <n v="2307"/>
    <n v="38"/>
    <n v="11.8"/>
    <x v="1"/>
    <n v="17700.39"/>
    <n v="27469"/>
    <s v="Rahul"/>
    <x v="0"/>
    <n v="63.91"/>
    <n v="7.67"/>
    <n v="0.64"/>
    <s v="Delayed"/>
    <s v="Low"/>
    <s v="Low Risk"/>
    <x v="3"/>
    <n v="2025"/>
  </r>
  <r>
    <x v="260"/>
    <x v="16"/>
    <x v="1"/>
    <s v="V1427"/>
    <s v="Colombo"/>
    <s v="Singapore"/>
    <x v="0"/>
    <n v="43.1"/>
    <n v="3279"/>
    <n v="67"/>
    <n v="15.3"/>
    <x v="2"/>
    <n v="20515.11"/>
    <n v="26026"/>
    <s v="Rahul"/>
    <x v="0"/>
    <n v="76.08"/>
    <n v="6.26"/>
    <n v="0.79"/>
    <s v="Delayed"/>
    <s v="Medium"/>
    <s v="High Risk"/>
    <x v="4"/>
    <n v="2025"/>
  </r>
  <r>
    <x v="116"/>
    <x v="17"/>
    <x v="0"/>
    <s v="V1428"/>
    <s v="Colombo"/>
    <s v="Hamburg"/>
    <x v="0"/>
    <n v="57.2"/>
    <n v="982"/>
    <n v="72"/>
    <n v="19.7"/>
    <x v="0"/>
    <n v="34320.620000000003"/>
    <n v="19130"/>
    <s v="Chen"/>
    <x v="0"/>
    <n v="17.170000000000002"/>
    <n v="34.950000000000003"/>
    <n v="1.79"/>
    <s v="Delayed"/>
    <s v="Medium"/>
    <s v="Medium Risk"/>
    <x v="8"/>
    <n v="2025"/>
  </r>
  <r>
    <x v="166"/>
    <x v="17"/>
    <x v="7"/>
    <s v="V1429"/>
    <s v="Hamburg"/>
    <s v="Chennai"/>
    <x v="0"/>
    <n v="48.1"/>
    <n v="2617"/>
    <n v="61"/>
    <n v="13.1"/>
    <x v="1"/>
    <n v="24843.35"/>
    <n v="24531"/>
    <s v="Chen"/>
    <x v="0"/>
    <n v="54.41"/>
    <n v="9.49"/>
    <n v="1.01"/>
    <s v="Delayed"/>
    <s v="Medium"/>
    <s v="Low Risk"/>
    <x v="5"/>
    <n v="2025"/>
  </r>
  <r>
    <x v="78"/>
    <x v="33"/>
    <x v="1"/>
    <s v="V1430"/>
    <s v="Busan"/>
    <s v="Colombo"/>
    <x v="2"/>
    <n v="52.9"/>
    <n v="4868"/>
    <n v="44"/>
    <n v="19.8"/>
    <x v="2"/>
    <n v="32853.839999999997"/>
    <n v="20053"/>
    <s v="Sato"/>
    <x v="0"/>
    <n v="92.02"/>
    <n v="6.75"/>
    <n v="1.64"/>
    <s v="Delayed"/>
    <s v="Medium"/>
    <s v="High Risk"/>
    <x v="3"/>
    <n v="2025"/>
  </r>
  <r>
    <x v="108"/>
    <x v="64"/>
    <x v="2"/>
    <s v="V1431"/>
    <s v="Busan"/>
    <s v="Dubai"/>
    <x v="0"/>
    <n v="44.2"/>
    <n v="1145"/>
    <n v="55"/>
    <n v="14.9"/>
    <x v="0"/>
    <n v="30433.25"/>
    <n v="8425"/>
    <s v="Rahul"/>
    <x v="0"/>
    <n v="25.9"/>
    <n v="26.58"/>
    <n v="3.61"/>
    <s v="Delayed"/>
    <s v="Medium"/>
    <s v="Medium Risk"/>
    <x v="4"/>
    <n v="2025"/>
  </r>
  <r>
    <x v="106"/>
    <x v="45"/>
    <x v="5"/>
    <s v="V1432"/>
    <s v="Hamburg"/>
    <s v="Chennai"/>
    <x v="3"/>
    <n v="26.6"/>
    <n v="4948"/>
    <n v="112"/>
    <n v="18.5"/>
    <x v="0"/>
    <n v="13983.85"/>
    <n v="7404"/>
    <s v="Rahul"/>
    <x v="0"/>
    <n v="186.02"/>
    <n v="2.83"/>
    <n v="1.89"/>
    <s v="Delayed"/>
    <s v="Low"/>
    <s v="Medium Risk"/>
    <x v="4"/>
    <n v="2025"/>
  </r>
  <r>
    <x v="261"/>
    <x v="72"/>
    <x v="6"/>
    <s v="V1433"/>
    <s v="Chennai"/>
    <s v="Singapore"/>
    <x v="1"/>
    <n v="37"/>
    <n v="1535"/>
    <n v="43"/>
    <n v="11.7"/>
    <x v="2"/>
    <n v="17041.66"/>
    <n v="13467"/>
    <s v="Arun"/>
    <x v="0"/>
    <n v="41.49"/>
    <n v="11.1"/>
    <n v="1.27"/>
    <s v="Delayed"/>
    <s v="Low"/>
    <s v="High Risk"/>
    <x v="11"/>
    <n v="2025"/>
  </r>
  <r>
    <x v="262"/>
    <x v="66"/>
    <x v="7"/>
    <s v="V1434"/>
    <s v="Chennai"/>
    <s v="Colombo"/>
    <x v="2"/>
    <n v="23.3"/>
    <n v="2940"/>
    <n v="66"/>
    <n v="12.4"/>
    <x v="3"/>
    <n v="10612.58"/>
    <n v="20673"/>
    <s v="Rahul"/>
    <x v="1"/>
    <n v="126.18"/>
    <n v="3.61"/>
    <n v="0.51"/>
    <s v="On Time"/>
    <s v="Low"/>
    <s v="Low Risk"/>
    <x v="6"/>
    <n v="2025"/>
  </r>
  <r>
    <x v="263"/>
    <x v="73"/>
    <x v="1"/>
    <s v="V1435"/>
    <s v="Hamburg"/>
    <s v="Rotterdam"/>
    <x v="2"/>
    <n v="37.200000000000003"/>
    <n v="1935"/>
    <n v="117"/>
    <n v="11.5"/>
    <x v="0"/>
    <n v="20263.63"/>
    <n v="21322"/>
    <s v="John"/>
    <x v="0"/>
    <n v="52.02"/>
    <n v="10.47"/>
    <n v="0.95"/>
    <s v="Delayed"/>
    <s v="Low"/>
    <s v="Medium Risk"/>
    <x v="10"/>
    <n v="2025"/>
  </r>
  <r>
    <x v="17"/>
    <x v="60"/>
    <x v="3"/>
    <s v="V1436"/>
    <s v="Dubai"/>
    <s v="Chennai"/>
    <x v="0"/>
    <n v="25.2"/>
    <n v="2957"/>
    <n v="35"/>
    <n v="12.8"/>
    <x v="0"/>
    <n v="12847.75"/>
    <n v="10956"/>
    <s v="Chen"/>
    <x v="0"/>
    <n v="117.34"/>
    <n v="4.34"/>
    <n v="1.17"/>
    <s v="Delayed"/>
    <s v="Low"/>
    <s v="Medium Risk"/>
    <x v="9"/>
    <n v="2025"/>
  </r>
  <r>
    <x v="181"/>
    <x v="33"/>
    <x v="7"/>
    <s v="V1437"/>
    <s v="Chennai"/>
    <s v="Hamburg"/>
    <x v="0"/>
    <n v="54.4"/>
    <n v="831"/>
    <n v="43"/>
    <n v="16.100000000000001"/>
    <x v="2"/>
    <n v="33889.31"/>
    <n v="27697"/>
    <s v="David"/>
    <x v="0"/>
    <n v="15.28"/>
    <n v="40.78"/>
    <n v="1.22"/>
    <s v="Delayed"/>
    <s v="Medium"/>
    <s v="High Risk"/>
    <x v="7"/>
    <n v="2025"/>
  </r>
  <r>
    <x v="101"/>
    <x v="61"/>
    <x v="4"/>
    <s v="V1438"/>
    <s v="Rotterdam"/>
    <s v="Mumbai"/>
    <x v="2"/>
    <n v="35.6"/>
    <n v="4366"/>
    <n v="51"/>
    <n v="15.6"/>
    <x v="3"/>
    <n v="20482.98"/>
    <n v="9191"/>
    <s v="Ahmed"/>
    <x v="1"/>
    <n v="122.64"/>
    <n v="4.6900000000000004"/>
    <n v="2.23"/>
    <s v="On Time"/>
    <s v="Low"/>
    <s v="Low Risk"/>
    <x v="6"/>
    <n v="2025"/>
  </r>
  <r>
    <x v="64"/>
    <x v="1"/>
    <x v="1"/>
    <s v="V1439"/>
    <s v="Singapore"/>
    <s v="Mumbai"/>
    <x v="0"/>
    <n v="39.4"/>
    <n v="1238"/>
    <n v="26"/>
    <n v="19.3"/>
    <x v="2"/>
    <n v="20140.72"/>
    <n v="9236"/>
    <s v="Michael"/>
    <x v="0"/>
    <n v="31.42"/>
    <n v="16.27"/>
    <n v="2.1800000000000002"/>
    <s v="Delayed"/>
    <s v="Low"/>
    <s v="High Risk"/>
    <x v="4"/>
    <n v="2025"/>
  </r>
  <r>
    <x v="68"/>
    <x v="44"/>
    <x v="4"/>
    <s v="V1440"/>
    <s v="Colombo"/>
    <s v="Chennai"/>
    <x v="3"/>
    <n v="30.3"/>
    <n v="2229"/>
    <n v="33"/>
    <n v="16.100000000000001"/>
    <x v="1"/>
    <n v="16224.66"/>
    <n v="21042"/>
    <s v="John"/>
    <x v="0"/>
    <n v="73.56"/>
    <n v="7.28"/>
    <n v="0.77"/>
    <s v="Delayed"/>
    <s v="Low"/>
    <s v="Low Risk"/>
    <x v="10"/>
    <n v="2025"/>
  </r>
  <r>
    <x v="71"/>
    <x v="60"/>
    <x v="2"/>
    <s v="V1441"/>
    <s v="Colombo"/>
    <s v="Hamburg"/>
    <x v="1"/>
    <n v="75.400000000000006"/>
    <n v="3966"/>
    <n v="115"/>
    <n v="19.2"/>
    <x v="3"/>
    <n v="52045.62"/>
    <n v="20790"/>
    <s v="Michael"/>
    <x v="1"/>
    <n v="52.6"/>
    <n v="13.12"/>
    <n v="2.5"/>
    <s v="On Time"/>
    <s v="High"/>
    <s v="Low Risk"/>
    <x v="9"/>
    <n v="2025"/>
  </r>
  <r>
    <x v="6"/>
    <x v="64"/>
    <x v="1"/>
    <s v="V1442"/>
    <s v="Rotterdam"/>
    <s v="Mumbai"/>
    <x v="1"/>
    <n v="38.200000000000003"/>
    <n v="1248"/>
    <n v="79"/>
    <n v="11"/>
    <x v="2"/>
    <n v="18614.63"/>
    <n v="29317"/>
    <s v="David"/>
    <x v="0"/>
    <n v="32.67"/>
    <n v="14.92"/>
    <n v="0.63"/>
    <s v="Delayed"/>
    <s v="Low"/>
    <s v="High Risk"/>
    <x v="2"/>
    <n v="2025"/>
  </r>
  <r>
    <x v="264"/>
    <x v="40"/>
    <x v="7"/>
    <s v="V1443"/>
    <s v="Chennai"/>
    <s v="Busan"/>
    <x v="1"/>
    <n v="68.2"/>
    <n v="514"/>
    <n v="66"/>
    <n v="13.9"/>
    <x v="0"/>
    <n v="35348.480000000003"/>
    <n v="11722"/>
    <s v="Chen"/>
    <x v="0"/>
    <n v="7.54"/>
    <n v="68.77"/>
    <n v="3.02"/>
    <s v="Delayed"/>
    <s v="High"/>
    <s v="Medium Risk"/>
    <x v="5"/>
    <n v="2025"/>
  </r>
  <r>
    <x v="265"/>
    <x v="67"/>
    <x v="1"/>
    <s v="V1444"/>
    <s v="Rotterdam"/>
    <s v="Dubai"/>
    <x v="2"/>
    <n v="46.2"/>
    <n v="2839"/>
    <n v="70"/>
    <n v="20.6"/>
    <x v="2"/>
    <n v="25198.959999999999"/>
    <n v="19496"/>
    <s v="Chen"/>
    <x v="0"/>
    <n v="61.45"/>
    <n v="8.8800000000000008"/>
    <n v="1.29"/>
    <s v="Delayed"/>
    <s v="Medium"/>
    <s v="High Risk"/>
    <x v="4"/>
    <n v="2025"/>
  </r>
  <r>
    <x v="165"/>
    <x v="45"/>
    <x v="5"/>
    <s v="V1445"/>
    <s v="Hamburg"/>
    <s v="Rotterdam"/>
    <x v="0"/>
    <n v="42.7"/>
    <n v="1862"/>
    <n v="96"/>
    <n v="11.9"/>
    <x v="2"/>
    <n v="23447.4"/>
    <n v="11455"/>
    <s v="Arun"/>
    <x v="0"/>
    <n v="43.61"/>
    <n v="12.59"/>
    <n v="2.0499999999999998"/>
    <s v="Delayed"/>
    <s v="Medium"/>
    <s v="High Risk"/>
    <x v="5"/>
    <n v="2025"/>
  </r>
  <r>
    <x v="266"/>
    <x v="22"/>
    <x v="5"/>
    <s v="V1446"/>
    <s v="Busan"/>
    <s v="Dubai"/>
    <x v="1"/>
    <n v="47.8"/>
    <n v="2144"/>
    <n v="76"/>
    <n v="20.399999999999999"/>
    <x v="0"/>
    <n v="32629.85"/>
    <n v="14215"/>
    <s v="David"/>
    <x v="0"/>
    <n v="44.85"/>
    <n v="15.22"/>
    <n v="2.2999999999999998"/>
    <s v="Delayed"/>
    <s v="Medium"/>
    <s v="Medium Risk"/>
    <x v="8"/>
    <n v="2025"/>
  </r>
  <r>
    <x v="191"/>
    <x v="64"/>
    <x v="4"/>
    <s v="V1447"/>
    <s v="Dubai"/>
    <s v="Rotterdam"/>
    <x v="2"/>
    <n v="73.2"/>
    <n v="4179"/>
    <n v="93"/>
    <n v="18.100000000000001"/>
    <x v="1"/>
    <n v="45567.98"/>
    <n v="17834"/>
    <s v="John"/>
    <x v="0"/>
    <n v="57.09"/>
    <n v="10.9"/>
    <n v="2.56"/>
    <s v="Delayed"/>
    <s v="High"/>
    <s v="Low Risk"/>
    <x v="9"/>
    <n v="2025"/>
  </r>
  <r>
    <x v="14"/>
    <x v="65"/>
    <x v="7"/>
    <s v="V1448"/>
    <s v="Rotterdam"/>
    <s v="Singapore"/>
    <x v="2"/>
    <n v="75.400000000000006"/>
    <n v="4361"/>
    <n v="85"/>
    <n v="20.5"/>
    <x v="0"/>
    <n v="50105.67"/>
    <n v="15464"/>
    <s v="Ahmed"/>
    <x v="0"/>
    <n v="57.84"/>
    <n v="11.49"/>
    <n v="3.24"/>
    <s v="Delayed"/>
    <s v="High"/>
    <s v="Medium Risk"/>
    <x v="0"/>
    <n v="2025"/>
  </r>
  <r>
    <x v="267"/>
    <x v="66"/>
    <x v="0"/>
    <s v="V1449"/>
    <s v="Rotterdam"/>
    <s v="Colombo"/>
    <x v="0"/>
    <n v="62.8"/>
    <n v="1487"/>
    <n v="46"/>
    <n v="17.5"/>
    <x v="1"/>
    <n v="38609.64"/>
    <n v="7381"/>
    <s v="Chen"/>
    <x v="0"/>
    <n v="23.68"/>
    <n v="25.96"/>
    <n v="5.23"/>
    <s v="Delayed"/>
    <s v="High"/>
    <s v="Low Risk"/>
    <x v="3"/>
    <n v="2025"/>
  </r>
  <r>
    <x v="138"/>
    <x v="49"/>
    <x v="6"/>
    <s v="V1450"/>
    <s v="Busan"/>
    <s v="Mumbai"/>
    <x v="0"/>
    <n v="68.400000000000006"/>
    <n v="3967"/>
    <n v="57"/>
    <n v="16.7"/>
    <x v="1"/>
    <n v="39718.230000000003"/>
    <n v="27518"/>
    <s v="Sato"/>
    <x v="0"/>
    <n v="58"/>
    <n v="10.01"/>
    <n v="1.44"/>
    <s v="Delayed"/>
    <s v="High"/>
    <s v="Low Risk"/>
    <x v="4"/>
    <n v="2025"/>
  </r>
  <r>
    <x v="268"/>
    <x v="47"/>
    <x v="5"/>
    <s v="V1451"/>
    <s v="Mumbai"/>
    <s v="Chennai"/>
    <x v="3"/>
    <n v="75.5"/>
    <n v="4476"/>
    <n v="91"/>
    <n v="11.5"/>
    <x v="0"/>
    <n v="38502.32"/>
    <n v="16514"/>
    <s v="Arun"/>
    <x v="0"/>
    <n v="59.28"/>
    <n v="8.6"/>
    <n v="2.33"/>
    <s v="Delayed"/>
    <s v="High"/>
    <s v="Medium Risk"/>
    <x v="4"/>
    <n v="2025"/>
  </r>
  <r>
    <x v="131"/>
    <x v="50"/>
    <x v="4"/>
    <s v="V1452"/>
    <s v="Colombo"/>
    <s v="Singapore"/>
    <x v="0"/>
    <n v="24"/>
    <n v="4791"/>
    <n v="67"/>
    <n v="10.199999999999999"/>
    <x v="1"/>
    <n v="12411.23"/>
    <n v="10445"/>
    <s v="Ahmed"/>
    <x v="0"/>
    <n v="199.63"/>
    <n v="2.59"/>
    <n v="1.19"/>
    <s v="Delayed"/>
    <s v="Low"/>
    <s v="Low Risk"/>
    <x v="11"/>
    <n v="2025"/>
  </r>
  <r>
    <x v="264"/>
    <x v="10"/>
    <x v="3"/>
    <s v="V1453"/>
    <s v="Colombo"/>
    <s v="Chennai"/>
    <x v="0"/>
    <n v="61"/>
    <n v="803"/>
    <n v="20"/>
    <n v="19"/>
    <x v="3"/>
    <n v="37745.379999999997"/>
    <n v="28065"/>
    <s v="Arun"/>
    <x v="1"/>
    <n v="13.16"/>
    <n v="47.01"/>
    <n v="1.34"/>
    <s v="On Time"/>
    <s v="High"/>
    <s v="Low Risk"/>
    <x v="5"/>
    <n v="2025"/>
  </r>
  <r>
    <x v="155"/>
    <x v="66"/>
    <x v="4"/>
    <s v="V1454"/>
    <s v="Rotterdam"/>
    <s v="Busan"/>
    <x v="1"/>
    <n v="45.6"/>
    <n v="1214"/>
    <n v="87"/>
    <n v="19.5"/>
    <x v="3"/>
    <n v="20580.71"/>
    <n v="13239"/>
    <s v="Arun"/>
    <x v="1"/>
    <n v="26.62"/>
    <n v="16.95"/>
    <n v="1.55"/>
    <s v="On Time"/>
    <s v="Medium"/>
    <s v="Low Risk"/>
    <x v="0"/>
    <n v="2025"/>
  </r>
  <r>
    <x v="269"/>
    <x v="27"/>
    <x v="1"/>
    <s v="V1455"/>
    <s v="Rotterdam"/>
    <s v="Colombo"/>
    <x v="1"/>
    <n v="51.6"/>
    <n v="1334"/>
    <n v="30"/>
    <n v="17.7"/>
    <x v="2"/>
    <n v="27342.19"/>
    <n v="5681"/>
    <s v="Chen"/>
    <x v="0"/>
    <n v="25.85"/>
    <n v="20.5"/>
    <n v="4.8099999999999996"/>
    <s v="Delayed"/>
    <s v="Medium"/>
    <s v="High Risk"/>
    <x v="9"/>
    <n v="2025"/>
  </r>
  <r>
    <x v="256"/>
    <x v="56"/>
    <x v="3"/>
    <s v="V1456"/>
    <s v="Singapore"/>
    <s v="Busan"/>
    <x v="3"/>
    <n v="66.099999999999994"/>
    <n v="1718"/>
    <n v="111"/>
    <n v="21.1"/>
    <x v="0"/>
    <n v="37437.78"/>
    <n v="13490"/>
    <s v="Ahmed"/>
    <x v="0"/>
    <n v="25.99"/>
    <n v="21.79"/>
    <n v="2.78"/>
    <s v="Delayed"/>
    <s v="High"/>
    <s v="Medium Risk"/>
    <x v="7"/>
    <n v="2025"/>
  </r>
  <r>
    <x v="270"/>
    <x v="38"/>
    <x v="0"/>
    <s v="V1457"/>
    <s v="Hamburg"/>
    <s v="Dubai"/>
    <x v="2"/>
    <n v="22.5"/>
    <n v="1429"/>
    <n v="45"/>
    <n v="18.2"/>
    <x v="3"/>
    <n v="11213.37"/>
    <n v="28320"/>
    <s v="Arun"/>
    <x v="1"/>
    <n v="63.51"/>
    <n v="7.85"/>
    <n v="0.4"/>
    <s v="On Time"/>
    <s v="Low"/>
    <s v="Low Risk"/>
    <x v="1"/>
    <n v="2025"/>
  </r>
  <r>
    <x v="271"/>
    <x v="28"/>
    <x v="1"/>
    <s v="V1458"/>
    <s v="Colombo"/>
    <s v="Mumbai"/>
    <x v="0"/>
    <n v="79"/>
    <n v="4430"/>
    <n v="20"/>
    <n v="14.5"/>
    <x v="3"/>
    <n v="42362.81"/>
    <n v="5097"/>
    <s v="Michael"/>
    <x v="1"/>
    <n v="56.08"/>
    <n v="9.56"/>
    <n v="8.31"/>
    <s v="On Time"/>
    <s v="High"/>
    <s v="Low Risk"/>
    <x v="8"/>
    <n v="2025"/>
  </r>
  <r>
    <x v="253"/>
    <x v="59"/>
    <x v="0"/>
    <s v="V1459"/>
    <s v="Chennai"/>
    <s v="Dubai"/>
    <x v="0"/>
    <n v="55.2"/>
    <n v="3502"/>
    <n v="21"/>
    <n v="10.199999999999999"/>
    <x v="1"/>
    <n v="38257.08"/>
    <n v="15882"/>
    <s v="Ahmed"/>
    <x v="0"/>
    <n v="63.44"/>
    <n v="10.92"/>
    <n v="2.41"/>
    <s v="Delayed"/>
    <s v="Medium"/>
    <s v="Low Risk"/>
    <x v="7"/>
    <n v="2025"/>
  </r>
  <r>
    <x v="68"/>
    <x v="48"/>
    <x v="1"/>
    <s v="V1460"/>
    <s v="Dubai"/>
    <s v="Rotterdam"/>
    <x v="2"/>
    <n v="23.3"/>
    <n v="4738"/>
    <n v="80"/>
    <n v="18.3"/>
    <x v="0"/>
    <n v="13981.74"/>
    <n v="27625"/>
    <s v="Arun"/>
    <x v="0"/>
    <n v="203.35"/>
    <n v="2.95"/>
    <n v="0.51"/>
    <s v="Delayed"/>
    <s v="Low"/>
    <s v="Medium Risk"/>
    <x v="10"/>
    <n v="2025"/>
  </r>
  <r>
    <x v="158"/>
    <x v="75"/>
    <x v="1"/>
    <s v="V1461"/>
    <s v="Rotterdam"/>
    <s v="Dubai"/>
    <x v="2"/>
    <n v="79.7"/>
    <n v="1425"/>
    <n v="62"/>
    <n v="10.3"/>
    <x v="3"/>
    <n v="42648.29"/>
    <n v="10144"/>
    <s v="Chen"/>
    <x v="1"/>
    <n v="17.88"/>
    <n v="29.93"/>
    <n v="4.2"/>
    <s v="On Time"/>
    <s v="High"/>
    <s v="Low Risk"/>
    <x v="7"/>
    <n v="2025"/>
  </r>
  <r>
    <x v="272"/>
    <x v="0"/>
    <x v="2"/>
    <s v="V1462"/>
    <s v="Rotterdam"/>
    <s v="Singapore"/>
    <x v="2"/>
    <n v="68.3"/>
    <n v="2526"/>
    <n v="63"/>
    <n v="15.2"/>
    <x v="1"/>
    <n v="42641.49"/>
    <n v="25169"/>
    <s v="Sato"/>
    <x v="0"/>
    <n v="36.979999999999997"/>
    <n v="16.88"/>
    <n v="1.69"/>
    <s v="Delayed"/>
    <s v="High"/>
    <s v="Low Risk"/>
    <x v="8"/>
    <n v="2025"/>
  </r>
  <r>
    <x v="41"/>
    <x v="26"/>
    <x v="6"/>
    <s v="V1463"/>
    <s v="Colombo"/>
    <s v="Mumbai"/>
    <x v="3"/>
    <n v="28.6"/>
    <n v="3347"/>
    <n v="57"/>
    <n v="13.8"/>
    <x v="3"/>
    <n v="17380.96"/>
    <n v="11819"/>
    <s v="Michael"/>
    <x v="1"/>
    <n v="117.03"/>
    <n v="5.19"/>
    <n v="1.47"/>
    <s v="On Time"/>
    <s v="Low"/>
    <s v="Low Risk"/>
    <x v="7"/>
    <n v="2025"/>
  </r>
  <r>
    <x v="273"/>
    <x v="59"/>
    <x v="7"/>
    <s v="V1464"/>
    <s v="Chennai"/>
    <s v="Colombo"/>
    <x v="2"/>
    <n v="71.5"/>
    <n v="1827"/>
    <n v="46"/>
    <n v="13.6"/>
    <x v="3"/>
    <n v="42161.65"/>
    <n v="24840"/>
    <s v="Arun"/>
    <x v="1"/>
    <n v="25.55"/>
    <n v="23.08"/>
    <n v="1.7"/>
    <s v="On Time"/>
    <s v="High"/>
    <s v="Low Risk"/>
    <x v="4"/>
    <n v="2025"/>
  </r>
  <r>
    <x v="274"/>
    <x v="28"/>
    <x v="6"/>
    <s v="V1465"/>
    <s v="Singapore"/>
    <s v="Hamburg"/>
    <x v="1"/>
    <n v="73.900000000000006"/>
    <n v="2309"/>
    <n v="81"/>
    <n v="16.5"/>
    <x v="0"/>
    <n v="46981.47"/>
    <n v="19787"/>
    <s v="John"/>
    <x v="0"/>
    <n v="31.24"/>
    <n v="20.350000000000001"/>
    <n v="2.37"/>
    <s v="Delayed"/>
    <s v="High"/>
    <s v="Medium Risk"/>
    <x v="4"/>
    <n v="2025"/>
  </r>
  <r>
    <x v="108"/>
    <x v="9"/>
    <x v="6"/>
    <s v="V1466"/>
    <s v="Chennai"/>
    <s v="Busan"/>
    <x v="2"/>
    <n v="44.2"/>
    <n v="821"/>
    <n v="74"/>
    <n v="21.3"/>
    <x v="2"/>
    <n v="30421.17"/>
    <n v="6228"/>
    <s v="Chen"/>
    <x v="0"/>
    <n v="18.57"/>
    <n v="37.049999999999997"/>
    <n v="4.88"/>
    <s v="Delayed"/>
    <s v="Medium"/>
    <s v="High Risk"/>
    <x v="4"/>
    <n v="2025"/>
  </r>
  <r>
    <x v="111"/>
    <x v="7"/>
    <x v="5"/>
    <s v="V1467"/>
    <s v="Chennai"/>
    <s v="Singapore"/>
    <x v="1"/>
    <n v="21"/>
    <n v="3427"/>
    <n v="35"/>
    <n v="20.7"/>
    <x v="1"/>
    <n v="11220.84"/>
    <n v="11489"/>
    <s v="Sato"/>
    <x v="0"/>
    <n v="163.19"/>
    <n v="3.27"/>
    <n v="0.98"/>
    <s v="Delayed"/>
    <s v="Low"/>
    <s v="Low Risk"/>
    <x v="7"/>
    <n v="2025"/>
  </r>
  <r>
    <x v="258"/>
    <x v="62"/>
    <x v="2"/>
    <s v="V1468"/>
    <s v="Dubai"/>
    <s v="Colombo"/>
    <x v="2"/>
    <n v="73.3"/>
    <n v="3977"/>
    <n v="68"/>
    <n v="15.4"/>
    <x v="2"/>
    <n v="51119.14"/>
    <n v="26993"/>
    <s v="Chen"/>
    <x v="0"/>
    <n v="54.26"/>
    <n v="12.85"/>
    <n v="1.89"/>
    <s v="Delayed"/>
    <s v="High"/>
    <s v="High Risk"/>
    <x v="1"/>
    <n v="2025"/>
  </r>
  <r>
    <x v="275"/>
    <x v="21"/>
    <x v="5"/>
    <s v="V1469"/>
    <s v="Busan"/>
    <s v="Rotterdam"/>
    <x v="0"/>
    <n v="67.900000000000006"/>
    <n v="2836"/>
    <n v="30"/>
    <n v="18"/>
    <x v="1"/>
    <n v="40476.49"/>
    <n v="29454"/>
    <s v="Sato"/>
    <x v="0"/>
    <n v="41.77"/>
    <n v="14.27"/>
    <n v="1.37"/>
    <s v="Delayed"/>
    <s v="High"/>
    <s v="Low Risk"/>
    <x v="11"/>
    <n v="2025"/>
  </r>
  <r>
    <x v="169"/>
    <x v="32"/>
    <x v="4"/>
    <s v="V1470"/>
    <s v="Dubai"/>
    <s v="Rotterdam"/>
    <x v="2"/>
    <n v="39.799999999999997"/>
    <n v="1179"/>
    <n v="100"/>
    <n v="15.9"/>
    <x v="3"/>
    <n v="21257.86"/>
    <n v="13958"/>
    <s v="Arun"/>
    <x v="1"/>
    <n v="29.62"/>
    <n v="18.03"/>
    <n v="1.52"/>
    <s v="On Time"/>
    <s v="Low"/>
    <s v="Low Risk"/>
    <x v="11"/>
    <n v="2025"/>
  </r>
  <r>
    <x v="56"/>
    <x v="44"/>
    <x v="0"/>
    <s v="V1471"/>
    <s v="Hamburg"/>
    <s v="Mumbai"/>
    <x v="3"/>
    <n v="70"/>
    <n v="2312"/>
    <n v="37"/>
    <n v="16.899999999999999"/>
    <x v="0"/>
    <n v="33456.29"/>
    <n v="29288"/>
    <s v="Sato"/>
    <x v="0"/>
    <n v="33.03"/>
    <n v="14.47"/>
    <n v="1.1399999999999999"/>
    <s v="Delayed"/>
    <s v="High"/>
    <s v="Medium Risk"/>
    <x v="0"/>
    <n v="2025"/>
  </r>
  <r>
    <x v="276"/>
    <x v="16"/>
    <x v="7"/>
    <s v="V1472"/>
    <s v="Busan"/>
    <s v="Chennai"/>
    <x v="3"/>
    <n v="31.5"/>
    <n v="3250"/>
    <n v="20"/>
    <n v="15.9"/>
    <x v="1"/>
    <n v="15181.75"/>
    <n v="6307"/>
    <s v="Rahul"/>
    <x v="0"/>
    <n v="103.17"/>
    <n v="4.67"/>
    <n v="2.41"/>
    <s v="Delayed"/>
    <s v="Low"/>
    <s v="Low Risk"/>
    <x v="7"/>
    <n v="2025"/>
  </r>
  <r>
    <x v="277"/>
    <x v="8"/>
    <x v="6"/>
    <s v="V1473"/>
    <s v="Rotterdam"/>
    <s v="Chennai"/>
    <x v="1"/>
    <n v="64.8"/>
    <n v="2302"/>
    <n v="33"/>
    <n v="19.8"/>
    <x v="3"/>
    <n v="32014.639999999999"/>
    <n v="15677"/>
    <s v="David"/>
    <x v="1"/>
    <n v="35.520000000000003"/>
    <n v="13.91"/>
    <n v="2.04"/>
    <s v="On Time"/>
    <s v="High"/>
    <s v="Low Risk"/>
    <x v="4"/>
    <n v="2025"/>
  </r>
  <r>
    <x v="119"/>
    <x v="53"/>
    <x v="4"/>
    <s v="V1474"/>
    <s v="Hamburg"/>
    <s v="Colombo"/>
    <x v="2"/>
    <n v="62.3"/>
    <n v="3061"/>
    <n v="115"/>
    <n v="15.6"/>
    <x v="3"/>
    <n v="34292.01"/>
    <n v="13292"/>
    <s v="Arun"/>
    <x v="1"/>
    <n v="49.13"/>
    <n v="11.2"/>
    <n v="2.58"/>
    <s v="On Time"/>
    <s v="High"/>
    <s v="Low Risk"/>
    <x v="9"/>
    <n v="2025"/>
  </r>
  <r>
    <x v="206"/>
    <x v="41"/>
    <x v="4"/>
    <s v="V1475"/>
    <s v="Rotterdam"/>
    <s v="Colombo"/>
    <x v="2"/>
    <n v="38.6"/>
    <n v="1544"/>
    <n v="39"/>
    <n v="15.5"/>
    <x v="2"/>
    <n v="19442.919999999998"/>
    <n v="21224"/>
    <s v="John"/>
    <x v="0"/>
    <n v="40"/>
    <n v="12.59"/>
    <n v="0.92"/>
    <s v="Delayed"/>
    <s v="Low"/>
    <s v="High Risk"/>
    <x v="7"/>
    <n v="2025"/>
  </r>
  <r>
    <x v="199"/>
    <x v="73"/>
    <x v="4"/>
    <s v="V1476"/>
    <s v="Colombo"/>
    <s v="Rotterdam"/>
    <x v="1"/>
    <n v="42.8"/>
    <n v="1401"/>
    <n v="82"/>
    <n v="21.6"/>
    <x v="1"/>
    <n v="25617.42"/>
    <n v="24449"/>
    <s v="David"/>
    <x v="0"/>
    <n v="32.729999999999997"/>
    <n v="18.29"/>
    <n v="1.05"/>
    <s v="Delayed"/>
    <s v="Medium"/>
    <s v="Low Risk"/>
    <x v="10"/>
    <n v="2025"/>
  </r>
  <r>
    <x v="278"/>
    <x v="15"/>
    <x v="7"/>
    <s v="V1477"/>
    <s v="Chennai"/>
    <s v="Busan"/>
    <x v="1"/>
    <n v="69.8"/>
    <n v="3773"/>
    <n v="54"/>
    <n v="15.9"/>
    <x v="0"/>
    <n v="45369.38"/>
    <n v="28398"/>
    <s v="Michael"/>
    <x v="0"/>
    <n v="54.05"/>
    <n v="12.02"/>
    <n v="1.6"/>
    <s v="Delayed"/>
    <s v="High"/>
    <s v="Medium Risk"/>
    <x v="9"/>
    <n v="2025"/>
  </r>
  <r>
    <x v="123"/>
    <x v="22"/>
    <x v="6"/>
    <s v="V1478"/>
    <s v="Chennai"/>
    <s v="Mumbai"/>
    <x v="2"/>
    <n v="64.400000000000006"/>
    <n v="4794"/>
    <n v="49"/>
    <n v="18.399999999999999"/>
    <x v="0"/>
    <n v="36290.18"/>
    <n v="9890"/>
    <s v="Chen"/>
    <x v="0"/>
    <n v="74.44"/>
    <n v="7.57"/>
    <n v="3.67"/>
    <s v="Delayed"/>
    <s v="High"/>
    <s v="Medium Risk"/>
    <x v="3"/>
    <n v="2025"/>
  </r>
  <r>
    <x v="186"/>
    <x v="50"/>
    <x v="4"/>
    <s v="V1479"/>
    <s v="Chennai"/>
    <s v="Busan"/>
    <x v="1"/>
    <n v="75.099999999999994"/>
    <n v="1371"/>
    <n v="103"/>
    <n v="19.3"/>
    <x v="2"/>
    <n v="34460.120000000003"/>
    <n v="6425"/>
    <s v="Sato"/>
    <x v="0"/>
    <n v="18.260000000000002"/>
    <n v="25.14"/>
    <n v="5.36"/>
    <s v="Delayed"/>
    <s v="High"/>
    <s v="High Risk"/>
    <x v="5"/>
    <n v="2025"/>
  </r>
  <r>
    <x v="139"/>
    <x v="55"/>
    <x v="3"/>
    <s v="V1480"/>
    <s v="Dubai"/>
    <s v="Busan"/>
    <x v="2"/>
    <n v="70.3"/>
    <n v="2499"/>
    <n v="92"/>
    <n v="12"/>
    <x v="3"/>
    <n v="48314.79"/>
    <n v="19416"/>
    <s v="Ahmed"/>
    <x v="1"/>
    <n v="35.549999999999997"/>
    <n v="19.329999999999998"/>
    <n v="2.4900000000000002"/>
    <s v="On Time"/>
    <s v="High"/>
    <s v="Low Risk"/>
    <x v="1"/>
    <n v="2025"/>
  </r>
  <r>
    <x v="231"/>
    <x v="42"/>
    <x v="6"/>
    <s v="V1481"/>
    <s v="Dubai"/>
    <s v="Busan"/>
    <x v="1"/>
    <n v="75.3"/>
    <n v="3828"/>
    <n v="94"/>
    <n v="12.8"/>
    <x v="3"/>
    <n v="35314.839999999997"/>
    <n v="12888"/>
    <s v="John"/>
    <x v="1"/>
    <n v="50.84"/>
    <n v="9.23"/>
    <n v="2.74"/>
    <s v="On Time"/>
    <s v="High"/>
    <s v="Low Risk"/>
    <x v="2"/>
    <n v="2025"/>
  </r>
  <r>
    <x v="8"/>
    <x v="39"/>
    <x v="6"/>
    <s v="V1482"/>
    <s v="Rotterdam"/>
    <s v="Colombo"/>
    <x v="3"/>
    <n v="67"/>
    <n v="2539"/>
    <n v="40"/>
    <n v="20.399999999999999"/>
    <x v="2"/>
    <n v="44717.279999999999"/>
    <n v="16058"/>
    <s v="Sato"/>
    <x v="0"/>
    <n v="37.9"/>
    <n v="17.61"/>
    <n v="2.78"/>
    <s v="Delayed"/>
    <s v="High"/>
    <s v="High Risk"/>
    <x v="5"/>
    <n v="2025"/>
  </r>
  <r>
    <x v="65"/>
    <x v="56"/>
    <x v="5"/>
    <s v="V1483"/>
    <s v="Colombo"/>
    <s v="Chennai"/>
    <x v="0"/>
    <n v="62.8"/>
    <n v="2158"/>
    <n v="65"/>
    <n v="21.2"/>
    <x v="2"/>
    <n v="42302.239999999998"/>
    <n v="11023"/>
    <s v="Arun"/>
    <x v="0"/>
    <n v="34.36"/>
    <n v="19.600000000000001"/>
    <n v="3.84"/>
    <s v="Delayed"/>
    <s v="High"/>
    <s v="High Risk"/>
    <x v="3"/>
    <n v="2025"/>
  </r>
  <r>
    <x v="279"/>
    <x v="57"/>
    <x v="7"/>
    <s v="V1484"/>
    <s v="Mumbai"/>
    <s v="Chennai"/>
    <x v="1"/>
    <n v="73.8"/>
    <n v="2354"/>
    <n v="118"/>
    <n v="21.5"/>
    <x v="3"/>
    <n v="45980.75"/>
    <n v="13096"/>
    <s v="John"/>
    <x v="1"/>
    <n v="31.9"/>
    <n v="19.53"/>
    <n v="3.51"/>
    <s v="On Time"/>
    <s v="High"/>
    <s v="Low Risk"/>
    <x v="5"/>
    <n v="2025"/>
  </r>
  <r>
    <x v="255"/>
    <x v="76"/>
    <x v="3"/>
    <s v="V1485"/>
    <s v="Busan"/>
    <s v="Dubai"/>
    <x v="3"/>
    <n v="40.200000000000003"/>
    <n v="2720"/>
    <n v="67"/>
    <n v="11.4"/>
    <x v="3"/>
    <n v="25474.86"/>
    <n v="9787"/>
    <s v="Sato"/>
    <x v="1"/>
    <n v="67.66"/>
    <n v="9.3699999999999992"/>
    <n v="2.6"/>
    <s v="On Time"/>
    <s v="Medium"/>
    <s v="Low Risk"/>
    <x v="2"/>
    <n v="2025"/>
  </r>
  <r>
    <x v="200"/>
    <x v="16"/>
    <x v="0"/>
    <s v="V1486"/>
    <s v="Mumbai"/>
    <s v="Colombo"/>
    <x v="2"/>
    <n v="34.799999999999997"/>
    <n v="1118"/>
    <n v="93"/>
    <n v="19.100000000000001"/>
    <x v="2"/>
    <n v="21845.63"/>
    <n v="20511"/>
    <s v="Chen"/>
    <x v="0"/>
    <n v="32.130000000000003"/>
    <n v="19.54"/>
    <n v="1.07"/>
    <s v="Delayed"/>
    <s v="Low"/>
    <s v="High Risk"/>
    <x v="10"/>
    <n v="2025"/>
  </r>
  <r>
    <x v="30"/>
    <x v="0"/>
    <x v="0"/>
    <s v="V1487"/>
    <s v="Singapore"/>
    <s v="Busan"/>
    <x v="1"/>
    <n v="24.1"/>
    <n v="1119"/>
    <n v="74"/>
    <n v="19.3"/>
    <x v="2"/>
    <n v="16231.49"/>
    <n v="7182"/>
    <s v="Sato"/>
    <x v="0"/>
    <n v="46.43"/>
    <n v="14.51"/>
    <n v="2.2599999999999998"/>
    <s v="Delayed"/>
    <s v="Low"/>
    <s v="High Risk"/>
    <x v="2"/>
    <n v="2025"/>
  </r>
  <r>
    <x v="143"/>
    <x v="40"/>
    <x v="1"/>
    <s v="V1488"/>
    <s v="Rotterdam"/>
    <s v="Singapore"/>
    <x v="0"/>
    <n v="60.3"/>
    <n v="610"/>
    <n v="51"/>
    <n v="15"/>
    <x v="0"/>
    <n v="28977.73"/>
    <n v="6432"/>
    <s v="Arun"/>
    <x v="0"/>
    <n v="10.119999999999999"/>
    <n v="47.5"/>
    <n v="4.51"/>
    <s v="Delayed"/>
    <s v="High"/>
    <s v="Medium Risk"/>
    <x v="4"/>
    <n v="2025"/>
  </r>
  <r>
    <x v="40"/>
    <x v="63"/>
    <x v="7"/>
    <s v="V1489"/>
    <s v="Mumbai"/>
    <s v="Rotterdam"/>
    <x v="2"/>
    <n v="33.700000000000003"/>
    <n v="1789"/>
    <n v="37"/>
    <n v="21.7"/>
    <x v="0"/>
    <n v="23105.24"/>
    <n v="22228"/>
    <s v="Ahmed"/>
    <x v="0"/>
    <n v="53.09"/>
    <n v="12.92"/>
    <n v="1.04"/>
    <s v="Delayed"/>
    <s v="Low"/>
    <s v="Medium Risk"/>
    <x v="0"/>
    <n v="2025"/>
  </r>
  <r>
    <x v="280"/>
    <x v="58"/>
    <x v="7"/>
    <s v="V1490"/>
    <s v="Hamburg"/>
    <s v="Colombo"/>
    <x v="0"/>
    <n v="73.7"/>
    <n v="2035"/>
    <n v="47"/>
    <n v="20.3"/>
    <x v="3"/>
    <n v="43583.360000000001"/>
    <n v="10658"/>
    <s v="Chen"/>
    <x v="1"/>
    <n v="27.61"/>
    <n v="21.42"/>
    <n v="4.09"/>
    <s v="On Time"/>
    <s v="High"/>
    <s v="Low Risk"/>
    <x v="0"/>
    <n v="2025"/>
  </r>
  <r>
    <x v="281"/>
    <x v="27"/>
    <x v="5"/>
    <s v="V1491"/>
    <s v="Dubai"/>
    <s v="Mumbai"/>
    <x v="1"/>
    <n v="77.7"/>
    <n v="2064"/>
    <n v="41"/>
    <n v="15.3"/>
    <x v="1"/>
    <n v="54372.33"/>
    <n v="24246"/>
    <s v="Ahmed"/>
    <x v="0"/>
    <n v="26.56"/>
    <n v="26.34"/>
    <n v="2.2400000000000002"/>
    <s v="Delayed"/>
    <s v="High"/>
    <s v="Low Risk"/>
    <x v="10"/>
    <n v="2025"/>
  </r>
  <r>
    <x v="282"/>
    <x v="24"/>
    <x v="1"/>
    <s v="V1492"/>
    <s v="Dubai"/>
    <s v="Chennai"/>
    <x v="1"/>
    <n v="42"/>
    <n v="1803"/>
    <n v="22"/>
    <n v="17.100000000000001"/>
    <x v="3"/>
    <n v="24646.09"/>
    <n v="16251"/>
    <s v="Chen"/>
    <x v="1"/>
    <n v="42.93"/>
    <n v="13.67"/>
    <n v="1.52"/>
    <s v="On Time"/>
    <s v="Medium"/>
    <s v="Low Risk"/>
    <x v="2"/>
    <n v="2025"/>
  </r>
  <r>
    <x v="257"/>
    <x v="20"/>
    <x v="6"/>
    <s v="V1493"/>
    <s v="Singapore"/>
    <s v="Colombo"/>
    <x v="2"/>
    <n v="44.9"/>
    <n v="2062"/>
    <n v="94"/>
    <n v="13.6"/>
    <x v="1"/>
    <n v="30521.93"/>
    <n v="25484"/>
    <s v="David"/>
    <x v="0"/>
    <n v="45.92"/>
    <n v="14.8"/>
    <n v="1.2"/>
    <s v="Delayed"/>
    <s v="Medium"/>
    <s v="Low Risk"/>
    <x v="3"/>
    <n v="2025"/>
  </r>
  <r>
    <x v="253"/>
    <x v="9"/>
    <x v="1"/>
    <s v="V1494"/>
    <s v="Colombo"/>
    <s v="Chennai"/>
    <x v="0"/>
    <n v="49.9"/>
    <n v="2224"/>
    <n v="87"/>
    <n v="17.600000000000001"/>
    <x v="2"/>
    <n v="28261.360000000001"/>
    <n v="10216"/>
    <s v="Arun"/>
    <x v="0"/>
    <n v="44.57"/>
    <n v="12.71"/>
    <n v="2.77"/>
    <s v="Delayed"/>
    <s v="Medium"/>
    <s v="High Risk"/>
    <x v="7"/>
    <n v="2025"/>
  </r>
  <r>
    <x v="109"/>
    <x v="41"/>
    <x v="1"/>
    <s v="V1495"/>
    <s v="Mumbai"/>
    <s v="Colombo"/>
    <x v="2"/>
    <n v="20.5"/>
    <n v="2210"/>
    <n v="87"/>
    <n v="13.6"/>
    <x v="3"/>
    <n v="11401.76"/>
    <n v="19903"/>
    <s v="John"/>
    <x v="1"/>
    <n v="107.8"/>
    <n v="5.16"/>
    <n v="0.56999999999999995"/>
    <s v="On Time"/>
    <s v="Low"/>
    <s v="Low Risk"/>
    <x v="5"/>
    <n v="2025"/>
  </r>
  <r>
    <x v="270"/>
    <x v="68"/>
    <x v="1"/>
    <s v="V1496"/>
    <s v="Dubai"/>
    <s v="Mumbai"/>
    <x v="1"/>
    <n v="70.099999999999994"/>
    <n v="883"/>
    <n v="109"/>
    <n v="13.2"/>
    <x v="0"/>
    <n v="44677.89"/>
    <n v="27778"/>
    <s v="Chen"/>
    <x v="0"/>
    <n v="12.6"/>
    <n v="50.6"/>
    <n v="1.61"/>
    <s v="Delayed"/>
    <s v="High"/>
    <s v="Medium Risk"/>
    <x v="1"/>
    <n v="2025"/>
  </r>
  <r>
    <x v="80"/>
    <x v="42"/>
    <x v="6"/>
    <s v="V1497"/>
    <s v="Busan"/>
    <s v="Hamburg"/>
    <x v="0"/>
    <n v="56.2"/>
    <n v="2493"/>
    <n v="112"/>
    <n v="16.5"/>
    <x v="2"/>
    <n v="37563.89"/>
    <n v="28579"/>
    <s v="David"/>
    <x v="0"/>
    <n v="44.36"/>
    <n v="15.07"/>
    <n v="1.31"/>
    <s v="Delayed"/>
    <s v="Medium"/>
    <s v="High Risk"/>
    <x v="6"/>
    <n v="2025"/>
  </r>
  <r>
    <x v="230"/>
    <x v="30"/>
    <x v="5"/>
    <s v="V1498"/>
    <s v="Dubai"/>
    <s v="Hamburg"/>
    <x v="0"/>
    <n v="26.7"/>
    <n v="4185"/>
    <n v="76"/>
    <n v="10.4"/>
    <x v="3"/>
    <n v="12055.41"/>
    <n v="28093"/>
    <s v="Ahmed"/>
    <x v="1"/>
    <n v="156.74"/>
    <n v="2.88"/>
    <n v="0.43"/>
    <s v="On Time"/>
    <s v="Low"/>
    <s v="Low Risk"/>
    <x v="6"/>
    <n v="2025"/>
  </r>
  <r>
    <x v="211"/>
    <x v="41"/>
    <x v="0"/>
    <s v="V1499"/>
    <s v="Chennai"/>
    <s v="Hamburg"/>
    <x v="3"/>
    <n v="23.5"/>
    <n v="4879"/>
    <n v="103"/>
    <n v="18.5"/>
    <x v="1"/>
    <n v="13626.11"/>
    <n v="9325"/>
    <s v="Chen"/>
    <x v="0"/>
    <n v="207.62"/>
    <n v="2.79"/>
    <n v="1.46"/>
    <s v="Delayed"/>
    <s v="Low"/>
    <s v="Low Risk"/>
    <x v="8"/>
    <n v="2025"/>
  </r>
  <r>
    <x v="166"/>
    <x v="14"/>
    <x v="5"/>
    <s v="V1500"/>
    <s v="Colombo"/>
    <s v="Mumbai"/>
    <x v="0"/>
    <n v="49.7"/>
    <n v="3501"/>
    <n v="107"/>
    <n v="10.5"/>
    <x v="0"/>
    <n v="25884.97"/>
    <n v="25822"/>
    <s v="Rahul"/>
    <x v="0"/>
    <n v="70.44"/>
    <n v="7.39"/>
    <n v="1"/>
    <s v="Delayed"/>
    <s v="Medium"/>
    <s v="Medium Risk"/>
    <x v="5"/>
    <n v="2025"/>
  </r>
  <r>
    <x v="22"/>
    <x v="43"/>
    <x v="7"/>
    <s v="V1501"/>
    <s v="Mumbai"/>
    <s v="Dubai"/>
    <x v="1"/>
    <n v="48"/>
    <n v="3249"/>
    <n v="44"/>
    <n v="17.600000000000001"/>
    <x v="2"/>
    <n v="23166.42"/>
    <n v="11990"/>
    <s v="Arun"/>
    <x v="0"/>
    <n v="67.69"/>
    <n v="7.13"/>
    <n v="1.93"/>
    <s v="Delayed"/>
    <s v="Medium"/>
    <s v="High Risk"/>
    <x v="0"/>
    <n v="2025"/>
  </r>
  <r>
    <x v="283"/>
    <x v="22"/>
    <x v="6"/>
    <s v="V1502"/>
    <s v="Singapore"/>
    <s v="Colombo"/>
    <x v="3"/>
    <n v="38.1"/>
    <n v="3907"/>
    <n v="106"/>
    <n v="14.5"/>
    <x v="0"/>
    <n v="20126.03"/>
    <n v="20961"/>
    <s v="Sato"/>
    <x v="0"/>
    <n v="102.55"/>
    <n v="5.15"/>
    <n v="0.96"/>
    <s v="Delayed"/>
    <s v="Low"/>
    <s v="Medium Risk"/>
    <x v="11"/>
    <n v="2025"/>
  </r>
  <r>
    <x v="284"/>
    <x v="66"/>
    <x v="2"/>
    <s v="V1503"/>
    <s v="Busan"/>
    <s v="Singapore"/>
    <x v="2"/>
    <n v="51.3"/>
    <n v="4477"/>
    <n v="50"/>
    <n v="10.199999999999999"/>
    <x v="2"/>
    <n v="27607.79"/>
    <n v="16890"/>
    <s v="Ahmed"/>
    <x v="0"/>
    <n v="87.27"/>
    <n v="6.17"/>
    <n v="1.63"/>
    <s v="Delayed"/>
    <s v="Medium"/>
    <s v="High Risk"/>
    <x v="9"/>
    <n v="2025"/>
  </r>
  <r>
    <x v="285"/>
    <x v="70"/>
    <x v="7"/>
    <s v="V1504"/>
    <s v="Colombo"/>
    <s v="Chennai"/>
    <x v="1"/>
    <n v="64.3"/>
    <n v="4515"/>
    <n v="87"/>
    <n v="13"/>
    <x v="0"/>
    <n v="36770.14"/>
    <n v="16466"/>
    <s v="Sato"/>
    <x v="0"/>
    <n v="70.22"/>
    <n v="8.14"/>
    <n v="2.23"/>
    <s v="Delayed"/>
    <s v="High"/>
    <s v="Medium Risk"/>
    <x v="4"/>
    <n v="2025"/>
  </r>
  <r>
    <x v="112"/>
    <x v="78"/>
    <x v="7"/>
    <s v="V1505"/>
    <s v="Busan"/>
    <s v="Hamburg"/>
    <x v="2"/>
    <n v="63.2"/>
    <n v="1567"/>
    <n v="118"/>
    <n v="16.5"/>
    <x v="3"/>
    <n v="36235.85"/>
    <n v="17039"/>
    <s v="Michael"/>
    <x v="1"/>
    <n v="24.79"/>
    <n v="23.12"/>
    <n v="2.13"/>
    <s v="On Time"/>
    <s v="High"/>
    <s v="Low Risk"/>
    <x v="0"/>
    <n v="2025"/>
  </r>
  <r>
    <x v="116"/>
    <x v="40"/>
    <x v="3"/>
    <s v="V1506"/>
    <s v="Colombo"/>
    <s v="Chennai"/>
    <x v="3"/>
    <n v="56"/>
    <n v="4603"/>
    <n v="56"/>
    <n v="10.6"/>
    <x v="2"/>
    <n v="38436.25"/>
    <n v="8207"/>
    <s v="Michael"/>
    <x v="0"/>
    <n v="82.2"/>
    <n v="8.35"/>
    <n v="4.68"/>
    <s v="Delayed"/>
    <s v="Medium"/>
    <s v="High Risk"/>
    <x v="8"/>
    <n v="2025"/>
  </r>
  <r>
    <x v="232"/>
    <x v="5"/>
    <x v="4"/>
    <s v="V1507"/>
    <s v="Dubai"/>
    <s v="Hamburg"/>
    <x v="0"/>
    <n v="44.9"/>
    <n v="904"/>
    <n v="23"/>
    <n v="12.1"/>
    <x v="0"/>
    <n v="26837.66"/>
    <n v="6766"/>
    <s v="Rahul"/>
    <x v="0"/>
    <n v="20.13"/>
    <n v="29.69"/>
    <n v="3.97"/>
    <s v="Delayed"/>
    <s v="Medium"/>
    <s v="Medium Risk"/>
    <x v="10"/>
    <n v="2025"/>
  </r>
  <r>
    <x v="286"/>
    <x v="40"/>
    <x v="3"/>
    <s v="V1508"/>
    <s v="Rotterdam"/>
    <s v="Hamburg"/>
    <x v="1"/>
    <n v="23.5"/>
    <n v="3294"/>
    <n v="92"/>
    <n v="20.3"/>
    <x v="0"/>
    <n v="13214.65"/>
    <n v="12697"/>
    <s v="Sato"/>
    <x v="0"/>
    <n v="140.16999999999999"/>
    <n v="4.01"/>
    <n v="1.04"/>
    <s v="Delayed"/>
    <s v="Low"/>
    <s v="Medium Risk"/>
    <x v="0"/>
    <n v="2025"/>
  </r>
  <r>
    <x v="248"/>
    <x v="19"/>
    <x v="2"/>
    <s v="V1509"/>
    <s v="Hamburg"/>
    <s v="Colombo"/>
    <x v="1"/>
    <n v="20.8"/>
    <n v="4022"/>
    <n v="31"/>
    <n v="15.3"/>
    <x v="3"/>
    <n v="11927"/>
    <n v="24297"/>
    <s v="David"/>
    <x v="1"/>
    <n v="193.37"/>
    <n v="2.97"/>
    <n v="0.49"/>
    <s v="On Time"/>
    <s v="Low"/>
    <s v="Low Risk"/>
    <x v="7"/>
    <n v="2025"/>
  </r>
  <r>
    <x v="287"/>
    <x v="70"/>
    <x v="2"/>
    <s v="V1510"/>
    <s v="Busan"/>
    <s v="Mumbai"/>
    <x v="3"/>
    <n v="31.7"/>
    <n v="1540"/>
    <n v="73"/>
    <n v="15.7"/>
    <x v="2"/>
    <n v="21637.15"/>
    <n v="8404"/>
    <s v="Chen"/>
    <x v="0"/>
    <n v="48.58"/>
    <n v="14.05"/>
    <n v="2.57"/>
    <s v="Delayed"/>
    <s v="Low"/>
    <s v="High Risk"/>
    <x v="7"/>
    <n v="2025"/>
  </r>
  <r>
    <x v="288"/>
    <x v="46"/>
    <x v="3"/>
    <s v="V1511"/>
    <s v="Mumbai"/>
    <s v="Busan"/>
    <x v="0"/>
    <n v="36.1"/>
    <n v="3980"/>
    <n v="44"/>
    <n v="14.4"/>
    <x v="3"/>
    <n v="20953.939999999999"/>
    <n v="13053"/>
    <s v="Ahmed"/>
    <x v="1"/>
    <n v="110.25"/>
    <n v="5.26"/>
    <n v="1.61"/>
    <s v="On Time"/>
    <s v="Low"/>
    <s v="Low Risk"/>
    <x v="9"/>
    <n v="2025"/>
  </r>
  <r>
    <x v="67"/>
    <x v="29"/>
    <x v="3"/>
    <s v="V1512"/>
    <s v="Dubai"/>
    <s v="Colombo"/>
    <x v="0"/>
    <n v="56.5"/>
    <n v="1123"/>
    <n v="66"/>
    <n v="10.7"/>
    <x v="3"/>
    <n v="36093.589999999997"/>
    <n v="12694"/>
    <s v="Sato"/>
    <x v="1"/>
    <n v="19.88"/>
    <n v="32.14"/>
    <n v="2.84"/>
    <s v="On Time"/>
    <s v="Medium"/>
    <s v="Low Risk"/>
    <x v="2"/>
    <n v="2025"/>
  </r>
  <r>
    <x v="258"/>
    <x v="62"/>
    <x v="1"/>
    <s v="V1513"/>
    <s v="Singapore"/>
    <s v="Rotterdam"/>
    <x v="2"/>
    <n v="35.6"/>
    <n v="1099"/>
    <n v="24"/>
    <n v="14.2"/>
    <x v="0"/>
    <n v="24822.12"/>
    <n v="7979"/>
    <s v="Ahmed"/>
    <x v="0"/>
    <n v="30.87"/>
    <n v="22.59"/>
    <n v="3.11"/>
    <s v="Delayed"/>
    <s v="Low"/>
    <s v="Medium Risk"/>
    <x v="1"/>
    <n v="2025"/>
  </r>
  <r>
    <x v="289"/>
    <x v="67"/>
    <x v="3"/>
    <s v="V1514"/>
    <s v="Rotterdam"/>
    <s v="Chennai"/>
    <x v="3"/>
    <n v="47.5"/>
    <n v="4267"/>
    <n v="42"/>
    <n v="14.9"/>
    <x v="0"/>
    <n v="28299.84"/>
    <n v="28923"/>
    <s v="David"/>
    <x v="0"/>
    <n v="89.83"/>
    <n v="6.63"/>
    <n v="0.98"/>
    <s v="Delayed"/>
    <s v="Medium"/>
    <s v="Medium Risk"/>
    <x v="5"/>
    <n v="2025"/>
  </r>
  <r>
    <x v="110"/>
    <x v="23"/>
    <x v="4"/>
    <s v="V1515"/>
    <s v="Dubai"/>
    <s v="Rotterdam"/>
    <x v="3"/>
    <n v="27.6"/>
    <n v="2902"/>
    <n v="88"/>
    <n v="12.9"/>
    <x v="3"/>
    <n v="17648.27"/>
    <n v="17174"/>
    <s v="Sato"/>
    <x v="1"/>
    <n v="105.14"/>
    <n v="6.08"/>
    <n v="1.03"/>
    <s v="On Time"/>
    <s v="Low"/>
    <s v="Low Risk"/>
    <x v="11"/>
    <n v="2025"/>
  </r>
  <r>
    <x v="119"/>
    <x v="49"/>
    <x v="1"/>
    <s v="V1516"/>
    <s v="Busan"/>
    <s v="Rotterdam"/>
    <x v="3"/>
    <n v="62.2"/>
    <n v="4126"/>
    <n v="27"/>
    <n v="10.7"/>
    <x v="2"/>
    <n v="31142.49"/>
    <n v="25259"/>
    <s v="Sato"/>
    <x v="0"/>
    <n v="66.33"/>
    <n v="7.55"/>
    <n v="1.23"/>
    <s v="Delayed"/>
    <s v="High"/>
    <s v="High Risk"/>
    <x v="9"/>
    <n v="2025"/>
  </r>
  <r>
    <x v="84"/>
    <x v="70"/>
    <x v="6"/>
    <s v="V1517"/>
    <s v="Mumbai"/>
    <s v="Singapore"/>
    <x v="0"/>
    <n v="40.799999999999997"/>
    <n v="3007"/>
    <n v="97"/>
    <n v="11.4"/>
    <x v="3"/>
    <n v="22986.37"/>
    <n v="21363"/>
    <s v="Chen"/>
    <x v="1"/>
    <n v="73.7"/>
    <n v="7.64"/>
    <n v="1.08"/>
    <s v="On Time"/>
    <s v="Medium"/>
    <s v="Low Risk"/>
    <x v="9"/>
    <n v="2025"/>
  </r>
  <r>
    <x v="290"/>
    <x v="3"/>
    <x v="1"/>
    <s v="V1518"/>
    <s v="Mumbai"/>
    <s v="Rotterdam"/>
    <x v="0"/>
    <n v="28.6"/>
    <n v="1015"/>
    <n v="101"/>
    <n v="14.9"/>
    <x v="2"/>
    <n v="19958.05"/>
    <n v="8915"/>
    <s v="Rahul"/>
    <x v="0"/>
    <n v="35.49"/>
    <n v="19.66"/>
    <n v="2.2400000000000002"/>
    <s v="Delayed"/>
    <s v="Low"/>
    <s v="High Risk"/>
    <x v="0"/>
    <n v="2025"/>
  </r>
  <r>
    <x v="74"/>
    <x v="44"/>
    <x v="1"/>
    <s v="V1519"/>
    <s v="Dubai"/>
    <s v="Singapore"/>
    <x v="1"/>
    <n v="61.1"/>
    <n v="3152"/>
    <n v="69"/>
    <n v="18.100000000000001"/>
    <x v="3"/>
    <n v="38138.42"/>
    <n v="21007"/>
    <s v="Sato"/>
    <x v="1"/>
    <n v="51.59"/>
    <n v="12.1"/>
    <n v="1.82"/>
    <s v="On Time"/>
    <s v="High"/>
    <s v="Low Risk"/>
    <x v="6"/>
    <n v="2025"/>
  </r>
  <r>
    <x v="57"/>
    <x v="59"/>
    <x v="0"/>
    <s v="V1520"/>
    <s v="Colombo"/>
    <s v="Hamburg"/>
    <x v="0"/>
    <n v="25.4"/>
    <n v="611"/>
    <n v="26"/>
    <n v="18.100000000000001"/>
    <x v="2"/>
    <n v="14811.61"/>
    <n v="22749"/>
    <s v="David"/>
    <x v="0"/>
    <n v="24.06"/>
    <n v="24.24"/>
    <n v="0.65"/>
    <s v="Delayed"/>
    <s v="Low"/>
    <s v="High Risk"/>
    <x v="8"/>
    <n v="2025"/>
  </r>
  <r>
    <x v="264"/>
    <x v="13"/>
    <x v="2"/>
    <s v="V1521"/>
    <s v="Chennai"/>
    <s v="Rotterdam"/>
    <x v="3"/>
    <n v="25.7"/>
    <n v="3021"/>
    <n v="45"/>
    <n v="11.3"/>
    <x v="3"/>
    <n v="14673.84"/>
    <n v="13024"/>
    <s v="Arun"/>
    <x v="1"/>
    <n v="117.55"/>
    <n v="4.8600000000000003"/>
    <n v="1.1299999999999999"/>
    <s v="On Time"/>
    <s v="Low"/>
    <s v="Low Risk"/>
    <x v="5"/>
    <n v="2025"/>
  </r>
  <r>
    <x v="236"/>
    <x v="25"/>
    <x v="1"/>
    <s v="V1522"/>
    <s v="Dubai"/>
    <s v="Busan"/>
    <x v="0"/>
    <n v="32.4"/>
    <n v="4958"/>
    <n v="75"/>
    <n v="11.9"/>
    <x v="3"/>
    <n v="22588.560000000001"/>
    <n v="21640"/>
    <s v="John"/>
    <x v="1"/>
    <n v="153.02000000000001"/>
    <n v="4.5599999999999996"/>
    <n v="1.04"/>
    <s v="On Time"/>
    <s v="Low"/>
    <s v="Low Risk"/>
    <x v="9"/>
    <n v="2025"/>
  </r>
  <r>
    <x v="106"/>
    <x v="10"/>
    <x v="3"/>
    <s v="V1523"/>
    <s v="Chennai"/>
    <s v="Dubai"/>
    <x v="1"/>
    <n v="78.599999999999994"/>
    <n v="941"/>
    <n v="81"/>
    <n v="17.899999999999999"/>
    <x v="0"/>
    <n v="53232.9"/>
    <n v="18304"/>
    <s v="Michael"/>
    <x v="0"/>
    <n v="11.97"/>
    <n v="56.57"/>
    <n v="2.91"/>
    <s v="Delayed"/>
    <s v="High"/>
    <s v="Medium Risk"/>
    <x v="4"/>
    <n v="2025"/>
  </r>
  <r>
    <x v="123"/>
    <x v="30"/>
    <x v="2"/>
    <s v="V1524"/>
    <s v="Chennai"/>
    <s v="Hamburg"/>
    <x v="1"/>
    <n v="36.5"/>
    <n v="4281"/>
    <n v="22"/>
    <n v="17.600000000000001"/>
    <x v="3"/>
    <n v="20777.349999999999"/>
    <n v="20099"/>
    <s v="John"/>
    <x v="1"/>
    <n v="117.29"/>
    <n v="4.8499999999999996"/>
    <n v="1.03"/>
    <s v="On Time"/>
    <s v="Low"/>
    <s v="Low Risk"/>
    <x v="3"/>
    <n v="2025"/>
  </r>
  <r>
    <x v="282"/>
    <x v="16"/>
    <x v="5"/>
    <s v="V1525"/>
    <s v="Hamburg"/>
    <s v="Rotterdam"/>
    <x v="0"/>
    <n v="27.7"/>
    <n v="4988"/>
    <n v="100"/>
    <n v="18.8"/>
    <x v="3"/>
    <n v="12516.3"/>
    <n v="11929"/>
    <s v="Rahul"/>
    <x v="1"/>
    <n v="180.07"/>
    <n v="2.5099999999999998"/>
    <n v="1.05"/>
    <s v="On Time"/>
    <s v="Low"/>
    <s v="Low Risk"/>
    <x v="2"/>
    <n v="2025"/>
  </r>
  <r>
    <x v="15"/>
    <x v="37"/>
    <x v="4"/>
    <s v="V1526"/>
    <s v="Singapore"/>
    <s v="Mumbai"/>
    <x v="2"/>
    <n v="76.7"/>
    <n v="3488"/>
    <n v="42"/>
    <n v="14.1"/>
    <x v="1"/>
    <n v="49777.15"/>
    <n v="12379"/>
    <s v="Chen"/>
    <x v="0"/>
    <n v="45.48"/>
    <n v="14.27"/>
    <n v="4.0199999999999996"/>
    <s v="Delayed"/>
    <s v="High"/>
    <s v="Low Risk"/>
    <x v="1"/>
    <n v="2025"/>
  </r>
  <r>
    <x v="18"/>
    <x v="1"/>
    <x v="5"/>
    <s v="V1527"/>
    <s v="Busan"/>
    <s v="Hamburg"/>
    <x v="3"/>
    <n v="45.7"/>
    <n v="4399"/>
    <n v="63"/>
    <n v="19.399999999999999"/>
    <x v="3"/>
    <n v="29671.599999999999"/>
    <n v="11703"/>
    <s v="Ahmed"/>
    <x v="1"/>
    <n v="96.26"/>
    <n v="6.75"/>
    <n v="2.54"/>
    <s v="On Time"/>
    <s v="Medium"/>
    <s v="Low Risk"/>
    <x v="2"/>
    <n v="2025"/>
  </r>
  <r>
    <x v="268"/>
    <x v="21"/>
    <x v="1"/>
    <s v="V1528"/>
    <s v="Mumbai"/>
    <s v="Rotterdam"/>
    <x v="2"/>
    <n v="50.5"/>
    <n v="4092"/>
    <n v="61"/>
    <n v="16.7"/>
    <x v="3"/>
    <n v="30293.54"/>
    <n v="18689"/>
    <s v="Michael"/>
    <x v="1"/>
    <n v="81.03"/>
    <n v="7.4"/>
    <n v="1.62"/>
    <s v="On Time"/>
    <s v="Medium"/>
    <s v="Low Risk"/>
    <x v="4"/>
    <n v="2025"/>
  </r>
  <r>
    <x v="32"/>
    <x v="19"/>
    <x v="6"/>
    <s v="V1529"/>
    <s v="Busan"/>
    <s v="Colombo"/>
    <x v="3"/>
    <n v="67.5"/>
    <n v="4250"/>
    <n v="72"/>
    <n v="16.899999999999999"/>
    <x v="3"/>
    <n v="46454.36"/>
    <n v="9076"/>
    <s v="Chen"/>
    <x v="1"/>
    <n v="62.96"/>
    <n v="10.93"/>
    <n v="5.12"/>
    <s v="On Time"/>
    <s v="High"/>
    <s v="Low Risk"/>
    <x v="2"/>
    <n v="2025"/>
  </r>
  <r>
    <x v="291"/>
    <x v="77"/>
    <x v="2"/>
    <s v="V1530"/>
    <s v="Singapore"/>
    <s v="Chennai"/>
    <x v="3"/>
    <n v="41.1"/>
    <n v="4373"/>
    <n v="57"/>
    <n v="16.2"/>
    <x v="0"/>
    <n v="21113.34"/>
    <n v="29598"/>
    <s v="Michael"/>
    <x v="0"/>
    <n v="106.4"/>
    <n v="4.83"/>
    <n v="0.71"/>
    <s v="Delayed"/>
    <s v="Medium"/>
    <s v="Medium Risk"/>
    <x v="6"/>
    <n v="2025"/>
  </r>
  <r>
    <x v="229"/>
    <x v="77"/>
    <x v="0"/>
    <s v="V1531"/>
    <s v="Dubai"/>
    <s v="Chennai"/>
    <x v="3"/>
    <n v="78.7"/>
    <n v="4437"/>
    <n v="31"/>
    <n v="11"/>
    <x v="2"/>
    <n v="41449.620000000003"/>
    <n v="26048"/>
    <s v="Rahul"/>
    <x v="0"/>
    <n v="56.38"/>
    <n v="9.34"/>
    <n v="1.59"/>
    <s v="Delayed"/>
    <s v="High"/>
    <s v="High Risk"/>
    <x v="1"/>
    <n v="2025"/>
  </r>
  <r>
    <x v="292"/>
    <x v="67"/>
    <x v="6"/>
    <s v="V1532"/>
    <s v="Mumbai"/>
    <s v="Dubai"/>
    <x v="0"/>
    <n v="73.2"/>
    <n v="2461"/>
    <n v="57"/>
    <n v="15.7"/>
    <x v="0"/>
    <n v="35323.74"/>
    <n v="15316"/>
    <s v="Michael"/>
    <x v="0"/>
    <n v="33.619999999999997"/>
    <n v="14.35"/>
    <n v="2.31"/>
    <s v="Delayed"/>
    <s v="High"/>
    <s v="Medium Risk"/>
    <x v="7"/>
    <n v="2025"/>
  </r>
  <r>
    <x v="293"/>
    <x v="23"/>
    <x v="0"/>
    <s v="V1533"/>
    <s v="Rotterdam"/>
    <s v="Chennai"/>
    <x v="0"/>
    <n v="73"/>
    <n v="565"/>
    <n v="91"/>
    <n v="10.3"/>
    <x v="1"/>
    <n v="34275.79"/>
    <n v="12630"/>
    <s v="Rahul"/>
    <x v="0"/>
    <n v="7.74"/>
    <n v="60.67"/>
    <n v="2.71"/>
    <s v="Delayed"/>
    <s v="High"/>
    <s v="Low Risk"/>
    <x v="3"/>
    <n v="2025"/>
  </r>
  <r>
    <x v="87"/>
    <x v="8"/>
    <x v="7"/>
    <s v="V1534"/>
    <s v="Dubai"/>
    <s v="Chennai"/>
    <x v="1"/>
    <n v="35.1"/>
    <n v="4866"/>
    <n v="100"/>
    <n v="17.7"/>
    <x v="2"/>
    <n v="17942.009999999998"/>
    <n v="27986"/>
    <s v="Rahul"/>
    <x v="0"/>
    <n v="138.63"/>
    <n v="3.69"/>
    <n v="0.64"/>
    <s v="Delayed"/>
    <s v="Low"/>
    <s v="High Risk"/>
    <x v="9"/>
    <n v="2025"/>
  </r>
  <r>
    <x v="129"/>
    <x v="9"/>
    <x v="7"/>
    <s v="V1535"/>
    <s v="Singapore"/>
    <s v="Hamburg"/>
    <x v="1"/>
    <n v="62.8"/>
    <n v="4744"/>
    <n v="58"/>
    <n v="14.5"/>
    <x v="3"/>
    <n v="36871.919999999998"/>
    <n v="16103"/>
    <s v="Rahul"/>
    <x v="1"/>
    <n v="75.540000000000006"/>
    <n v="7.77"/>
    <n v="2.29"/>
    <s v="On Time"/>
    <s v="High"/>
    <s v="Low Risk"/>
    <x v="7"/>
    <n v="2025"/>
  </r>
  <r>
    <x v="178"/>
    <x v="14"/>
    <x v="2"/>
    <s v="V1536"/>
    <s v="Dubai"/>
    <s v="Rotterdam"/>
    <x v="0"/>
    <n v="43.4"/>
    <n v="3423"/>
    <n v="60"/>
    <n v="16.8"/>
    <x v="1"/>
    <n v="29744.94"/>
    <n v="11078"/>
    <s v="John"/>
    <x v="0"/>
    <n v="78.87"/>
    <n v="8.69"/>
    <n v="2.69"/>
    <s v="Delayed"/>
    <s v="Medium"/>
    <s v="Low Risk"/>
    <x v="3"/>
    <n v="2025"/>
  </r>
  <r>
    <x v="253"/>
    <x v="40"/>
    <x v="5"/>
    <s v="V1537"/>
    <s v="Hamburg"/>
    <s v="Colombo"/>
    <x v="1"/>
    <n v="55.4"/>
    <n v="4133"/>
    <n v="119"/>
    <n v="19.399999999999999"/>
    <x v="0"/>
    <n v="32312.11"/>
    <n v="19446"/>
    <s v="Sato"/>
    <x v="0"/>
    <n v="74.599999999999994"/>
    <n v="7.82"/>
    <n v="1.66"/>
    <s v="Delayed"/>
    <s v="Medium"/>
    <s v="Medium Risk"/>
    <x v="7"/>
    <n v="2025"/>
  </r>
  <r>
    <x v="294"/>
    <x v="72"/>
    <x v="0"/>
    <s v="V1538"/>
    <s v="Hamburg"/>
    <s v="Dubai"/>
    <x v="1"/>
    <n v="37.200000000000003"/>
    <n v="4473"/>
    <n v="51"/>
    <n v="16.2"/>
    <x v="1"/>
    <n v="17599.14"/>
    <n v="21508"/>
    <s v="David"/>
    <x v="0"/>
    <n v="120.24"/>
    <n v="3.93"/>
    <n v="0.82"/>
    <s v="Delayed"/>
    <s v="Low"/>
    <s v="Low Risk"/>
    <x v="11"/>
    <n v="2025"/>
  </r>
  <r>
    <x v="207"/>
    <x v="21"/>
    <x v="1"/>
    <s v="V1539"/>
    <s v="Mumbai"/>
    <s v="Chennai"/>
    <x v="1"/>
    <n v="68.599999999999994"/>
    <n v="3802"/>
    <n v="29"/>
    <n v="15.7"/>
    <x v="1"/>
    <n v="34916.54"/>
    <n v="25966"/>
    <s v="Ahmed"/>
    <x v="0"/>
    <n v="55.42"/>
    <n v="9.18"/>
    <n v="1.34"/>
    <s v="Delayed"/>
    <s v="High"/>
    <s v="Low Risk"/>
    <x v="1"/>
    <n v="2025"/>
  </r>
  <r>
    <x v="26"/>
    <x v="36"/>
    <x v="1"/>
    <s v="V1540"/>
    <s v="Mumbai"/>
    <s v="Chennai"/>
    <x v="0"/>
    <n v="58.6"/>
    <n v="3394"/>
    <n v="39"/>
    <n v="10.3"/>
    <x v="2"/>
    <n v="33392.15"/>
    <n v="20551"/>
    <s v="Rahul"/>
    <x v="0"/>
    <n v="57.92"/>
    <n v="9.84"/>
    <n v="1.62"/>
    <s v="Delayed"/>
    <s v="Medium"/>
    <s v="High Risk"/>
    <x v="1"/>
    <n v="2025"/>
  </r>
  <r>
    <x v="290"/>
    <x v="49"/>
    <x v="3"/>
    <s v="V1541"/>
    <s v="Mumbai"/>
    <s v="Hamburg"/>
    <x v="0"/>
    <n v="54.5"/>
    <n v="4382"/>
    <n v="38"/>
    <n v="15.8"/>
    <x v="2"/>
    <n v="33014.800000000003"/>
    <n v="28636"/>
    <s v="Chen"/>
    <x v="0"/>
    <n v="80.400000000000006"/>
    <n v="7.53"/>
    <n v="1.1499999999999999"/>
    <s v="Delayed"/>
    <s v="Medium"/>
    <s v="High Risk"/>
    <x v="0"/>
    <n v="2025"/>
  </r>
  <r>
    <x v="281"/>
    <x v="56"/>
    <x v="4"/>
    <s v="V1542"/>
    <s v="Dubai"/>
    <s v="Busan"/>
    <x v="1"/>
    <n v="26.9"/>
    <n v="585"/>
    <n v="49"/>
    <n v="19"/>
    <x v="1"/>
    <n v="17266.86"/>
    <n v="29377"/>
    <s v="Michael"/>
    <x v="0"/>
    <n v="21.75"/>
    <n v="29.52"/>
    <n v="0.59"/>
    <s v="Delayed"/>
    <s v="Low"/>
    <s v="Low Risk"/>
    <x v="10"/>
    <n v="2025"/>
  </r>
  <r>
    <x v="107"/>
    <x v="1"/>
    <x v="5"/>
    <s v="V1543"/>
    <s v="Colombo"/>
    <s v="Singapore"/>
    <x v="0"/>
    <n v="21.9"/>
    <n v="3133"/>
    <n v="33"/>
    <n v="16.600000000000001"/>
    <x v="3"/>
    <n v="12873.85"/>
    <n v="16223"/>
    <s v="Michael"/>
    <x v="1"/>
    <n v="143.06"/>
    <n v="4.1100000000000003"/>
    <n v="0.79"/>
    <s v="On Time"/>
    <s v="Low"/>
    <s v="Low Risk"/>
    <x v="9"/>
    <n v="2025"/>
  </r>
  <r>
    <x v="183"/>
    <x v="27"/>
    <x v="3"/>
    <s v="V1544"/>
    <s v="Mumbai"/>
    <s v="Chennai"/>
    <x v="2"/>
    <n v="66.5"/>
    <n v="3290"/>
    <n v="118"/>
    <n v="19"/>
    <x v="0"/>
    <n v="40904.879999999997"/>
    <n v="15485"/>
    <s v="John"/>
    <x v="0"/>
    <n v="49.47"/>
    <n v="12.43"/>
    <n v="2.64"/>
    <s v="Delayed"/>
    <s v="High"/>
    <s v="Medium Risk"/>
    <x v="4"/>
    <n v="2025"/>
  </r>
  <r>
    <x v="295"/>
    <x v="43"/>
    <x v="2"/>
    <s v="V1545"/>
    <s v="Busan"/>
    <s v="Colombo"/>
    <x v="0"/>
    <n v="61.3"/>
    <n v="2047"/>
    <n v="94"/>
    <n v="11.2"/>
    <x v="0"/>
    <n v="32910.78"/>
    <n v="19217"/>
    <s v="Chen"/>
    <x v="0"/>
    <n v="33.39"/>
    <n v="16.079999999999998"/>
    <n v="1.71"/>
    <s v="Delayed"/>
    <s v="High"/>
    <s v="Medium Risk"/>
    <x v="8"/>
    <n v="2025"/>
  </r>
  <r>
    <x v="78"/>
    <x v="49"/>
    <x v="3"/>
    <s v="V1546"/>
    <s v="Singapore"/>
    <s v="Mumbai"/>
    <x v="0"/>
    <n v="66.900000000000006"/>
    <n v="2158"/>
    <n v="62"/>
    <n v="20.6"/>
    <x v="3"/>
    <n v="34667.35"/>
    <n v="13235"/>
    <s v="David"/>
    <x v="1"/>
    <n v="32.26"/>
    <n v="16.059999999999999"/>
    <n v="2.62"/>
    <s v="On Time"/>
    <s v="High"/>
    <s v="Low Risk"/>
    <x v="3"/>
    <n v="2025"/>
  </r>
  <r>
    <x v="211"/>
    <x v="72"/>
    <x v="2"/>
    <s v="V1547"/>
    <s v="Chennai"/>
    <s v="Rotterdam"/>
    <x v="2"/>
    <n v="77.8"/>
    <n v="1699"/>
    <n v="80"/>
    <n v="10.9"/>
    <x v="3"/>
    <n v="36532.61"/>
    <n v="13091"/>
    <s v="Rahul"/>
    <x v="1"/>
    <n v="21.84"/>
    <n v="21.5"/>
    <n v="2.79"/>
    <s v="On Time"/>
    <s v="High"/>
    <s v="Low Risk"/>
    <x v="8"/>
    <n v="2025"/>
  </r>
  <r>
    <x v="97"/>
    <x v="3"/>
    <x v="7"/>
    <s v="V1548"/>
    <s v="Busan"/>
    <s v="Chennai"/>
    <x v="1"/>
    <n v="35.700000000000003"/>
    <n v="2202"/>
    <n v="56"/>
    <n v="16.3"/>
    <x v="3"/>
    <n v="20210.78"/>
    <n v="9939"/>
    <s v="Ahmed"/>
    <x v="1"/>
    <n v="61.68"/>
    <n v="9.18"/>
    <n v="2.0299999999999998"/>
    <s v="On Time"/>
    <s v="Low"/>
    <s v="Low Risk"/>
    <x v="4"/>
    <n v="2025"/>
  </r>
  <r>
    <x v="35"/>
    <x v="53"/>
    <x v="6"/>
    <s v="V1549"/>
    <s v="Dubai"/>
    <s v="Colombo"/>
    <x v="1"/>
    <n v="66.400000000000006"/>
    <n v="3948"/>
    <n v="80"/>
    <n v="17.3"/>
    <x v="3"/>
    <n v="41387"/>
    <n v="15467"/>
    <s v="Rahul"/>
    <x v="1"/>
    <n v="59.46"/>
    <n v="10.48"/>
    <n v="2.68"/>
    <s v="On Time"/>
    <s v="High"/>
    <s v="Low Risk"/>
    <x v="3"/>
    <n v="2025"/>
  </r>
  <r>
    <x v="296"/>
    <x v="75"/>
    <x v="4"/>
    <s v="V1550"/>
    <s v="Rotterdam"/>
    <s v="Colombo"/>
    <x v="1"/>
    <n v="44.7"/>
    <n v="4589"/>
    <n v="63"/>
    <n v="18.8"/>
    <x v="1"/>
    <n v="27700.82"/>
    <n v="17551"/>
    <s v="David"/>
    <x v="0"/>
    <n v="102.66"/>
    <n v="6.04"/>
    <n v="1.58"/>
    <s v="Delayed"/>
    <s v="Medium"/>
    <s v="Low Risk"/>
    <x v="2"/>
    <n v="2025"/>
  </r>
  <r>
    <x v="297"/>
    <x v="21"/>
    <x v="3"/>
    <s v="V1551"/>
    <s v="Chennai"/>
    <s v="Dubai"/>
    <x v="0"/>
    <n v="71.8"/>
    <n v="3438"/>
    <n v="68"/>
    <n v="21.8"/>
    <x v="2"/>
    <n v="43332.11"/>
    <n v="16544"/>
    <s v="Rahul"/>
    <x v="0"/>
    <n v="47.88"/>
    <n v="12.6"/>
    <n v="2.62"/>
    <s v="Delayed"/>
    <s v="High"/>
    <s v="High Risk"/>
    <x v="7"/>
    <n v="2025"/>
  </r>
  <r>
    <x v="298"/>
    <x v="32"/>
    <x v="0"/>
    <s v="V1552"/>
    <s v="Busan"/>
    <s v="Hamburg"/>
    <x v="3"/>
    <n v="20.9"/>
    <n v="4550"/>
    <n v="80"/>
    <n v="15.6"/>
    <x v="2"/>
    <n v="14149.74"/>
    <n v="9018"/>
    <s v="David"/>
    <x v="0"/>
    <n v="217.7"/>
    <n v="3.11"/>
    <n v="1.57"/>
    <s v="Delayed"/>
    <s v="Low"/>
    <s v="High Risk"/>
    <x v="2"/>
    <n v="2025"/>
  </r>
  <r>
    <x v="299"/>
    <x v="34"/>
    <x v="0"/>
    <s v="V1553"/>
    <s v="Mumbai"/>
    <s v="Rotterdam"/>
    <x v="0"/>
    <n v="74.599999999999994"/>
    <n v="2779"/>
    <n v="51"/>
    <n v="14.6"/>
    <x v="3"/>
    <n v="35164.29"/>
    <n v="26018"/>
    <s v="Michael"/>
    <x v="1"/>
    <n v="37.25"/>
    <n v="12.65"/>
    <n v="1.35"/>
    <s v="On Time"/>
    <s v="High"/>
    <s v="Low Risk"/>
    <x v="7"/>
    <n v="2025"/>
  </r>
  <r>
    <x v="282"/>
    <x v="17"/>
    <x v="2"/>
    <s v="V1554"/>
    <s v="Hamburg"/>
    <s v="Dubai"/>
    <x v="1"/>
    <n v="74.5"/>
    <n v="4255"/>
    <n v="49"/>
    <n v="20.9"/>
    <x v="3"/>
    <n v="45231.26"/>
    <n v="27664"/>
    <s v="David"/>
    <x v="1"/>
    <n v="57.11"/>
    <n v="10.63"/>
    <n v="1.64"/>
    <s v="On Time"/>
    <s v="High"/>
    <s v="Low Risk"/>
    <x v="2"/>
    <n v="2025"/>
  </r>
  <r>
    <x v="98"/>
    <x v="2"/>
    <x v="7"/>
    <s v="V1555"/>
    <s v="Colombo"/>
    <s v="Dubai"/>
    <x v="1"/>
    <n v="47.5"/>
    <n v="3171"/>
    <n v="87"/>
    <n v="21.5"/>
    <x v="2"/>
    <n v="22467.91"/>
    <n v="26742"/>
    <s v="Rahul"/>
    <x v="0"/>
    <n v="66.760000000000005"/>
    <n v="7.09"/>
    <n v="0.84"/>
    <s v="Delayed"/>
    <s v="Medium"/>
    <s v="High Risk"/>
    <x v="6"/>
    <n v="2025"/>
  </r>
  <r>
    <x v="46"/>
    <x v="19"/>
    <x v="0"/>
    <s v="V1556"/>
    <s v="Hamburg"/>
    <s v="Colombo"/>
    <x v="0"/>
    <n v="22.6"/>
    <n v="4472"/>
    <n v="96"/>
    <n v="13.4"/>
    <x v="0"/>
    <n v="10172.17"/>
    <n v="19484"/>
    <s v="David"/>
    <x v="0"/>
    <n v="197.88"/>
    <n v="2.27"/>
    <n v="0.52"/>
    <s v="Delayed"/>
    <s v="Low"/>
    <s v="Medium Risk"/>
    <x v="10"/>
    <n v="2025"/>
  </r>
  <r>
    <x v="300"/>
    <x v="2"/>
    <x v="4"/>
    <s v="V1557"/>
    <s v="Chennai"/>
    <s v="Busan"/>
    <x v="1"/>
    <n v="39.5"/>
    <n v="3508"/>
    <n v="28"/>
    <n v="13.1"/>
    <x v="3"/>
    <n v="18938.349999999999"/>
    <n v="26158"/>
    <s v="Michael"/>
    <x v="1"/>
    <n v="88.81"/>
    <n v="5.4"/>
    <n v="0.72"/>
    <s v="On Time"/>
    <s v="Low"/>
    <s v="Low Risk"/>
    <x v="10"/>
    <n v="2025"/>
  </r>
  <r>
    <x v="22"/>
    <x v="41"/>
    <x v="2"/>
    <s v="V1558"/>
    <s v="Colombo"/>
    <s v="Hamburg"/>
    <x v="3"/>
    <n v="77.3"/>
    <n v="3912"/>
    <n v="84"/>
    <n v="20.3"/>
    <x v="1"/>
    <n v="35536.58"/>
    <n v="19844"/>
    <s v="Rahul"/>
    <x v="0"/>
    <n v="50.61"/>
    <n v="9.08"/>
    <n v="1.79"/>
    <s v="Delayed"/>
    <s v="High"/>
    <s v="Low Risk"/>
    <x v="0"/>
    <n v="2025"/>
  </r>
  <r>
    <x v="301"/>
    <x v="30"/>
    <x v="4"/>
    <s v="V1559"/>
    <s v="Singapore"/>
    <s v="Busan"/>
    <x v="2"/>
    <n v="41.9"/>
    <n v="638"/>
    <n v="31"/>
    <n v="14.9"/>
    <x v="1"/>
    <n v="27756.62"/>
    <n v="22730"/>
    <s v="Ahmed"/>
    <x v="0"/>
    <n v="15.23"/>
    <n v="43.51"/>
    <n v="1.22"/>
    <s v="Delayed"/>
    <s v="Medium"/>
    <s v="Low Risk"/>
    <x v="10"/>
    <n v="2025"/>
  </r>
  <r>
    <x v="213"/>
    <x v="66"/>
    <x v="7"/>
    <s v="V1560"/>
    <s v="Singapore"/>
    <s v="Dubai"/>
    <x v="3"/>
    <n v="41.3"/>
    <n v="1552"/>
    <n v="35"/>
    <n v="10.4"/>
    <x v="3"/>
    <n v="26995.88"/>
    <n v="23814"/>
    <s v="Ahmed"/>
    <x v="1"/>
    <n v="37.58"/>
    <n v="17.39"/>
    <n v="1.1299999999999999"/>
    <s v="On Time"/>
    <s v="Medium"/>
    <s v="Low Risk"/>
    <x v="3"/>
    <n v="2025"/>
  </r>
  <r>
    <x v="120"/>
    <x v="69"/>
    <x v="2"/>
    <s v="V1561"/>
    <s v="Rotterdam"/>
    <s v="Hamburg"/>
    <x v="2"/>
    <n v="48.8"/>
    <n v="2139"/>
    <n v="90"/>
    <n v="19.100000000000001"/>
    <x v="2"/>
    <n v="30797.26"/>
    <n v="12569"/>
    <s v="Arun"/>
    <x v="0"/>
    <n v="43.83"/>
    <n v="14.4"/>
    <n v="2.4500000000000002"/>
    <s v="Delayed"/>
    <s v="Medium"/>
    <s v="High Risk"/>
    <x v="11"/>
    <n v="2025"/>
  </r>
  <r>
    <x v="282"/>
    <x v="14"/>
    <x v="2"/>
    <s v="V1562"/>
    <s v="Chennai"/>
    <s v="Hamburg"/>
    <x v="3"/>
    <n v="34.5"/>
    <n v="506"/>
    <n v="103"/>
    <n v="20.3"/>
    <x v="1"/>
    <n v="23980.240000000002"/>
    <n v="19647"/>
    <s v="David"/>
    <x v="0"/>
    <n v="14.67"/>
    <n v="47.39"/>
    <n v="1.22"/>
    <s v="Delayed"/>
    <s v="Low"/>
    <s v="Low Risk"/>
    <x v="2"/>
    <n v="2025"/>
  </r>
  <r>
    <x v="85"/>
    <x v="19"/>
    <x v="2"/>
    <s v="V1563"/>
    <s v="Chennai"/>
    <s v="Busan"/>
    <x v="3"/>
    <n v="70.7"/>
    <n v="4252"/>
    <n v="90"/>
    <n v="21.6"/>
    <x v="3"/>
    <n v="46006.17"/>
    <n v="12825"/>
    <s v="Rahul"/>
    <x v="1"/>
    <n v="60.14"/>
    <n v="10.82"/>
    <n v="3.59"/>
    <s v="On Time"/>
    <s v="High"/>
    <s v="Low Risk"/>
    <x v="10"/>
    <n v="2025"/>
  </r>
  <r>
    <x v="277"/>
    <x v="35"/>
    <x v="1"/>
    <s v="V1564"/>
    <s v="Chennai"/>
    <s v="Mumbai"/>
    <x v="3"/>
    <n v="27.9"/>
    <n v="1702"/>
    <n v="72"/>
    <n v="10.6"/>
    <x v="3"/>
    <n v="18112.98"/>
    <n v="15547"/>
    <s v="Arun"/>
    <x v="1"/>
    <n v="61"/>
    <n v="10.64"/>
    <n v="1.17"/>
    <s v="On Time"/>
    <s v="Low"/>
    <s v="Low Risk"/>
    <x v="4"/>
    <n v="2025"/>
  </r>
  <r>
    <x v="257"/>
    <x v="0"/>
    <x v="4"/>
    <s v="V1565"/>
    <s v="Dubai"/>
    <s v="Rotterdam"/>
    <x v="3"/>
    <n v="27.4"/>
    <n v="4609"/>
    <n v="87"/>
    <n v="18.399999999999999"/>
    <x v="2"/>
    <n v="16896.63"/>
    <n v="15726"/>
    <s v="Michael"/>
    <x v="0"/>
    <n v="168.21"/>
    <n v="3.67"/>
    <n v="1.07"/>
    <s v="Delayed"/>
    <s v="Low"/>
    <s v="High Risk"/>
    <x v="3"/>
    <n v="2025"/>
  </r>
  <r>
    <x v="221"/>
    <x v="16"/>
    <x v="3"/>
    <s v="V1566"/>
    <s v="Colombo"/>
    <s v="Hamburg"/>
    <x v="0"/>
    <n v="30.6"/>
    <n v="4774"/>
    <n v="50"/>
    <n v="15.5"/>
    <x v="3"/>
    <n v="17423.009999999998"/>
    <n v="23272"/>
    <s v="David"/>
    <x v="1"/>
    <n v="156.01"/>
    <n v="3.65"/>
    <n v="0.75"/>
    <s v="On Time"/>
    <s v="Low"/>
    <s v="Low Risk"/>
    <x v="1"/>
    <n v="2025"/>
  </r>
  <r>
    <x v="15"/>
    <x v="25"/>
    <x v="3"/>
    <s v="V1567"/>
    <s v="Singapore"/>
    <s v="Colombo"/>
    <x v="0"/>
    <n v="64.599999999999994"/>
    <n v="3195"/>
    <n v="64"/>
    <n v="12"/>
    <x v="2"/>
    <n v="41704.89"/>
    <n v="24043"/>
    <s v="Michael"/>
    <x v="0"/>
    <n v="49.46"/>
    <n v="13.05"/>
    <n v="1.73"/>
    <s v="Delayed"/>
    <s v="High"/>
    <s v="High Risk"/>
    <x v="1"/>
    <n v="2025"/>
  </r>
  <r>
    <x v="170"/>
    <x v="34"/>
    <x v="1"/>
    <s v="V1568"/>
    <s v="Mumbai"/>
    <s v="Chennai"/>
    <x v="1"/>
    <n v="58.1"/>
    <n v="935"/>
    <n v="105"/>
    <n v="11.7"/>
    <x v="1"/>
    <n v="36340.129999999997"/>
    <n v="20305"/>
    <s v="John"/>
    <x v="0"/>
    <n v="16.09"/>
    <n v="38.869999999999997"/>
    <n v="1.79"/>
    <s v="Delayed"/>
    <s v="Medium"/>
    <s v="Low Risk"/>
    <x v="4"/>
    <n v="2025"/>
  </r>
  <r>
    <x v="82"/>
    <x v="5"/>
    <x v="5"/>
    <s v="V1569"/>
    <s v="Mumbai"/>
    <s v="Colombo"/>
    <x v="1"/>
    <n v="63"/>
    <n v="3463"/>
    <n v="76"/>
    <n v="11.2"/>
    <x v="1"/>
    <n v="33968.94"/>
    <n v="9784"/>
    <s v="Arun"/>
    <x v="0"/>
    <n v="54.97"/>
    <n v="9.81"/>
    <n v="3.47"/>
    <s v="Delayed"/>
    <s v="High"/>
    <s v="Low Risk"/>
    <x v="10"/>
    <n v="2025"/>
  </r>
  <r>
    <x v="210"/>
    <x v="6"/>
    <x v="4"/>
    <s v="V1570"/>
    <s v="Busan"/>
    <s v="Mumbai"/>
    <x v="3"/>
    <n v="20.7"/>
    <n v="4289"/>
    <n v="109"/>
    <n v="13.5"/>
    <x v="3"/>
    <n v="13491.56"/>
    <n v="8561"/>
    <s v="John"/>
    <x v="1"/>
    <n v="207.2"/>
    <n v="3.15"/>
    <n v="1.58"/>
    <s v="On Time"/>
    <s v="Low"/>
    <s v="Low Risk"/>
    <x v="11"/>
    <n v="2025"/>
  </r>
  <r>
    <x v="179"/>
    <x v="18"/>
    <x v="6"/>
    <s v="V1571"/>
    <s v="Rotterdam"/>
    <s v="Mumbai"/>
    <x v="3"/>
    <n v="79.400000000000006"/>
    <n v="3233"/>
    <n v="31"/>
    <n v="14.8"/>
    <x v="1"/>
    <n v="41394.160000000003"/>
    <n v="9504"/>
    <s v="John"/>
    <x v="0"/>
    <n v="40.72"/>
    <n v="12.8"/>
    <n v="4.3600000000000003"/>
    <s v="Delayed"/>
    <s v="High"/>
    <s v="Low Risk"/>
    <x v="5"/>
    <n v="2025"/>
  </r>
  <r>
    <x v="302"/>
    <x v="19"/>
    <x v="0"/>
    <s v="V1572"/>
    <s v="Singapore"/>
    <s v="Hamburg"/>
    <x v="3"/>
    <n v="55.8"/>
    <n v="4808"/>
    <n v="105"/>
    <n v="19.899999999999999"/>
    <x v="0"/>
    <n v="28811.08"/>
    <n v="21465"/>
    <s v="John"/>
    <x v="0"/>
    <n v="86.16"/>
    <n v="5.99"/>
    <n v="1.34"/>
    <s v="Delayed"/>
    <s v="Medium"/>
    <s v="Medium Risk"/>
    <x v="3"/>
    <n v="2025"/>
  </r>
  <r>
    <x v="213"/>
    <x v="31"/>
    <x v="0"/>
    <s v="V1573"/>
    <s v="Hamburg"/>
    <s v="Colombo"/>
    <x v="2"/>
    <n v="50.3"/>
    <n v="4077"/>
    <n v="49"/>
    <n v="15.3"/>
    <x v="0"/>
    <n v="31048.25"/>
    <n v="9282"/>
    <s v="Chen"/>
    <x v="0"/>
    <n v="81.05"/>
    <n v="7.62"/>
    <n v="3.34"/>
    <s v="Delayed"/>
    <s v="Medium"/>
    <s v="Medium Risk"/>
    <x v="3"/>
    <n v="2025"/>
  </r>
  <r>
    <x v="262"/>
    <x v="45"/>
    <x v="5"/>
    <s v="V1574"/>
    <s v="Busan"/>
    <s v="Hamburg"/>
    <x v="0"/>
    <n v="31"/>
    <n v="1606"/>
    <n v="73"/>
    <n v="19.100000000000001"/>
    <x v="1"/>
    <n v="21307.75"/>
    <n v="6140"/>
    <s v="Arun"/>
    <x v="0"/>
    <n v="51.81"/>
    <n v="13.27"/>
    <n v="3.47"/>
    <s v="Delayed"/>
    <s v="Low"/>
    <s v="Low Risk"/>
    <x v="6"/>
    <n v="2025"/>
  </r>
  <r>
    <x v="163"/>
    <x v="58"/>
    <x v="1"/>
    <s v="V1575"/>
    <s v="Hamburg"/>
    <s v="Chennai"/>
    <x v="0"/>
    <n v="76.900000000000006"/>
    <n v="3059"/>
    <n v="74"/>
    <n v="20.2"/>
    <x v="3"/>
    <n v="38425.9"/>
    <n v="26326"/>
    <s v="Ahmed"/>
    <x v="1"/>
    <n v="39.78"/>
    <n v="12.56"/>
    <n v="1.46"/>
    <s v="On Time"/>
    <s v="High"/>
    <s v="Low Risk"/>
    <x v="10"/>
    <n v="2025"/>
  </r>
  <r>
    <x v="303"/>
    <x v="22"/>
    <x v="2"/>
    <s v="V1576"/>
    <s v="Hamburg"/>
    <s v="Busan"/>
    <x v="1"/>
    <n v="29.7"/>
    <n v="2712"/>
    <n v="34"/>
    <n v="15.7"/>
    <x v="3"/>
    <n v="15163.73"/>
    <n v="7538"/>
    <s v="Rahul"/>
    <x v="1"/>
    <n v="91.31"/>
    <n v="5.59"/>
    <n v="2.0099999999999998"/>
    <s v="On Time"/>
    <s v="Low"/>
    <s v="Low Risk"/>
    <x v="1"/>
    <n v="2025"/>
  </r>
  <r>
    <x v="117"/>
    <x v="66"/>
    <x v="2"/>
    <s v="V1577"/>
    <s v="Rotterdam"/>
    <s v="Chennai"/>
    <x v="2"/>
    <n v="24.2"/>
    <n v="1542"/>
    <n v="36"/>
    <n v="13.2"/>
    <x v="0"/>
    <n v="12550.38"/>
    <n v="5652"/>
    <s v="David"/>
    <x v="0"/>
    <n v="63.72"/>
    <n v="8.14"/>
    <n v="2.2200000000000002"/>
    <s v="Delayed"/>
    <s v="Low"/>
    <s v="Medium Risk"/>
    <x v="6"/>
    <n v="2025"/>
  </r>
  <r>
    <x v="89"/>
    <x v="24"/>
    <x v="3"/>
    <s v="V1578"/>
    <s v="Chennai"/>
    <s v="Busan"/>
    <x v="3"/>
    <n v="78.599999999999994"/>
    <n v="4593"/>
    <n v="48"/>
    <n v="13.8"/>
    <x v="2"/>
    <n v="54269.81"/>
    <n v="12281"/>
    <s v="Ahmed"/>
    <x v="0"/>
    <n v="58.44"/>
    <n v="11.82"/>
    <n v="4.42"/>
    <s v="Delayed"/>
    <s v="High"/>
    <s v="High Risk"/>
    <x v="1"/>
    <n v="2025"/>
  </r>
  <r>
    <x v="95"/>
    <x v="62"/>
    <x v="3"/>
    <s v="V1579"/>
    <s v="Mumbai"/>
    <s v="Busan"/>
    <x v="1"/>
    <n v="76.099999999999994"/>
    <n v="1810"/>
    <n v="86"/>
    <n v="13"/>
    <x v="3"/>
    <n v="45510.46"/>
    <n v="24524"/>
    <s v="David"/>
    <x v="1"/>
    <n v="23.78"/>
    <n v="25.14"/>
    <n v="1.86"/>
    <s v="On Time"/>
    <s v="High"/>
    <s v="Low Risk"/>
    <x v="3"/>
    <n v="2025"/>
  </r>
  <r>
    <x v="50"/>
    <x v="68"/>
    <x v="6"/>
    <s v="V1580"/>
    <s v="Hamburg"/>
    <s v="Singapore"/>
    <x v="1"/>
    <n v="62"/>
    <n v="3569"/>
    <n v="73"/>
    <n v="19.399999999999999"/>
    <x v="2"/>
    <n v="31532.63"/>
    <n v="21138"/>
    <s v="Arun"/>
    <x v="0"/>
    <n v="57.56"/>
    <n v="8.84"/>
    <n v="1.49"/>
    <s v="Delayed"/>
    <s v="High"/>
    <s v="High Risk"/>
    <x v="5"/>
    <n v="2025"/>
  </r>
  <r>
    <x v="289"/>
    <x v="65"/>
    <x v="3"/>
    <s v="V1581"/>
    <s v="Chennai"/>
    <s v="Dubai"/>
    <x v="0"/>
    <n v="66.8"/>
    <n v="4988"/>
    <n v="88"/>
    <n v="19.899999999999999"/>
    <x v="3"/>
    <n v="39891.14"/>
    <n v="8987"/>
    <s v="David"/>
    <x v="1"/>
    <n v="74.67"/>
    <n v="8"/>
    <n v="4.4400000000000004"/>
    <s v="On Time"/>
    <s v="High"/>
    <s v="Low Risk"/>
    <x v="5"/>
    <n v="2025"/>
  </r>
  <r>
    <x v="300"/>
    <x v="22"/>
    <x v="3"/>
    <s v="V1582"/>
    <s v="Singapore"/>
    <s v="Chennai"/>
    <x v="2"/>
    <n v="39.4"/>
    <n v="2459"/>
    <n v="92"/>
    <n v="11.8"/>
    <x v="2"/>
    <n v="20028.41"/>
    <n v="26193"/>
    <s v="Chen"/>
    <x v="0"/>
    <n v="62.41"/>
    <n v="8.14"/>
    <n v="0.76"/>
    <s v="Delayed"/>
    <s v="Low"/>
    <s v="High Risk"/>
    <x v="10"/>
    <n v="2025"/>
  </r>
  <r>
    <x v="95"/>
    <x v="7"/>
    <x v="4"/>
    <s v="V1583"/>
    <s v="Busan"/>
    <s v="Hamburg"/>
    <x v="2"/>
    <n v="41.3"/>
    <n v="2610"/>
    <n v="87"/>
    <n v="18.600000000000001"/>
    <x v="0"/>
    <n v="27868.76"/>
    <n v="11411"/>
    <s v="Chen"/>
    <x v="0"/>
    <n v="63.2"/>
    <n v="10.68"/>
    <n v="2.44"/>
    <s v="Delayed"/>
    <s v="Medium"/>
    <s v="Medium Risk"/>
    <x v="3"/>
    <n v="2025"/>
  </r>
  <r>
    <x v="212"/>
    <x v="10"/>
    <x v="5"/>
    <s v="V1584"/>
    <s v="Hamburg"/>
    <s v="Colombo"/>
    <x v="2"/>
    <n v="68"/>
    <n v="1947"/>
    <n v="44"/>
    <n v="17.899999999999999"/>
    <x v="0"/>
    <n v="46202.99"/>
    <n v="26527"/>
    <s v="Arun"/>
    <x v="0"/>
    <n v="28.63"/>
    <n v="23.73"/>
    <n v="1.74"/>
    <s v="Delayed"/>
    <s v="High"/>
    <s v="Medium Risk"/>
    <x v="0"/>
    <n v="2025"/>
  </r>
  <r>
    <x v="304"/>
    <x v="52"/>
    <x v="5"/>
    <s v="V1585"/>
    <s v="Singapore"/>
    <s v="Dubai"/>
    <x v="1"/>
    <n v="69.900000000000006"/>
    <n v="3097"/>
    <n v="66"/>
    <n v="14.5"/>
    <x v="1"/>
    <n v="31566.99"/>
    <n v="26751"/>
    <s v="Michael"/>
    <x v="0"/>
    <n v="44.31"/>
    <n v="10.19"/>
    <n v="1.18"/>
    <s v="Delayed"/>
    <s v="High"/>
    <s v="Low Risk"/>
    <x v="10"/>
    <n v="2025"/>
  </r>
  <r>
    <x v="215"/>
    <x v="32"/>
    <x v="2"/>
    <s v="V1586"/>
    <s v="Singapore"/>
    <s v="Mumbai"/>
    <x v="0"/>
    <n v="41.3"/>
    <n v="1069"/>
    <n v="54"/>
    <n v="15.7"/>
    <x v="3"/>
    <n v="21155.360000000001"/>
    <n v="16765"/>
    <s v="David"/>
    <x v="1"/>
    <n v="25.88"/>
    <n v="19.79"/>
    <n v="1.26"/>
    <s v="On Time"/>
    <s v="Medium"/>
    <s v="Low Risk"/>
    <x v="1"/>
    <n v="2025"/>
  </r>
  <r>
    <x v="114"/>
    <x v="53"/>
    <x v="6"/>
    <s v="V1587"/>
    <s v="Rotterdam"/>
    <s v="Hamburg"/>
    <x v="2"/>
    <n v="55.5"/>
    <n v="1608"/>
    <n v="32"/>
    <n v="21.5"/>
    <x v="3"/>
    <n v="25880.25"/>
    <n v="8612"/>
    <s v="Chen"/>
    <x v="1"/>
    <n v="28.97"/>
    <n v="16.09"/>
    <n v="3.01"/>
    <s v="On Time"/>
    <s v="Medium"/>
    <s v="Low Risk"/>
    <x v="11"/>
    <n v="2025"/>
  </r>
  <r>
    <x v="305"/>
    <x v="1"/>
    <x v="0"/>
    <s v="V1588"/>
    <s v="Singapore"/>
    <s v="Mumbai"/>
    <x v="3"/>
    <n v="40"/>
    <n v="4440"/>
    <n v="118"/>
    <n v="18.8"/>
    <x v="1"/>
    <n v="23488.67"/>
    <n v="22483"/>
    <s v="Chen"/>
    <x v="0"/>
    <n v="111"/>
    <n v="5.29"/>
    <n v="1.04"/>
    <s v="Delayed"/>
    <s v="Medium"/>
    <s v="Low Risk"/>
    <x v="1"/>
    <n v="2025"/>
  </r>
  <r>
    <x v="127"/>
    <x v="56"/>
    <x v="6"/>
    <s v="V1589"/>
    <s v="Dubai"/>
    <s v="Chennai"/>
    <x v="3"/>
    <n v="74.7"/>
    <n v="3902"/>
    <n v="58"/>
    <n v="18.7"/>
    <x v="1"/>
    <n v="48812.73"/>
    <n v="17033"/>
    <s v="John"/>
    <x v="0"/>
    <n v="52.24"/>
    <n v="12.51"/>
    <n v="2.87"/>
    <s v="Delayed"/>
    <s v="High"/>
    <s v="Low Risk"/>
    <x v="6"/>
    <n v="2025"/>
  </r>
  <r>
    <x v="231"/>
    <x v="64"/>
    <x v="0"/>
    <s v="V1590"/>
    <s v="Hamburg"/>
    <s v="Dubai"/>
    <x v="3"/>
    <n v="32.799999999999997"/>
    <n v="927"/>
    <n v="99"/>
    <n v="16.399999999999999"/>
    <x v="1"/>
    <n v="21451.56"/>
    <n v="26909"/>
    <s v="Ahmed"/>
    <x v="0"/>
    <n v="28.26"/>
    <n v="23.14"/>
    <n v="0.8"/>
    <s v="Delayed"/>
    <s v="Low"/>
    <s v="Low Risk"/>
    <x v="2"/>
    <n v="2025"/>
  </r>
  <r>
    <x v="64"/>
    <x v="19"/>
    <x v="4"/>
    <s v="V1591"/>
    <s v="Rotterdam"/>
    <s v="Singapore"/>
    <x v="0"/>
    <n v="74.5"/>
    <n v="534"/>
    <n v="116"/>
    <n v="18.5"/>
    <x v="0"/>
    <n v="38768.43"/>
    <n v="6453"/>
    <s v="Sato"/>
    <x v="0"/>
    <n v="7.17"/>
    <n v="72.599999999999994"/>
    <n v="6.01"/>
    <s v="Delayed"/>
    <s v="High"/>
    <s v="Medium Risk"/>
    <x v="4"/>
    <n v="2025"/>
  </r>
  <r>
    <x v="138"/>
    <x v="39"/>
    <x v="5"/>
    <s v="V1592"/>
    <s v="Dubai"/>
    <s v="Colombo"/>
    <x v="3"/>
    <n v="53"/>
    <n v="1406"/>
    <n v="49"/>
    <n v="11.8"/>
    <x v="1"/>
    <n v="35458.74"/>
    <n v="23089"/>
    <s v="David"/>
    <x v="0"/>
    <n v="26.53"/>
    <n v="25.22"/>
    <n v="1.54"/>
    <s v="Delayed"/>
    <s v="Medium"/>
    <s v="Low Risk"/>
    <x v="4"/>
    <n v="2025"/>
  </r>
  <r>
    <x v="197"/>
    <x v="1"/>
    <x v="6"/>
    <s v="V1593"/>
    <s v="Singapore"/>
    <s v="Hamburg"/>
    <x v="1"/>
    <n v="69.5"/>
    <n v="4062"/>
    <n v="38"/>
    <n v="14.1"/>
    <x v="3"/>
    <n v="43929.97"/>
    <n v="8111"/>
    <s v="Arun"/>
    <x v="1"/>
    <n v="58.45"/>
    <n v="10.81"/>
    <n v="5.42"/>
    <s v="On Time"/>
    <s v="High"/>
    <s v="Low Risk"/>
    <x v="5"/>
    <n v="2025"/>
  </r>
  <r>
    <x v="194"/>
    <x v="15"/>
    <x v="2"/>
    <s v="V1594"/>
    <s v="Rotterdam"/>
    <s v="Mumbai"/>
    <x v="3"/>
    <n v="51.4"/>
    <n v="1722"/>
    <n v="110"/>
    <n v="14"/>
    <x v="0"/>
    <n v="24622.97"/>
    <n v="13178"/>
    <s v="Chen"/>
    <x v="0"/>
    <n v="33.5"/>
    <n v="14.3"/>
    <n v="1.87"/>
    <s v="Delayed"/>
    <s v="Medium"/>
    <s v="Medium Risk"/>
    <x v="4"/>
    <n v="2025"/>
  </r>
  <r>
    <x v="208"/>
    <x v="47"/>
    <x v="6"/>
    <s v="V1595"/>
    <s v="Dubai"/>
    <s v="Chennai"/>
    <x v="2"/>
    <n v="46"/>
    <n v="3963"/>
    <n v="27"/>
    <n v="16.5"/>
    <x v="3"/>
    <n v="29313.759999999998"/>
    <n v="13527"/>
    <s v="Chen"/>
    <x v="1"/>
    <n v="86.15"/>
    <n v="7.4"/>
    <n v="2.17"/>
    <s v="On Time"/>
    <s v="Medium"/>
    <s v="Low Risk"/>
    <x v="6"/>
    <n v="2025"/>
  </r>
  <r>
    <x v="53"/>
    <x v="76"/>
    <x v="1"/>
    <s v="V1596"/>
    <s v="Colombo"/>
    <s v="Dubai"/>
    <x v="1"/>
    <n v="40.4"/>
    <n v="4060"/>
    <n v="101"/>
    <n v="19.3"/>
    <x v="3"/>
    <n v="24004.82"/>
    <n v="12215"/>
    <s v="Chen"/>
    <x v="1"/>
    <n v="100.5"/>
    <n v="5.91"/>
    <n v="1.97"/>
    <s v="On Time"/>
    <s v="Medium"/>
    <s v="Low Risk"/>
    <x v="7"/>
    <n v="2025"/>
  </r>
  <r>
    <x v="306"/>
    <x v="58"/>
    <x v="6"/>
    <s v="V1597"/>
    <s v="Busan"/>
    <s v="Rotterdam"/>
    <x v="2"/>
    <n v="53.1"/>
    <n v="846"/>
    <n v="100"/>
    <n v="15.1"/>
    <x v="3"/>
    <n v="34208.29"/>
    <n v="13577"/>
    <s v="Arun"/>
    <x v="1"/>
    <n v="15.93"/>
    <n v="40.44"/>
    <n v="2.52"/>
    <s v="On Time"/>
    <s v="Medium"/>
    <s v="Low Risk"/>
    <x v="0"/>
    <n v="2025"/>
  </r>
  <r>
    <x v="220"/>
    <x v="66"/>
    <x v="3"/>
    <s v="V1598"/>
    <s v="Rotterdam"/>
    <s v="Singapore"/>
    <x v="1"/>
    <n v="49.2"/>
    <n v="2594"/>
    <n v="36"/>
    <n v="15.1"/>
    <x v="3"/>
    <n v="26477.4"/>
    <n v="5741"/>
    <s v="David"/>
    <x v="1"/>
    <n v="52.72"/>
    <n v="10.210000000000001"/>
    <n v="4.6100000000000003"/>
    <s v="On Time"/>
    <s v="Medium"/>
    <s v="Low Risk"/>
    <x v="0"/>
    <n v="2025"/>
  </r>
  <r>
    <x v="185"/>
    <x v="62"/>
    <x v="4"/>
    <s v="V1599"/>
    <s v="Colombo"/>
    <s v="Mumbai"/>
    <x v="3"/>
    <n v="25.2"/>
    <n v="4553"/>
    <n v="106"/>
    <n v="12.5"/>
    <x v="0"/>
    <n v="16980.650000000001"/>
    <n v="21206"/>
    <s v="Sato"/>
    <x v="0"/>
    <n v="180.67"/>
    <n v="3.73"/>
    <n v="0.8"/>
    <s v="Delayed"/>
    <s v="Low"/>
    <s v="Medium Risk"/>
    <x v="4"/>
    <n v="2025"/>
  </r>
  <r>
    <x v="166"/>
    <x v="17"/>
    <x v="4"/>
    <s v="V1600"/>
    <s v="Dubai"/>
    <s v="Mumbai"/>
    <x v="2"/>
    <n v="64.5"/>
    <n v="898"/>
    <n v="46"/>
    <n v="20"/>
    <x v="1"/>
    <n v="40809.14"/>
    <n v="14822"/>
    <s v="Chen"/>
    <x v="0"/>
    <n v="13.92"/>
    <n v="45.44"/>
    <n v="2.75"/>
    <s v="Delayed"/>
    <s v="High"/>
    <s v="Low Risk"/>
    <x v="5"/>
    <n v="2025"/>
  </r>
  <r>
    <x v="277"/>
    <x v="71"/>
    <x v="0"/>
    <s v="V1601"/>
    <s v="Dubai"/>
    <s v="Chennai"/>
    <x v="0"/>
    <n v="77.400000000000006"/>
    <n v="1847"/>
    <n v="116"/>
    <n v="20.3"/>
    <x v="3"/>
    <n v="36771.46"/>
    <n v="15229"/>
    <s v="Arun"/>
    <x v="1"/>
    <n v="23.86"/>
    <n v="19.91"/>
    <n v="2.41"/>
    <s v="On Time"/>
    <s v="High"/>
    <s v="Low Risk"/>
    <x v="4"/>
    <n v="2025"/>
  </r>
  <r>
    <x v="259"/>
    <x v="20"/>
    <x v="1"/>
    <s v="V1602"/>
    <s v="Rotterdam"/>
    <s v="Hamburg"/>
    <x v="1"/>
    <n v="48.4"/>
    <n v="3570"/>
    <n v="35"/>
    <n v="14.3"/>
    <x v="3"/>
    <n v="31863.74"/>
    <n v="24689"/>
    <s v="Michael"/>
    <x v="1"/>
    <n v="73.760000000000005"/>
    <n v="8.93"/>
    <n v="1.29"/>
    <s v="On Time"/>
    <s v="Medium"/>
    <s v="Low Risk"/>
    <x v="3"/>
    <n v="2025"/>
  </r>
  <r>
    <x v="307"/>
    <x v="43"/>
    <x v="2"/>
    <s v="V1603"/>
    <s v="Busan"/>
    <s v="Dubai"/>
    <x v="0"/>
    <n v="61.4"/>
    <n v="2547"/>
    <n v="80"/>
    <n v="19.399999999999999"/>
    <x v="2"/>
    <n v="28623.99"/>
    <n v="7603"/>
    <s v="Sato"/>
    <x v="0"/>
    <n v="41.48"/>
    <n v="11.24"/>
    <n v="3.76"/>
    <s v="Delayed"/>
    <s v="High"/>
    <s v="High Risk"/>
    <x v="8"/>
    <n v="2025"/>
  </r>
  <r>
    <x v="89"/>
    <x v="67"/>
    <x v="4"/>
    <s v="V1604"/>
    <s v="Dubai"/>
    <s v="Busan"/>
    <x v="2"/>
    <n v="28.8"/>
    <n v="3901"/>
    <n v="78"/>
    <n v="17.100000000000001"/>
    <x v="1"/>
    <n v="19284.98"/>
    <n v="19524"/>
    <s v="David"/>
    <x v="0"/>
    <n v="135.44999999999999"/>
    <n v="4.9400000000000004"/>
    <n v="0.99"/>
    <s v="Delayed"/>
    <s v="Low"/>
    <s v="Low Risk"/>
    <x v="1"/>
    <n v="2025"/>
  </r>
  <r>
    <x v="19"/>
    <x v="60"/>
    <x v="5"/>
    <s v="V1605"/>
    <s v="Colombo"/>
    <s v="Chennai"/>
    <x v="3"/>
    <n v="65.3"/>
    <n v="3963"/>
    <n v="54"/>
    <n v="20.6"/>
    <x v="2"/>
    <n v="39195.4"/>
    <n v="12252"/>
    <s v="John"/>
    <x v="0"/>
    <n v="60.69"/>
    <n v="9.89"/>
    <n v="3.2"/>
    <s v="Delayed"/>
    <s v="High"/>
    <s v="High Risk"/>
    <x v="1"/>
    <n v="2025"/>
  </r>
  <r>
    <x v="161"/>
    <x v="40"/>
    <x v="0"/>
    <s v="V1606"/>
    <s v="Dubai"/>
    <s v="Colombo"/>
    <x v="3"/>
    <n v="41"/>
    <n v="931"/>
    <n v="41"/>
    <n v="10.4"/>
    <x v="2"/>
    <n v="26918.49"/>
    <n v="7628"/>
    <s v="David"/>
    <x v="0"/>
    <n v="22.71"/>
    <n v="28.91"/>
    <n v="3.53"/>
    <s v="Delayed"/>
    <s v="Medium"/>
    <s v="High Risk"/>
    <x v="9"/>
    <n v="2025"/>
  </r>
  <r>
    <x v="241"/>
    <x v="52"/>
    <x v="6"/>
    <s v="V1607"/>
    <s v="Hamburg"/>
    <s v="Mumbai"/>
    <x v="1"/>
    <n v="62.5"/>
    <n v="2592"/>
    <n v="35"/>
    <n v="18.100000000000001"/>
    <x v="2"/>
    <n v="41445.08"/>
    <n v="11323"/>
    <s v="Rahul"/>
    <x v="0"/>
    <n v="41.47"/>
    <n v="15.99"/>
    <n v="3.66"/>
    <s v="Delayed"/>
    <s v="High"/>
    <s v="High Risk"/>
    <x v="5"/>
    <n v="2025"/>
  </r>
  <r>
    <x v="117"/>
    <x v="55"/>
    <x v="5"/>
    <s v="V1608"/>
    <s v="Dubai"/>
    <s v="Singapore"/>
    <x v="2"/>
    <n v="45.9"/>
    <n v="2434"/>
    <n v="114"/>
    <n v="14.5"/>
    <x v="3"/>
    <n v="26128.94"/>
    <n v="27741"/>
    <s v="Rahul"/>
    <x v="1"/>
    <n v="53.03"/>
    <n v="10.73"/>
    <n v="0.94"/>
    <s v="On Time"/>
    <s v="Medium"/>
    <s v="Low Risk"/>
    <x v="6"/>
    <n v="2025"/>
  </r>
  <r>
    <x v="128"/>
    <x v="30"/>
    <x v="5"/>
    <s v="V1609"/>
    <s v="Hamburg"/>
    <s v="Mumbai"/>
    <x v="3"/>
    <n v="43.6"/>
    <n v="3305"/>
    <n v="95"/>
    <n v="18.2"/>
    <x v="1"/>
    <n v="24235.439999999999"/>
    <n v="25387"/>
    <s v="Chen"/>
    <x v="0"/>
    <n v="75.8"/>
    <n v="7.33"/>
    <n v="0.95"/>
    <s v="Delayed"/>
    <s v="Medium"/>
    <s v="Low Risk"/>
    <x v="9"/>
    <n v="2025"/>
  </r>
  <r>
    <x v="269"/>
    <x v="48"/>
    <x v="1"/>
    <s v="V1610"/>
    <s v="Dubai"/>
    <s v="Mumbai"/>
    <x v="2"/>
    <n v="68.099999999999994"/>
    <n v="4323"/>
    <n v="87"/>
    <n v="17.600000000000001"/>
    <x v="2"/>
    <n v="36193.4"/>
    <n v="5525"/>
    <s v="Chen"/>
    <x v="0"/>
    <n v="63.48"/>
    <n v="8.3699999999999992"/>
    <n v="6.55"/>
    <s v="Delayed"/>
    <s v="High"/>
    <s v="High Risk"/>
    <x v="9"/>
    <n v="2025"/>
  </r>
  <r>
    <x v="297"/>
    <x v="34"/>
    <x v="6"/>
    <s v="V1611"/>
    <s v="Mumbai"/>
    <s v="Hamburg"/>
    <x v="3"/>
    <n v="34.200000000000003"/>
    <n v="3387"/>
    <n v="104"/>
    <n v="20.8"/>
    <x v="1"/>
    <n v="16075.78"/>
    <n v="8662"/>
    <s v="Ahmed"/>
    <x v="0"/>
    <n v="99.04"/>
    <n v="4.75"/>
    <n v="1.86"/>
    <s v="Delayed"/>
    <s v="Low"/>
    <s v="Low Risk"/>
    <x v="7"/>
    <n v="2025"/>
  </r>
  <r>
    <x v="229"/>
    <x v="19"/>
    <x v="6"/>
    <s v="V1612"/>
    <s v="Singapore"/>
    <s v="Busan"/>
    <x v="0"/>
    <n v="38.299999999999997"/>
    <n v="589"/>
    <n v="70"/>
    <n v="14.5"/>
    <x v="1"/>
    <n v="21669.759999999998"/>
    <n v="15333"/>
    <s v="Rahul"/>
    <x v="0"/>
    <n v="15.38"/>
    <n v="36.79"/>
    <n v="1.41"/>
    <s v="Delayed"/>
    <s v="Low"/>
    <s v="Low Risk"/>
    <x v="1"/>
    <n v="2025"/>
  </r>
  <r>
    <x v="223"/>
    <x v="14"/>
    <x v="4"/>
    <s v="V1613"/>
    <s v="Mumbai"/>
    <s v="Colombo"/>
    <x v="0"/>
    <n v="69.2"/>
    <n v="1008"/>
    <n v="22"/>
    <n v="19.3"/>
    <x v="1"/>
    <n v="47823.41"/>
    <n v="9181"/>
    <s v="David"/>
    <x v="0"/>
    <n v="14.57"/>
    <n v="47.44"/>
    <n v="5.21"/>
    <s v="Delayed"/>
    <s v="High"/>
    <s v="Low Risk"/>
    <x v="2"/>
    <n v="2025"/>
  </r>
  <r>
    <x v="308"/>
    <x v="42"/>
    <x v="7"/>
    <s v="V1614"/>
    <s v="Busan"/>
    <s v="Mumbai"/>
    <x v="3"/>
    <n v="45.6"/>
    <n v="4646"/>
    <n v="87"/>
    <n v="14.7"/>
    <x v="0"/>
    <n v="24949.08"/>
    <n v="17281"/>
    <s v="Arun"/>
    <x v="0"/>
    <n v="101.89"/>
    <n v="5.37"/>
    <n v="1.44"/>
    <s v="Delayed"/>
    <s v="Medium"/>
    <s v="Medium Risk"/>
    <x v="9"/>
    <n v="2025"/>
  </r>
  <r>
    <x v="238"/>
    <x v="78"/>
    <x v="2"/>
    <s v="V1615"/>
    <s v="Chennai"/>
    <s v="Dubai"/>
    <x v="3"/>
    <n v="24.8"/>
    <n v="3908"/>
    <n v="37"/>
    <n v="10.199999999999999"/>
    <x v="1"/>
    <n v="13706.8"/>
    <n v="24635"/>
    <s v="Rahul"/>
    <x v="0"/>
    <n v="157.58000000000001"/>
    <n v="3.51"/>
    <n v="0.56000000000000005"/>
    <s v="Delayed"/>
    <s v="Low"/>
    <s v="Low Risk"/>
    <x v="4"/>
    <n v="2025"/>
  </r>
  <r>
    <x v="309"/>
    <x v="50"/>
    <x v="3"/>
    <s v="V1616"/>
    <s v="Mumbai"/>
    <s v="Singapore"/>
    <x v="0"/>
    <n v="49.8"/>
    <n v="1530"/>
    <n v="91"/>
    <n v="13.7"/>
    <x v="1"/>
    <n v="33882.129999999997"/>
    <n v="6863"/>
    <s v="Michael"/>
    <x v="0"/>
    <n v="30.72"/>
    <n v="22.15"/>
    <n v="4.9400000000000004"/>
    <s v="Delayed"/>
    <s v="Medium"/>
    <s v="Low Risk"/>
    <x v="6"/>
    <n v="2025"/>
  </r>
  <r>
    <x v="105"/>
    <x v="63"/>
    <x v="2"/>
    <s v="V1617"/>
    <s v="Singapore"/>
    <s v="Hamburg"/>
    <x v="0"/>
    <n v="33.799999999999997"/>
    <n v="4387"/>
    <n v="34"/>
    <n v="17.600000000000001"/>
    <x v="1"/>
    <n v="17441.95"/>
    <n v="21396"/>
    <s v="John"/>
    <x v="0"/>
    <n v="129.79"/>
    <n v="3.98"/>
    <n v="0.82"/>
    <s v="Delayed"/>
    <s v="Low"/>
    <s v="Low Risk"/>
    <x v="0"/>
    <n v="2025"/>
  </r>
  <r>
    <x v="175"/>
    <x v="7"/>
    <x v="6"/>
    <s v="V1618"/>
    <s v="Rotterdam"/>
    <s v="Hamburg"/>
    <x v="2"/>
    <n v="77.400000000000006"/>
    <n v="4083"/>
    <n v="117"/>
    <n v="15.4"/>
    <x v="0"/>
    <n v="43682.5"/>
    <n v="13606"/>
    <s v="Chen"/>
    <x v="0"/>
    <n v="52.75"/>
    <n v="10.7"/>
    <n v="3.21"/>
    <s v="Delayed"/>
    <s v="High"/>
    <s v="Medium Risk"/>
    <x v="2"/>
    <n v="2025"/>
  </r>
  <r>
    <x v="55"/>
    <x v="47"/>
    <x v="4"/>
    <s v="V1619"/>
    <s v="Hamburg"/>
    <s v="Rotterdam"/>
    <x v="2"/>
    <n v="47"/>
    <n v="2790"/>
    <n v="118"/>
    <n v="13.2"/>
    <x v="2"/>
    <n v="24324.880000000001"/>
    <n v="22671"/>
    <s v="Rahul"/>
    <x v="0"/>
    <n v="59.36"/>
    <n v="8.7200000000000006"/>
    <n v="1.07"/>
    <s v="Delayed"/>
    <s v="Medium"/>
    <s v="High Risk"/>
    <x v="4"/>
    <n v="2025"/>
  </r>
  <r>
    <x v="240"/>
    <x v="23"/>
    <x v="2"/>
    <s v="V1620"/>
    <s v="Dubai"/>
    <s v="Chennai"/>
    <x v="2"/>
    <n v="60.8"/>
    <n v="2838"/>
    <n v="49"/>
    <n v="20.2"/>
    <x v="0"/>
    <n v="40026.99"/>
    <n v="21821"/>
    <s v="John"/>
    <x v="0"/>
    <n v="46.68"/>
    <n v="14.1"/>
    <n v="1.83"/>
    <s v="Delayed"/>
    <s v="High"/>
    <s v="Medium Risk"/>
    <x v="5"/>
    <n v="2025"/>
  </r>
  <r>
    <x v="275"/>
    <x v="24"/>
    <x v="4"/>
    <s v="V1621"/>
    <s v="Mumbai"/>
    <s v="Hamburg"/>
    <x v="0"/>
    <n v="41.4"/>
    <n v="2167"/>
    <n v="97"/>
    <n v="14.7"/>
    <x v="2"/>
    <n v="26919.45"/>
    <n v="21741"/>
    <s v="Rahul"/>
    <x v="0"/>
    <n v="52.34"/>
    <n v="12.42"/>
    <n v="1.24"/>
    <s v="Delayed"/>
    <s v="Medium"/>
    <s v="High Risk"/>
    <x v="11"/>
    <n v="2025"/>
  </r>
  <r>
    <x v="310"/>
    <x v="26"/>
    <x v="6"/>
    <s v="V1622"/>
    <s v="Mumbai"/>
    <s v="Colombo"/>
    <x v="2"/>
    <n v="67.400000000000006"/>
    <n v="4940"/>
    <n v="89"/>
    <n v="11.9"/>
    <x v="1"/>
    <n v="37970.53"/>
    <n v="25866"/>
    <s v="Chen"/>
    <x v="0"/>
    <n v="73.290000000000006"/>
    <n v="7.69"/>
    <n v="1.47"/>
    <s v="Delayed"/>
    <s v="High"/>
    <s v="Low Risk"/>
    <x v="3"/>
    <n v="2025"/>
  </r>
  <r>
    <x v="311"/>
    <x v="63"/>
    <x v="1"/>
    <s v="V1623"/>
    <s v="Mumbai"/>
    <s v="Singapore"/>
    <x v="3"/>
    <n v="42.7"/>
    <n v="2995"/>
    <n v="27"/>
    <n v="17.899999999999999"/>
    <x v="2"/>
    <n v="29192.19"/>
    <n v="21121"/>
    <s v="Chen"/>
    <x v="0"/>
    <n v="70.14"/>
    <n v="9.75"/>
    <n v="1.38"/>
    <s v="Delayed"/>
    <s v="Medium"/>
    <s v="High Risk"/>
    <x v="11"/>
    <n v="2025"/>
  </r>
  <r>
    <x v="268"/>
    <x v="73"/>
    <x v="2"/>
    <s v="V1624"/>
    <s v="Mumbai"/>
    <s v="Busan"/>
    <x v="3"/>
    <n v="43.2"/>
    <n v="625"/>
    <n v="52"/>
    <n v="20.100000000000001"/>
    <x v="1"/>
    <n v="20555.07"/>
    <n v="23168"/>
    <s v="Chen"/>
    <x v="0"/>
    <n v="14.47"/>
    <n v="32.89"/>
    <n v="0.89"/>
    <s v="Delayed"/>
    <s v="Medium"/>
    <s v="Low Risk"/>
    <x v="4"/>
    <n v="2025"/>
  </r>
  <r>
    <x v="4"/>
    <x v="70"/>
    <x v="2"/>
    <s v="V1625"/>
    <s v="Dubai"/>
    <s v="Hamburg"/>
    <x v="3"/>
    <n v="58.1"/>
    <n v="2466"/>
    <n v="53"/>
    <n v="20.6"/>
    <x v="3"/>
    <n v="28433.02"/>
    <n v="22962"/>
    <s v="Arun"/>
    <x v="1"/>
    <n v="42.44"/>
    <n v="11.53"/>
    <n v="1.24"/>
    <s v="On Time"/>
    <s v="Medium"/>
    <s v="Low Risk"/>
    <x v="3"/>
    <n v="2025"/>
  </r>
  <r>
    <x v="288"/>
    <x v="47"/>
    <x v="0"/>
    <s v="V1626"/>
    <s v="Hamburg"/>
    <s v="Chennai"/>
    <x v="1"/>
    <n v="74.099999999999994"/>
    <n v="1682"/>
    <n v="69"/>
    <n v="16.3"/>
    <x v="3"/>
    <n v="44986.75"/>
    <n v="20876"/>
    <s v="Chen"/>
    <x v="1"/>
    <n v="22.7"/>
    <n v="26.75"/>
    <n v="2.15"/>
    <s v="On Time"/>
    <s v="High"/>
    <s v="Low Risk"/>
    <x v="9"/>
    <n v="2025"/>
  </r>
  <r>
    <x v="276"/>
    <x v="74"/>
    <x v="3"/>
    <s v="V1627"/>
    <s v="Dubai"/>
    <s v="Rotterdam"/>
    <x v="1"/>
    <n v="31.1"/>
    <n v="4196"/>
    <n v="65"/>
    <n v="15.1"/>
    <x v="1"/>
    <n v="16181.4"/>
    <n v="7124"/>
    <s v="Ahmed"/>
    <x v="0"/>
    <n v="134.91999999999999"/>
    <n v="3.86"/>
    <n v="2.27"/>
    <s v="Delayed"/>
    <s v="Low"/>
    <s v="Low Risk"/>
    <x v="7"/>
    <n v="2025"/>
  </r>
  <r>
    <x v="300"/>
    <x v="34"/>
    <x v="5"/>
    <s v="V1628"/>
    <s v="Chennai"/>
    <s v="Mumbai"/>
    <x v="3"/>
    <n v="64"/>
    <n v="1041"/>
    <n v="50"/>
    <n v="19.899999999999999"/>
    <x v="3"/>
    <n v="29875.29"/>
    <n v="25493"/>
    <s v="John"/>
    <x v="1"/>
    <n v="16.27"/>
    <n v="28.7"/>
    <n v="1.17"/>
    <s v="On Time"/>
    <s v="High"/>
    <s v="Low Risk"/>
    <x v="10"/>
    <n v="2025"/>
  </r>
  <r>
    <x v="261"/>
    <x v="10"/>
    <x v="5"/>
    <s v="V1629"/>
    <s v="Chennai"/>
    <s v="Singapore"/>
    <x v="0"/>
    <n v="62.4"/>
    <n v="4917"/>
    <n v="37"/>
    <n v="19.3"/>
    <x v="1"/>
    <n v="34549.300000000003"/>
    <n v="8057"/>
    <s v="Chen"/>
    <x v="0"/>
    <n v="78.8"/>
    <n v="7.03"/>
    <n v="4.29"/>
    <s v="Delayed"/>
    <s v="High"/>
    <s v="Low Risk"/>
    <x v="11"/>
    <n v="2025"/>
  </r>
  <r>
    <x v="178"/>
    <x v="38"/>
    <x v="7"/>
    <s v="V1630"/>
    <s v="Mumbai"/>
    <s v="Dubai"/>
    <x v="3"/>
    <n v="45.7"/>
    <n v="1971"/>
    <n v="77"/>
    <n v="19.600000000000001"/>
    <x v="2"/>
    <n v="24518.240000000002"/>
    <n v="6131"/>
    <s v="David"/>
    <x v="0"/>
    <n v="43.13"/>
    <n v="12.44"/>
    <n v="4"/>
    <s v="Delayed"/>
    <s v="Medium"/>
    <s v="High Risk"/>
    <x v="3"/>
    <n v="2025"/>
  </r>
  <r>
    <x v="154"/>
    <x v="52"/>
    <x v="4"/>
    <s v="V1631"/>
    <s v="Colombo"/>
    <s v="Busan"/>
    <x v="1"/>
    <n v="53.1"/>
    <n v="2697"/>
    <n v="38"/>
    <n v="13.1"/>
    <x v="2"/>
    <n v="32079.48"/>
    <n v="25609"/>
    <s v="Rahul"/>
    <x v="0"/>
    <n v="50.79"/>
    <n v="11.89"/>
    <n v="1.25"/>
    <s v="Delayed"/>
    <s v="Medium"/>
    <s v="High Risk"/>
    <x v="10"/>
    <n v="2025"/>
  </r>
  <r>
    <x v="312"/>
    <x v="77"/>
    <x v="6"/>
    <s v="V1632"/>
    <s v="Hamburg"/>
    <s v="Colombo"/>
    <x v="0"/>
    <n v="43.5"/>
    <n v="912"/>
    <n v="55"/>
    <n v="11.8"/>
    <x v="3"/>
    <n v="27671.96"/>
    <n v="15633"/>
    <s v="Ahmed"/>
    <x v="1"/>
    <n v="20.97"/>
    <n v="30.34"/>
    <n v="1.77"/>
    <s v="On Time"/>
    <s v="Medium"/>
    <s v="Low Risk"/>
    <x v="2"/>
    <n v="2025"/>
  </r>
  <r>
    <x v="289"/>
    <x v="45"/>
    <x v="4"/>
    <s v="V1633"/>
    <s v="Busan"/>
    <s v="Hamburg"/>
    <x v="1"/>
    <n v="60.8"/>
    <n v="1714"/>
    <n v="118"/>
    <n v="10.5"/>
    <x v="1"/>
    <n v="33963.35"/>
    <n v="21678"/>
    <s v="Arun"/>
    <x v="0"/>
    <n v="28.19"/>
    <n v="19.82"/>
    <n v="1.57"/>
    <s v="Delayed"/>
    <s v="High"/>
    <s v="Low Risk"/>
    <x v="5"/>
    <n v="2025"/>
  </r>
  <r>
    <x v="226"/>
    <x v="52"/>
    <x v="5"/>
    <s v="V1634"/>
    <s v="Rotterdam"/>
    <s v="Mumbai"/>
    <x v="2"/>
    <n v="58.7"/>
    <n v="3744"/>
    <n v="114"/>
    <n v="11.6"/>
    <x v="1"/>
    <n v="32929.629999999997"/>
    <n v="10464"/>
    <s v="John"/>
    <x v="0"/>
    <n v="63.78"/>
    <n v="8.8000000000000007"/>
    <n v="3.15"/>
    <s v="Delayed"/>
    <s v="Medium"/>
    <s v="Low Risk"/>
    <x v="2"/>
    <n v="2025"/>
  </r>
  <r>
    <x v="313"/>
    <x v="73"/>
    <x v="3"/>
    <s v="V1635"/>
    <s v="Busan"/>
    <s v="Rotterdam"/>
    <x v="2"/>
    <n v="32.299999999999997"/>
    <n v="4509"/>
    <n v="119"/>
    <n v="17.7"/>
    <x v="2"/>
    <n v="19706.96"/>
    <n v="18645"/>
    <s v="Rahul"/>
    <x v="0"/>
    <n v="139.6"/>
    <n v="4.37"/>
    <n v="1.06"/>
    <s v="Delayed"/>
    <s v="Low"/>
    <s v="High Risk"/>
    <x v="0"/>
    <n v="2025"/>
  </r>
  <r>
    <x v="223"/>
    <x v="70"/>
    <x v="7"/>
    <s v="V1636"/>
    <s v="Hamburg"/>
    <s v="Mumbai"/>
    <x v="1"/>
    <n v="30.3"/>
    <n v="2579"/>
    <n v="115"/>
    <n v="20.6"/>
    <x v="0"/>
    <n v="21045.16"/>
    <n v="7926"/>
    <s v="David"/>
    <x v="0"/>
    <n v="85.12"/>
    <n v="8.16"/>
    <n v="2.66"/>
    <s v="Delayed"/>
    <s v="Low"/>
    <s v="Medium Risk"/>
    <x v="2"/>
    <n v="2025"/>
  </r>
  <r>
    <x v="114"/>
    <x v="37"/>
    <x v="7"/>
    <s v="V1637"/>
    <s v="Busan"/>
    <s v="Chennai"/>
    <x v="0"/>
    <n v="71.7"/>
    <n v="625"/>
    <n v="22"/>
    <n v="14.8"/>
    <x v="2"/>
    <n v="39423.97"/>
    <n v="6303"/>
    <s v="Ahmed"/>
    <x v="0"/>
    <n v="8.7200000000000006"/>
    <n v="63.08"/>
    <n v="6.25"/>
    <s v="Delayed"/>
    <s v="High"/>
    <s v="High Risk"/>
    <x v="11"/>
    <n v="2025"/>
  </r>
  <r>
    <x v="123"/>
    <x v="58"/>
    <x v="0"/>
    <s v="V1638"/>
    <s v="Singapore"/>
    <s v="Mumbai"/>
    <x v="2"/>
    <n v="31.8"/>
    <n v="3198"/>
    <n v="42"/>
    <n v="12.1"/>
    <x v="3"/>
    <n v="18201.36"/>
    <n v="28009"/>
    <s v="Chen"/>
    <x v="1"/>
    <n v="100.57"/>
    <n v="5.69"/>
    <n v="0.65"/>
    <s v="On Time"/>
    <s v="Low"/>
    <s v="Low Risk"/>
    <x v="3"/>
    <n v="2025"/>
  </r>
  <r>
    <x v="25"/>
    <x v="14"/>
    <x v="1"/>
    <s v="V1639"/>
    <s v="Singapore"/>
    <s v="Mumbai"/>
    <x v="1"/>
    <n v="24.7"/>
    <n v="3623"/>
    <n v="83"/>
    <n v="17.2"/>
    <x v="3"/>
    <n v="15718.1"/>
    <n v="16553"/>
    <s v="Arun"/>
    <x v="1"/>
    <n v="146.68"/>
    <n v="4.34"/>
    <n v="0.95"/>
    <s v="On Time"/>
    <s v="Low"/>
    <s v="Low Risk"/>
    <x v="0"/>
    <n v="2025"/>
  </r>
  <r>
    <x v="165"/>
    <x v="32"/>
    <x v="0"/>
    <s v="V1640"/>
    <s v="Dubai"/>
    <s v="Mumbai"/>
    <x v="3"/>
    <n v="36.799999999999997"/>
    <n v="2758"/>
    <n v="106"/>
    <n v="18.600000000000001"/>
    <x v="3"/>
    <n v="22040.560000000001"/>
    <n v="20830"/>
    <s v="Sato"/>
    <x v="1"/>
    <n v="74.95"/>
    <n v="7.99"/>
    <n v="1.06"/>
    <s v="On Time"/>
    <s v="Low"/>
    <s v="Low Risk"/>
    <x v="5"/>
    <n v="2025"/>
  </r>
  <r>
    <x v="252"/>
    <x v="12"/>
    <x v="4"/>
    <s v="V1641"/>
    <s v="Rotterdam"/>
    <s v="Chennai"/>
    <x v="1"/>
    <n v="32.5"/>
    <n v="1884"/>
    <n v="41"/>
    <n v="12"/>
    <x v="1"/>
    <n v="16739.47"/>
    <n v="8472"/>
    <s v="Arun"/>
    <x v="0"/>
    <n v="57.97"/>
    <n v="8.89"/>
    <n v="1.98"/>
    <s v="Delayed"/>
    <s v="Low"/>
    <s v="Low Risk"/>
    <x v="9"/>
    <n v="2025"/>
  </r>
  <r>
    <x v="299"/>
    <x v="34"/>
    <x v="7"/>
    <s v="V1642"/>
    <s v="Hamburg"/>
    <s v="Busan"/>
    <x v="1"/>
    <n v="40.299999999999997"/>
    <n v="4259"/>
    <n v="79"/>
    <n v="21.4"/>
    <x v="1"/>
    <n v="23175.02"/>
    <n v="14481"/>
    <s v="Ahmed"/>
    <x v="0"/>
    <n v="105.68"/>
    <n v="5.44"/>
    <n v="1.6"/>
    <s v="Delayed"/>
    <s v="Medium"/>
    <s v="Low Risk"/>
    <x v="7"/>
    <n v="2025"/>
  </r>
  <r>
    <x v="284"/>
    <x v="17"/>
    <x v="4"/>
    <s v="V1643"/>
    <s v="Hamburg"/>
    <s v="Singapore"/>
    <x v="1"/>
    <n v="50.2"/>
    <n v="1402"/>
    <n v="115"/>
    <n v="12.6"/>
    <x v="2"/>
    <n v="32272.93"/>
    <n v="5558"/>
    <s v="Rahul"/>
    <x v="0"/>
    <n v="27.93"/>
    <n v="23.02"/>
    <n v="5.81"/>
    <s v="Delayed"/>
    <s v="Medium"/>
    <s v="High Risk"/>
    <x v="9"/>
    <n v="2025"/>
  </r>
  <r>
    <x v="193"/>
    <x v="46"/>
    <x v="3"/>
    <s v="V1644"/>
    <s v="Chennai"/>
    <s v="Busan"/>
    <x v="3"/>
    <n v="62"/>
    <n v="1207"/>
    <n v="41"/>
    <n v="13.5"/>
    <x v="2"/>
    <n v="32023.200000000001"/>
    <n v="19477"/>
    <s v="Michael"/>
    <x v="0"/>
    <n v="19.47"/>
    <n v="26.53"/>
    <n v="1.64"/>
    <s v="Delayed"/>
    <s v="High"/>
    <s v="High Risk"/>
    <x v="3"/>
    <n v="2025"/>
  </r>
  <r>
    <x v="104"/>
    <x v="11"/>
    <x v="6"/>
    <s v="V1645"/>
    <s v="Hamburg"/>
    <s v="Dubai"/>
    <x v="0"/>
    <n v="71.5"/>
    <n v="2419"/>
    <n v="58"/>
    <n v="12.1"/>
    <x v="2"/>
    <n v="44702.94"/>
    <n v="20296"/>
    <s v="Arun"/>
    <x v="0"/>
    <n v="33.83"/>
    <n v="18.48"/>
    <n v="2.2000000000000002"/>
    <s v="Delayed"/>
    <s v="High"/>
    <s v="High Risk"/>
    <x v="9"/>
    <n v="2025"/>
  </r>
  <r>
    <x v="42"/>
    <x v="54"/>
    <x v="1"/>
    <s v="V1646"/>
    <s v="Rotterdam"/>
    <s v="Dubai"/>
    <x v="2"/>
    <n v="33.299999999999997"/>
    <n v="3056"/>
    <n v="27"/>
    <n v="20.7"/>
    <x v="3"/>
    <n v="22182.61"/>
    <n v="9373"/>
    <s v="Arun"/>
    <x v="1"/>
    <n v="91.77"/>
    <n v="7.26"/>
    <n v="2.37"/>
    <s v="On Time"/>
    <s v="Low"/>
    <s v="Low Risk"/>
    <x v="10"/>
    <n v="2025"/>
  </r>
  <r>
    <x v="314"/>
    <x v="46"/>
    <x v="6"/>
    <s v="V1647"/>
    <s v="Mumbai"/>
    <s v="Rotterdam"/>
    <x v="0"/>
    <n v="50.1"/>
    <n v="3850"/>
    <n v="120"/>
    <n v="12.5"/>
    <x v="3"/>
    <n v="26255.33"/>
    <n v="14490"/>
    <s v="Michael"/>
    <x v="1"/>
    <n v="76.849999999999994"/>
    <n v="6.82"/>
    <n v="1.81"/>
    <s v="On Time"/>
    <s v="Medium"/>
    <s v="Low Risk"/>
    <x v="7"/>
    <n v="2025"/>
  </r>
  <r>
    <x v="95"/>
    <x v="33"/>
    <x v="3"/>
    <s v="V1648"/>
    <s v="Chennai"/>
    <s v="Singapore"/>
    <x v="3"/>
    <n v="46.3"/>
    <n v="2287"/>
    <n v="97"/>
    <n v="18.899999999999999"/>
    <x v="0"/>
    <n v="22123.66"/>
    <n v="18755"/>
    <s v="David"/>
    <x v="0"/>
    <n v="49.4"/>
    <n v="9.67"/>
    <n v="1.18"/>
    <s v="Delayed"/>
    <s v="Medium"/>
    <s v="Medium Risk"/>
    <x v="3"/>
    <n v="2025"/>
  </r>
  <r>
    <x v="21"/>
    <x v="64"/>
    <x v="4"/>
    <s v="V1649"/>
    <s v="Mumbai"/>
    <s v="Colombo"/>
    <x v="0"/>
    <n v="27.8"/>
    <n v="1087"/>
    <n v="72"/>
    <n v="18.100000000000001"/>
    <x v="3"/>
    <n v="16838.87"/>
    <n v="18001"/>
    <s v="Arun"/>
    <x v="1"/>
    <n v="39.1"/>
    <n v="15.49"/>
    <n v="0.94"/>
    <s v="On Time"/>
    <s v="Low"/>
    <s v="Low Risk"/>
    <x v="6"/>
    <n v="2025"/>
  </r>
  <r>
    <x v="167"/>
    <x v="67"/>
    <x v="0"/>
    <s v="V1650"/>
    <s v="Singapore"/>
    <s v="Mumbai"/>
    <x v="2"/>
    <n v="23.2"/>
    <n v="1778"/>
    <n v="99"/>
    <n v="10.8"/>
    <x v="1"/>
    <n v="15862.6"/>
    <n v="27217"/>
    <s v="Rahul"/>
    <x v="0"/>
    <n v="76.64"/>
    <n v="8.92"/>
    <n v="0.57999999999999996"/>
    <s v="Delayed"/>
    <s v="Low"/>
    <s v="Low Risk"/>
    <x v="11"/>
    <n v="2025"/>
  </r>
  <r>
    <x v="133"/>
    <x v="13"/>
    <x v="2"/>
    <s v="V1651"/>
    <s v="Mumbai"/>
    <s v="Singapore"/>
    <x v="1"/>
    <n v="43.2"/>
    <n v="1601"/>
    <n v="75"/>
    <n v="10.9"/>
    <x v="1"/>
    <n v="28524.05"/>
    <n v="5220"/>
    <s v="John"/>
    <x v="0"/>
    <n v="37.06"/>
    <n v="17.82"/>
    <n v="5.46"/>
    <s v="Delayed"/>
    <s v="Medium"/>
    <s v="Low Risk"/>
    <x v="10"/>
    <n v="2025"/>
  </r>
  <r>
    <x v="70"/>
    <x v="8"/>
    <x v="5"/>
    <s v="V1652"/>
    <s v="Mumbai"/>
    <s v="Hamburg"/>
    <x v="3"/>
    <n v="42.1"/>
    <n v="2532"/>
    <n v="107"/>
    <n v="13.2"/>
    <x v="0"/>
    <n v="24078.25"/>
    <n v="24529"/>
    <s v="Michael"/>
    <x v="0"/>
    <n v="60.14"/>
    <n v="9.51"/>
    <n v="0.98"/>
    <s v="Delayed"/>
    <s v="Medium"/>
    <s v="Medium Risk"/>
    <x v="4"/>
    <n v="2025"/>
  </r>
  <r>
    <x v="40"/>
    <x v="16"/>
    <x v="7"/>
    <s v="V1653"/>
    <s v="Dubai"/>
    <s v="Mumbai"/>
    <x v="2"/>
    <n v="57.7"/>
    <n v="4786"/>
    <n v="101"/>
    <n v="21.6"/>
    <x v="1"/>
    <n v="30277.23"/>
    <n v="8085"/>
    <s v="Sato"/>
    <x v="0"/>
    <n v="82.95"/>
    <n v="6.33"/>
    <n v="3.74"/>
    <s v="Delayed"/>
    <s v="Medium"/>
    <s v="Low Risk"/>
    <x v="0"/>
    <n v="2025"/>
  </r>
  <r>
    <x v="307"/>
    <x v="9"/>
    <x v="6"/>
    <s v="V1654"/>
    <s v="Colombo"/>
    <s v="Dubai"/>
    <x v="3"/>
    <n v="76.099999999999994"/>
    <n v="2859"/>
    <n v="55"/>
    <n v="16.5"/>
    <x v="0"/>
    <n v="40370.39"/>
    <n v="22544"/>
    <s v="Ahmed"/>
    <x v="0"/>
    <n v="37.57"/>
    <n v="14.12"/>
    <n v="1.79"/>
    <s v="Delayed"/>
    <s v="High"/>
    <s v="Medium Risk"/>
    <x v="8"/>
    <n v="2025"/>
  </r>
  <r>
    <x v="153"/>
    <x v="29"/>
    <x v="4"/>
    <s v="V1655"/>
    <s v="Colombo"/>
    <s v="Dubai"/>
    <x v="2"/>
    <n v="58.3"/>
    <n v="3719"/>
    <n v="44"/>
    <n v="13.8"/>
    <x v="0"/>
    <n v="29835.48"/>
    <n v="6387"/>
    <s v="Chen"/>
    <x v="0"/>
    <n v="63.79"/>
    <n v="8.02"/>
    <n v="4.67"/>
    <s v="Delayed"/>
    <s v="Medium"/>
    <s v="Medium Risk"/>
    <x v="3"/>
    <n v="2025"/>
  </r>
  <r>
    <x v="158"/>
    <x v="31"/>
    <x v="4"/>
    <s v="V1656"/>
    <s v="Singapore"/>
    <s v="Colombo"/>
    <x v="0"/>
    <n v="52.6"/>
    <n v="1330"/>
    <n v="65"/>
    <n v="13.5"/>
    <x v="3"/>
    <n v="33730.089999999997"/>
    <n v="17241"/>
    <s v="David"/>
    <x v="1"/>
    <n v="25.29"/>
    <n v="25.36"/>
    <n v="1.96"/>
    <s v="On Time"/>
    <s v="Medium"/>
    <s v="Low Risk"/>
    <x v="7"/>
    <n v="2025"/>
  </r>
  <r>
    <x v="99"/>
    <x v="21"/>
    <x v="3"/>
    <s v="V1657"/>
    <s v="Dubai"/>
    <s v="Hamburg"/>
    <x v="0"/>
    <n v="40.1"/>
    <n v="4628"/>
    <n v="39"/>
    <n v="21.9"/>
    <x v="0"/>
    <n v="27345.21"/>
    <n v="22705"/>
    <s v="Michael"/>
    <x v="0"/>
    <n v="115.41"/>
    <n v="5.91"/>
    <n v="1.2"/>
    <s v="Delayed"/>
    <s v="Medium"/>
    <s v="Medium Risk"/>
    <x v="7"/>
    <n v="2025"/>
  </r>
  <r>
    <x v="107"/>
    <x v="26"/>
    <x v="6"/>
    <s v="V1658"/>
    <s v="Singapore"/>
    <s v="Mumbai"/>
    <x v="1"/>
    <n v="37.5"/>
    <n v="4964"/>
    <n v="23"/>
    <n v="15.2"/>
    <x v="3"/>
    <n v="25173.98"/>
    <n v="7760"/>
    <s v="Chen"/>
    <x v="1"/>
    <n v="132.37"/>
    <n v="5.07"/>
    <n v="3.24"/>
    <s v="On Time"/>
    <s v="Low"/>
    <s v="Low Risk"/>
    <x v="9"/>
    <n v="2025"/>
  </r>
  <r>
    <x v="315"/>
    <x v="51"/>
    <x v="4"/>
    <s v="V1659"/>
    <s v="Mumbai"/>
    <s v="Busan"/>
    <x v="1"/>
    <n v="77.5"/>
    <n v="3677"/>
    <n v="101"/>
    <n v="15"/>
    <x v="2"/>
    <n v="43064.3"/>
    <n v="25126"/>
    <s v="Michael"/>
    <x v="0"/>
    <n v="47.45"/>
    <n v="11.71"/>
    <n v="1.71"/>
    <s v="Delayed"/>
    <s v="High"/>
    <s v="High Risk"/>
    <x v="7"/>
    <n v="2025"/>
  </r>
  <r>
    <x v="31"/>
    <x v="56"/>
    <x v="4"/>
    <s v="V1660"/>
    <s v="Colombo"/>
    <s v="Mumbai"/>
    <x v="2"/>
    <n v="26.7"/>
    <n v="2652"/>
    <n v="44"/>
    <n v="11.3"/>
    <x v="2"/>
    <n v="16829.09"/>
    <n v="24672"/>
    <s v="John"/>
    <x v="0"/>
    <n v="99.33"/>
    <n v="6.35"/>
    <n v="0.68"/>
    <s v="Delayed"/>
    <s v="Low"/>
    <s v="High Risk"/>
    <x v="2"/>
    <n v="2025"/>
  </r>
  <r>
    <x v="270"/>
    <x v="64"/>
    <x v="5"/>
    <s v="V1661"/>
    <s v="Chennai"/>
    <s v="Dubai"/>
    <x v="1"/>
    <n v="39.5"/>
    <n v="4940"/>
    <n v="42"/>
    <n v="18.2"/>
    <x v="0"/>
    <n v="20682.89"/>
    <n v="6422"/>
    <s v="John"/>
    <x v="0"/>
    <n v="125.06"/>
    <n v="4.1900000000000004"/>
    <n v="3.22"/>
    <s v="Delayed"/>
    <s v="Low"/>
    <s v="Medium Risk"/>
    <x v="1"/>
    <n v="2025"/>
  </r>
  <r>
    <x v="309"/>
    <x v="67"/>
    <x v="1"/>
    <s v="V1662"/>
    <s v="Busan"/>
    <s v="Chennai"/>
    <x v="3"/>
    <n v="53"/>
    <n v="4918"/>
    <n v="77"/>
    <n v="15.4"/>
    <x v="3"/>
    <n v="30068.91"/>
    <n v="18866"/>
    <s v="Ahmed"/>
    <x v="1"/>
    <n v="92.79"/>
    <n v="6.11"/>
    <n v="1.59"/>
    <s v="On Time"/>
    <s v="Medium"/>
    <s v="Low Risk"/>
    <x v="6"/>
    <n v="2025"/>
  </r>
  <r>
    <x v="274"/>
    <x v="62"/>
    <x v="1"/>
    <s v="V1663"/>
    <s v="Singapore"/>
    <s v="Rotterdam"/>
    <x v="1"/>
    <n v="52.8"/>
    <n v="4080"/>
    <n v="39"/>
    <n v="11.5"/>
    <x v="2"/>
    <n v="33832.620000000003"/>
    <n v="10851"/>
    <s v="Ahmed"/>
    <x v="0"/>
    <n v="77.27"/>
    <n v="8.2899999999999991"/>
    <n v="3.12"/>
    <s v="Delayed"/>
    <s v="Medium"/>
    <s v="High Risk"/>
    <x v="4"/>
    <n v="2025"/>
  </r>
  <r>
    <x v="150"/>
    <x v="13"/>
    <x v="1"/>
    <s v="V1664"/>
    <s v="Singapore"/>
    <s v="Hamburg"/>
    <x v="2"/>
    <n v="25.1"/>
    <n v="4889"/>
    <n v="59"/>
    <n v="17.5"/>
    <x v="1"/>
    <n v="16506.150000000001"/>
    <n v="10338"/>
    <s v="Rahul"/>
    <x v="0"/>
    <n v="194.78"/>
    <n v="3.38"/>
    <n v="1.6"/>
    <s v="Delayed"/>
    <s v="Low"/>
    <s v="Low Risk"/>
    <x v="6"/>
    <n v="2025"/>
  </r>
  <r>
    <x v="247"/>
    <x v="21"/>
    <x v="6"/>
    <s v="V1665"/>
    <s v="Colombo"/>
    <s v="Rotterdam"/>
    <x v="2"/>
    <n v="58.7"/>
    <n v="1974"/>
    <n v="43"/>
    <n v="20"/>
    <x v="3"/>
    <n v="37986.49"/>
    <n v="29126"/>
    <s v="Ahmed"/>
    <x v="1"/>
    <n v="33.630000000000003"/>
    <n v="19.239999999999998"/>
    <n v="1.3"/>
    <s v="On Time"/>
    <s v="Medium"/>
    <s v="Low Risk"/>
    <x v="10"/>
    <n v="2025"/>
  </r>
  <r>
    <x v="300"/>
    <x v="40"/>
    <x v="6"/>
    <s v="V1666"/>
    <s v="Mumbai"/>
    <s v="Singapore"/>
    <x v="1"/>
    <n v="20"/>
    <n v="4452"/>
    <n v="103"/>
    <n v="15.3"/>
    <x v="0"/>
    <n v="12579.92"/>
    <n v="6456"/>
    <s v="Chen"/>
    <x v="0"/>
    <n v="222.6"/>
    <n v="2.83"/>
    <n v="1.95"/>
    <s v="Delayed"/>
    <s v="Low"/>
    <s v="Medium Risk"/>
    <x v="10"/>
    <n v="2025"/>
  </r>
  <r>
    <x v="291"/>
    <x v="26"/>
    <x v="5"/>
    <s v="V1667"/>
    <s v="Dubai"/>
    <s v="Singapore"/>
    <x v="1"/>
    <n v="60"/>
    <n v="4801"/>
    <n v="61"/>
    <n v="12"/>
    <x v="1"/>
    <n v="37726.01"/>
    <n v="22752"/>
    <s v="Rahul"/>
    <x v="0"/>
    <n v="80.02"/>
    <n v="7.86"/>
    <n v="1.66"/>
    <s v="Delayed"/>
    <s v="High"/>
    <s v="Low Risk"/>
    <x v="6"/>
    <n v="2025"/>
  </r>
  <r>
    <x v="4"/>
    <x v="7"/>
    <x v="5"/>
    <s v="V1668"/>
    <s v="Colombo"/>
    <s v="Mumbai"/>
    <x v="2"/>
    <n v="54.6"/>
    <n v="1404"/>
    <n v="27"/>
    <n v="10.8"/>
    <x v="1"/>
    <n v="27789.05"/>
    <n v="21788"/>
    <s v="Ahmed"/>
    <x v="0"/>
    <n v="25.71"/>
    <n v="19.79"/>
    <n v="1.28"/>
    <s v="Delayed"/>
    <s v="Medium"/>
    <s v="Low Risk"/>
    <x v="3"/>
    <n v="2025"/>
  </r>
  <r>
    <x v="269"/>
    <x v="6"/>
    <x v="3"/>
    <s v="V1669"/>
    <s v="Mumbai"/>
    <s v="Dubai"/>
    <x v="3"/>
    <n v="21.8"/>
    <n v="4752"/>
    <n v="112"/>
    <n v="21.6"/>
    <x v="0"/>
    <n v="14624.39"/>
    <n v="21975"/>
    <s v="Ahmed"/>
    <x v="0"/>
    <n v="217.98"/>
    <n v="3.08"/>
    <n v="0.67"/>
    <s v="Delayed"/>
    <s v="Low"/>
    <s v="Medium Risk"/>
    <x v="9"/>
    <n v="2025"/>
  </r>
  <r>
    <x v="127"/>
    <x v="15"/>
    <x v="3"/>
    <s v="V1670"/>
    <s v="Mumbai"/>
    <s v="Chennai"/>
    <x v="3"/>
    <n v="30.4"/>
    <n v="1451"/>
    <n v="24"/>
    <n v="15.5"/>
    <x v="0"/>
    <n v="20649.240000000002"/>
    <n v="13084"/>
    <s v="Ahmed"/>
    <x v="0"/>
    <n v="47.73"/>
    <n v="14.23"/>
    <n v="1.58"/>
    <s v="Delayed"/>
    <s v="Low"/>
    <s v="Medium Risk"/>
    <x v="6"/>
    <n v="2025"/>
  </r>
  <r>
    <x v="78"/>
    <x v="14"/>
    <x v="7"/>
    <s v="V1671"/>
    <s v="Mumbai"/>
    <s v="Singapore"/>
    <x v="0"/>
    <n v="44.6"/>
    <n v="4142"/>
    <n v="89"/>
    <n v="16"/>
    <x v="2"/>
    <n v="31053.16"/>
    <n v="13152"/>
    <s v="Rahul"/>
    <x v="0"/>
    <n v="92.87"/>
    <n v="7.5"/>
    <n v="2.36"/>
    <s v="Delayed"/>
    <s v="Medium"/>
    <s v="High Risk"/>
    <x v="3"/>
    <n v="2025"/>
  </r>
  <r>
    <x v="309"/>
    <x v="39"/>
    <x v="0"/>
    <s v="V1672"/>
    <s v="Hamburg"/>
    <s v="Colombo"/>
    <x v="0"/>
    <n v="25.7"/>
    <n v="4554"/>
    <n v="114"/>
    <n v="16.600000000000001"/>
    <x v="2"/>
    <n v="17740.669999999998"/>
    <n v="5896"/>
    <s v="John"/>
    <x v="0"/>
    <n v="177.2"/>
    <n v="3.9"/>
    <n v="3.01"/>
    <s v="Delayed"/>
    <s v="Low"/>
    <s v="High Risk"/>
    <x v="6"/>
    <n v="2025"/>
  </r>
  <r>
    <x v="144"/>
    <x v="34"/>
    <x v="1"/>
    <s v="V1673"/>
    <s v="Chennai"/>
    <s v="Mumbai"/>
    <x v="0"/>
    <n v="20.399999999999999"/>
    <n v="3970"/>
    <n v="100"/>
    <n v="20"/>
    <x v="3"/>
    <n v="9199.49"/>
    <n v="12579"/>
    <s v="Sato"/>
    <x v="1"/>
    <n v="194.61"/>
    <n v="2.3199999999999998"/>
    <n v="0.73"/>
    <s v="On Time"/>
    <s v="Low"/>
    <s v="Low Risk"/>
    <x v="11"/>
    <n v="2025"/>
  </r>
  <r>
    <x v="301"/>
    <x v="72"/>
    <x v="6"/>
    <s v="V1674"/>
    <s v="Singapore"/>
    <s v="Hamburg"/>
    <x v="3"/>
    <n v="39"/>
    <n v="2826"/>
    <n v="65"/>
    <n v="10.199999999999999"/>
    <x v="1"/>
    <n v="25419.63"/>
    <n v="10738"/>
    <s v="John"/>
    <x v="0"/>
    <n v="72.459999999999994"/>
    <n v="8.99"/>
    <n v="2.37"/>
    <s v="Delayed"/>
    <s v="Low"/>
    <s v="Low Risk"/>
    <x v="10"/>
    <n v="2025"/>
  </r>
  <r>
    <x v="190"/>
    <x v="44"/>
    <x v="3"/>
    <s v="V1675"/>
    <s v="Dubai"/>
    <s v="Singapore"/>
    <x v="2"/>
    <n v="40"/>
    <n v="4501"/>
    <n v="97"/>
    <n v="17.7"/>
    <x v="0"/>
    <n v="24839.41"/>
    <n v="7365"/>
    <s v="Michael"/>
    <x v="0"/>
    <n v="112.53"/>
    <n v="5.52"/>
    <n v="3.37"/>
    <s v="Delayed"/>
    <s v="Medium"/>
    <s v="Medium Risk"/>
    <x v="5"/>
    <n v="2025"/>
  </r>
  <r>
    <x v="119"/>
    <x v="40"/>
    <x v="7"/>
    <s v="V1676"/>
    <s v="Mumbai"/>
    <s v="Dubai"/>
    <x v="1"/>
    <n v="66.8"/>
    <n v="3100"/>
    <n v="60"/>
    <n v="16.600000000000001"/>
    <x v="1"/>
    <n v="33619.730000000003"/>
    <n v="14192"/>
    <s v="Sato"/>
    <x v="0"/>
    <n v="46.41"/>
    <n v="10.85"/>
    <n v="2.37"/>
    <s v="Delayed"/>
    <s v="High"/>
    <s v="Low Risk"/>
    <x v="9"/>
    <n v="2025"/>
  </r>
  <r>
    <x v="41"/>
    <x v="6"/>
    <x v="6"/>
    <s v="V1677"/>
    <s v="Busan"/>
    <s v="Singapore"/>
    <x v="3"/>
    <n v="45.3"/>
    <n v="3441"/>
    <n v="94"/>
    <n v="21.6"/>
    <x v="0"/>
    <n v="29500.959999999999"/>
    <n v="26904"/>
    <s v="Sato"/>
    <x v="0"/>
    <n v="75.959999999999994"/>
    <n v="8.57"/>
    <n v="1.1000000000000001"/>
    <s v="Delayed"/>
    <s v="Medium"/>
    <s v="Medium Risk"/>
    <x v="7"/>
    <n v="2025"/>
  </r>
  <r>
    <x v="316"/>
    <x v="28"/>
    <x v="1"/>
    <s v="V1678"/>
    <s v="Mumbai"/>
    <s v="Hamburg"/>
    <x v="1"/>
    <n v="20.100000000000001"/>
    <n v="2301"/>
    <n v="22"/>
    <n v="12.2"/>
    <x v="1"/>
    <n v="12641.44"/>
    <n v="20718"/>
    <s v="Arun"/>
    <x v="0"/>
    <n v="114.48"/>
    <n v="5.49"/>
    <n v="0.61"/>
    <s v="Delayed"/>
    <s v="Low"/>
    <s v="Low Risk"/>
    <x v="4"/>
    <n v="2025"/>
  </r>
  <r>
    <x v="110"/>
    <x v="18"/>
    <x v="2"/>
    <s v="V1679"/>
    <s v="Chennai"/>
    <s v="Mumbai"/>
    <x v="2"/>
    <n v="30.3"/>
    <n v="2196"/>
    <n v="31"/>
    <n v="13.1"/>
    <x v="1"/>
    <n v="14005.51"/>
    <n v="11494"/>
    <s v="Rahul"/>
    <x v="0"/>
    <n v="72.48"/>
    <n v="6.38"/>
    <n v="1.22"/>
    <s v="Delayed"/>
    <s v="Low"/>
    <s v="Low Risk"/>
    <x v="11"/>
    <n v="2025"/>
  </r>
  <r>
    <x v="317"/>
    <x v="16"/>
    <x v="3"/>
    <s v="V1680"/>
    <s v="Mumbai"/>
    <s v="Chennai"/>
    <x v="1"/>
    <n v="34.1"/>
    <n v="1632"/>
    <n v="99"/>
    <n v="15.1"/>
    <x v="2"/>
    <n v="19794.150000000001"/>
    <n v="5084"/>
    <s v="Arun"/>
    <x v="0"/>
    <n v="47.86"/>
    <n v="12.13"/>
    <n v="3.89"/>
    <s v="Delayed"/>
    <s v="Low"/>
    <s v="High Risk"/>
    <x v="8"/>
    <n v="2025"/>
  </r>
  <r>
    <x v="68"/>
    <x v="75"/>
    <x v="0"/>
    <s v="V1681"/>
    <s v="Chennai"/>
    <s v="Hamburg"/>
    <x v="1"/>
    <n v="23.7"/>
    <n v="4658"/>
    <n v="39"/>
    <n v="17.7"/>
    <x v="0"/>
    <n v="14186"/>
    <n v="29633"/>
    <s v="David"/>
    <x v="0"/>
    <n v="196.54"/>
    <n v="3.05"/>
    <n v="0.48"/>
    <s v="Delayed"/>
    <s v="Low"/>
    <s v="Medium Risk"/>
    <x v="10"/>
    <n v="2025"/>
  </r>
  <r>
    <x v="318"/>
    <x v="27"/>
    <x v="1"/>
    <s v="V1682"/>
    <s v="Hamburg"/>
    <s v="Singapore"/>
    <x v="0"/>
    <n v="71.2"/>
    <n v="4476"/>
    <n v="111"/>
    <n v="15.3"/>
    <x v="0"/>
    <n v="44665.48"/>
    <n v="14314"/>
    <s v="Arun"/>
    <x v="0"/>
    <n v="62.87"/>
    <n v="9.98"/>
    <n v="3.12"/>
    <s v="Delayed"/>
    <s v="High"/>
    <s v="Medium Risk"/>
    <x v="10"/>
    <n v="2025"/>
  </r>
  <r>
    <x v="227"/>
    <x v="74"/>
    <x v="1"/>
    <s v="V1683"/>
    <s v="Chennai"/>
    <s v="Colombo"/>
    <x v="1"/>
    <n v="24.6"/>
    <n v="1906"/>
    <n v="55"/>
    <n v="15.7"/>
    <x v="0"/>
    <n v="11744.59"/>
    <n v="20296"/>
    <s v="Ahmed"/>
    <x v="0"/>
    <n v="77.48"/>
    <n v="6.16"/>
    <n v="0.57999999999999996"/>
    <s v="Delayed"/>
    <s v="Low"/>
    <s v="Medium Risk"/>
    <x v="2"/>
    <n v="2025"/>
  </r>
  <r>
    <x v="273"/>
    <x v="70"/>
    <x v="1"/>
    <s v="V1684"/>
    <s v="Singapore"/>
    <s v="Busan"/>
    <x v="0"/>
    <n v="25.6"/>
    <n v="3908"/>
    <n v="26"/>
    <n v="15.9"/>
    <x v="3"/>
    <n v="17703.68"/>
    <n v="29937"/>
    <s v="Chen"/>
    <x v="1"/>
    <n v="152.66"/>
    <n v="4.53"/>
    <n v="0.59"/>
    <s v="On Time"/>
    <s v="Low"/>
    <s v="Low Risk"/>
    <x v="4"/>
    <n v="2025"/>
  </r>
  <r>
    <x v="220"/>
    <x v="64"/>
    <x v="4"/>
    <s v="V1685"/>
    <s v="Mumbai"/>
    <s v="Busan"/>
    <x v="0"/>
    <n v="38.299999999999997"/>
    <n v="2358"/>
    <n v="63"/>
    <n v="10.8"/>
    <x v="0"/>
    <n v="23289.13"/>
    <n v="5444"/>
    <s v="Chen"/>
    <x v="0"/>
    <n v="61.57"/>
    <n v="9.8800000000000008"/>
    <n v="4.28"/>
    <s v="Delayed"/>
    <s v="Low"/>
    <s v="Medium Risk"/>
    <x v="0"/>
    <n v="2025"/>
  </r>
  <r>
    <x v="319"/>
    <x v="11"/>
    <x v="5"/>
    <s v="V1686"/>
    <s v="Busan"/>
    <s v="Hamburg"/>
    <x v="1"/>
    <n v="58"/>
    <n v="2308"/>
    <n v="50"/>
    <n v="18.3"/>
    <x v="1"/>
    <n v="34972.54"/>
    <n v="27916"/>
    <s v="Sato"/>
    <x v="0"/>
    <n v="39.79"/>
    <n v="15.15"/>
    <n v="1.25"/>
    <s v="Delayed"/>
    <s v="Medium"/>
    <s v="Low Risk"/>
    <x v="0"/>
    <n v="2025"/>
  </r>
  <r>
    <x v="114"/>
    <x v="69"/>
    <x v="5"/>
    <s v="V1687"/>
    <s v="Hamburg"/>
    <s v="Rotterdam"/>
    <x v="0"/>
    <n v="25.8"/>
    <n v="2624"/>
    <n v="116"/>
    <n v="17.3"/>
    <x v="3"/>
    <n v="16151.27"/>
    <n v="9549"/>
    <s v="Rahul"/>
    <x v="1"/>
    <n v="101.71"/>
    <n v="6.16"/>
    <n v="1.69"/>
    <s v="On Time"/>
    <s v="Low"/>
    <s v="Low Risk"/>
    <x v="11"/>
    <n v="2025"/>
  </r>
  <r>
    <x v="182"/>
    <x v="18"/>
    <x v="0"/>
    <s v="V1688"/>
    <s v="Hamburg"/>
    <s v="Busan"/>
    <x v="0"/>
    <n v="64.599999999999994"/>
    <n v="893"/>
    <n v="120"/>
    <n v="11.5"/>
    <x v="0"/>
    <n v="36011.47"/>
    <n v="11331"/>
    <s v="Ahmed"/>
    <x v="0"/>
    <n v="13.82"/>
    <n v="40.33"/>
    <n v="3.18"/>
    <s v="Delayed"/>
    <s v="High"/>
    <s v="Medium Risk"/>
    <x v="6"/>
    <n v="2025"/>
  </r>
  <r>
    <x v="17"/>
    <x v="24"/>
    <x v="4"/>
    <s v="V1689"/>
    <s v="Busan"/>
    <s v="Hamburg"/>
    <x v="0"/>
    <n v="52.3"/>
    <n v="3908"/>
    <n v="102"/>
    <n v="17.8"/>
    <x v="1"/>
    <n v="24208.83"/>
    <n v="25562"/>
    <s v="Chen"/>
    <x v="0"/>
    <n v="74.72"/>
    <n v="6.19"/>
    <n v="0.95"/>
    <s v="Delayed"/>
    <s v="Medium"/>
    <s v="Low Risk"/>
    <x v="9"/>
    <n v="2025"/>
  </r>
  <r>
    <x v="87"/>
    <x v="74"/>
    <x v="6"/>
    <s v="V1690"/>
    <s v="Mumbai"/>
    <s v="Hamburg"/>
    <x v="0"/>
    <n v="69.3"/>
    <n v="3751"/>
    <n v="83"/>
    <n v="13.6"/>
    <x v="2"/>
    <n v="44483.41"/>
    <n v="28204"/>
    <s v="Sato"/>
    <x v="0"/>
    <n v="54.13"/>
    <n v="11.86"/>
    <n v="1.58"/>
    <s v="Delayed"/>
    <s v="High"/>
    <s v="High Risk"/>
    <x v="9"/>
    <n v="2025"/>
  </r>
  <r>
    <x v="27"/>
    <x v="66"/>
    <x v="1"/>
    <s v="V1691"/>
    <s v="Chennai"/>
    <s v="Colombo"/>
    <x v="3"/>
    <n v="47.7"/>
    <n v="1839"/>
    <n v="102"/>
    <n v="12.7"/>
    <x v="0"/>
    <n v="24252"/>
    <n v="23591"/>
    <s v="John"/>
    <x v="0"/>
    <n v="38.549999999999997"/>
    <n v="13.19"/>
    <n v="1.03"/>
    <s v="Delayed"/>
    <s v="Medium"/>
    <s v="Medium Risk"/>
    <x v="9"/>
    <n v="2025"/>
  </r>
  <r>
    <x v="219"/>
    <x v="33"/>
    <x v="2"/>
    <s v="V1692"/>
    <s v="Dubai"/>
    <s v="Mumbai"/>
    <x v="2"/>
    <n v="56.8"/>
    <n v="2378"/>
    <n v="30"/>
    <n v="18.3"/>
    <x v="1"/>
    <n v="30725.34"/>
    <n v="8548"/>
    <s v="David"/>
    <x v="0"/>
    <n v="41.87"/>
    <n v="12.92"/>
    <n v="3.59"/>
    <s v="Delayed"/>
    <s v="Medium"/>
    <s v="Low Risk"/>
    <x v="11"/>
    <n v="2025"/>
  </r>
  <r>
    <x v="124"/>
    <x v="48"/>
    <x v="2"/>
    <s v="V1693"/>
    <s v="Rotterdam"/>
    <s v="Chennai"/>
    <x v="2"/>
    <n v="67.7"/>
    <n v="1250"/>
    <n v="75"/>
    <n v="13.7"/>
    <x v="2"/>
    <n v="34424.83"/>
    <n v="18653"/>
    <s v="Arun"/>
    <x v="0"/>
    <n v="18.46"/>
    <n v="27.54"/>
    <n v="1.85"/>
    <s v="Delayed"/>
    <s v="High"/>
    <s v="High Risk"/>
    <x v="5"/>
    <n v="2025"/>
  </r>
  <r>
    <x v="264"/>
    <x v="9"/>
    <x v="3"/>
    <s v="V1694"/>
    <s v="Dubai"/>
    <s v="Hamburg"/>
    <x v="0"/>
    <n v="76.3"/>
    <n v="2354"/>
    <n v="88"/>
    <n v="19.3"/>
    <x v="3"/>
    <n v="50833.56"/>
    <n v="19909"/>
    <s v="Arun"/>
    <x v="1"/>
    <n v="30.85"/>
    <n v="21.59"/>
    <n v="2.5499999999999998"/>
    <s v="On Time"/>
    <s v="High"/>
    <s v="Low Risk"/>
    <x v="5"/>
    <n v="2025"/>
  </r>
  <r>
    <x v="176"/>
    <x v="52"/>
    <x v="4"/>
    <s v="V1695"/>
    <s v="Hamburg"/>
    <s v="Colombo"/>
    <x v="3"/>
    <n v="32.5"/>
    <n v="2992"/>
    <n v="113"/>
    <n v="20"/>
    <x v="2"/>
    <n v="15130.16"/>
    <n v="21545"/>
    <s v="Ahmed"/>
    <x v="0"/>
    <n v="92.06"/>
    <n v="5.0599999999999996"/>
    <n v="0.7"/>
    <s v="Delayed"/>
    <s v="Low"/>
    <s v="High Risk"/>
    <x v="10"/>
    <n v="2025"/>
  </r>
  <r>
    <x v="80"/>
    <x v="48"/>
    <x v="4"/>
    <s v="V1696"/>
    <s v="Rotterdam"/>
    <s v="Chennai"/>
    <x v="2"/>
    <n v="26.2"/>
    <n v="1255"/>
    <n v="69"/>
    <n v="17.3"/>
    <x v="3"/>
    <n v="17507.57"/>
    <n v="28501"/>
    <s v="David"/>
    <x v="1"/>
    <n v="47.9"/>
    <n v="13.95"/>
    <n v="0.61"/>
    <s v="On Time"/>
    <s v="Low"/>
    <s v="Low Risk"/>
    <x v="6"/>
    <n v="2025"/>
  </r>
  <r>
    <x v="204"/>
    <x v="44"/>
    <x v="4"/>
    <s v="V1697"/>
    <s v="Rotterdam"/>
    <s v="Busan"/>
    <x v="2"/>
    <n v="56.3"/>
    <n v="3702"/>
    <n v="109"/>
    <n v="13.8"/>
    <x v="2"/>
    <n v="26616.19"/>
    <n v="26937"/>
    <s v="Sato"/>
    <x v="0"/>
    <n v="65.75"/>
    <n v="7.19"/>
    <n v="0.99"/>
    <s v="Delayed"/>
    <s v="Medium"/>
    <s v="High Risk"/>
    <x v="8"/>
    <n v="2025"/>
  </r>
  <r>
    <x v="280"/>
    <x v="5"/>
    <x v="7"/>
    <s v="V1698"/>
    <s v="Colombo"/>
    <s v="Hamburg"/>
    <x v="1"/>
    <n v="69.2"/>
    <n v="1477"/>
    <n v="33"/>
    <n v="12.7"/>
    <x v="1"/>
    <n v="46614.87"/>
    <n v="17907"/>
    <s v="David"/>
    <x v="0"/>
    <n v="21.34"/>
    <n v="31.56"/>
    <n v="2.6"/>
    <s v="Delayed"/>
    <s v="High"/>
    <s v="Low Risk"/>
    <x v="0"/>
    <n v="2025"/>
  </r>
  <r>
    <x v="4"/>
    <x v="79"/>
    <x v="1"/>
    <s v="V1699"/>
    <s v="Singapore"/>
    <s v="Mumbai"/>
    <x v="3"/>
    <n v="67.400000000000006"/>
    <n v="3194"/>
    <n v="26"/>
    <n v="20"/>
    <x v="3"/>
    <n v="36815.9"/>
    <n v="24879"/>
    <s v="John"/>
    <x v="1"/>
    <n v="47.39"/>
    <n v="11.53"/>
    <n v="1.48"/>
    <s v="On Time"/>
    <s v="High"/>
    <s v="Low Risk"/>
    <x v="3"/>
    <n v="2025"/>
  </r>
  <r>
    <x v="119"/>
    <x v="61"/>
    <x v="5"/>
    <s v="V1700"/>
    <s v="Mumbai"/>
    <s v="Colombo"/>
    <x v="3"/>
    <n v="57"/>
    <n v="4645"/>
    <n v="110"/>
    <n v="17.8"/>
    <x v="3"/>
    <n v="30759.95"/>
    <n v="11078"/>
    <s v="Chen"/>
    <x v="1"/>
    <n v="81.489999999999995"/>
    <n v="6.62"/>
    <n v="2.78"/>
    <s v="On Time"/>
    <s v="Medium"/>
    <s v="Low Risk"/>
    <x v="9"/>
    <n v="2025"/>
  </r>
  <r>
    <x v="74"/>
    <x v="58"/>
    <x v="6"/>
    <s v="V1701"/>
    <s v="Chennai"/>
    <s v="Singapore"/>
    <x v="1"/>
    <n v="66.400000000000006"/>
    <n v="4458"/>
    <n v="21"/>
    <n v="18"/>
    <x v="3"/>
    <n v="35585.32"/>
    <n v="22943"/>
    <s v="John"/>
    <x v="1"/>
    <n v="67.14"/>
    <n v="7.98"/>
    <n v="1.55"/>
    <s v="On Time"/>
    <s v="High"/>
    <s v="Low Risk"/>
    <x v="6"/>
    <n v="2025"/>
  </r>
  <r>
    <x v="262"/>
    <x v="22"/>
    <x v="2"/>
    <s v="V1702"/>
    <s v="Dubai"/>
    <s v="Chennai"/>
    <x v="1"/>
    <n v="47.2"/>
    <n v="4216"/>
    <n v="42"/>
    <n v="18.2"/>
    <x v="0"/>
    <n v="25974.83"/>
    <n v="20315"/>
    <s v="Michael"/>
    <x v="0"/>
    <n v="89.32"/>
    <n v="6.16"/>
    <n v="1.28"/>
    <s v="Delayed"/>
    <s v="Medium"/>
    <s v="Medium Risk"/>
    <x v="6"/>
    <n v="2025"/>
  </r>
  <r>
    <x v="18"/>
    <x v="68"/>
    <x v="3"/>
    <s v="V1703"/>
    <s v="Mumbai"/>
    <s v="Busan"/>
    <x v="2"/>
    <n v="50.7"/>
    <n v="2972"/>
    <n v="120"/>
    <n v="16.2"/>
    <x v="1"/>
    <n v="27950.66"/>
    <n v="14153"/>
    <s v="David"/>
    <x v="0"/>
    <n v="58.62"/>
    <n v="9.4"/>
    <n v="1.97"/>
    <s v="Delayed"/>
    <s v="Medium"/>
    <s v="Low Risk"/>
    <x v="2"/>
    <n v="2025"/>
  </r>
  <r>
    <x v="166"/>
    <x v="75"/>
    <x v="4"/>
    <s v="V1704"/>
    <s v="Dubai"/>
    <s v="Rotterdam"/>
    <x v="2"/>
    <n v="63.4"/>
    <n v="4425"/>
    <n v="117"/>
    <n v="19.7"/>
    <x v="2"/>
    <n v="38556.800000000003"/>
    <n v="14439"/>
    <s v="Ahmed"/>
    <x v="0"/>
    <n v="69.790000000000006"/>
    <n v="8.7100000000000009"/>
    <n v="2.67"/>
    <s v="Delayed"/>
    <s v="High"/>
    <s v="High Risk"/>
    <x v="5"/>
    <n v="2025"/>
  </r>
  <r>
    <x v="320"/>
    <x v="19"/>
    <x v="0"/>
    <s v="V1705"/>
    <s v="Busan"/>
    <s v="Singapore"/>
    <x v="1"/>
    <n v="28.4"/>
    <n v="3383"/>
    <n v="28"/>
    <n v="15.1"/>
    <x v="3"/>
    <n v="14556.43"/>
    <n v="29743"/>
    <s v="Ahmed"/>
    <x v="1"/>
    <n v="119.12"/>
    <n v="4.3"/>
    <n v="0.49"/>
    <s v="On Time"/>
    <s v="Low"/>
    <s v="Low Risk"/>
    <x v="1"/>
    <n v="2025"/>
  </r>
  <r>
    <x v="80"/>
    <x v="58"/>
    <x v="6"/>
    <s v="V1706"/>
    <s v="Singapore"/>
    <s v="Chennai"/>
    <x v="3"/>
    <n v="23.6"/>
    <n v="2565"/>
    <n v="118"/>
    <n v="13.6"/>
    <x v="3"/>
    <n v="14311.93"/>
    <n v="23341"/>
    <s v="David"/>
    <x v="1"/>
    <n v="108.69"/>
    <n v="5.58"/>
    <n v="0.61"/>
    <s v="On Time"/>
    <s v="Low"/>
    <s v="Low Risk"/>
    <x v="6"/>
    <n v="2025"/>
  </r>
  <r>
    <x v="203"/>
    <x v="65"/>
    <x v="2"/>
    <s v="V1707"/>
    <s v="Rotterdam"/>
    <s v="Hamburg"/>
    <x v="3"/>
    <n v="79.3"/>
    <n v="2696"/>
    <n v="55"/>
    <n v="21.7"/>
    <x v="3"/>
    <n v="55147.82"/>
    <n v="8735"/>
    <s v="John"/>
    <x v="1"/>
    <n v="34"/>
    <n v="20.46"/>
    <n v="6.31"/>
    <s v="On Time"/>
    <s v="High"/>
    <s v="Low Risk"/>
    <x v="4"/>
    <n v="2025"/>
  </r>
  <r>
    <x v="321"/>
    <x v="78"/>
    <x v="4"/>
    <s v="V1708"/>
    <s v="Dubai"/>
    <s v="Singapore"/>
    <x v="1"/>
    <n v="62.9"/>
    <n v="3582"/>
    <n v="77"/>
    <n v="10.4"/>
    <x v="3"/>
    <n v="39280.07"/>
    <n v="13564"/>
    <s v="David"/>
    <x v="1"/>
    <n v="56.95"/>
    <n v="10.97"/>
    <n v="2.9"/>
    <s v="On Time"/>
    <s v="High"/>
    <s v="Low Risk"/>
    <x v="8"/>
    <n v="2025"/>
  </r>
  <r>
    <x v="90"/>
    <x v="66"/>
    <x v="7"/>
    <s v="V1709"/>
    <s v="Chennai"/>
    <s v="Colombo"/>
    <x v="3"/>
    <n v="30.4"/>
    <n v="1022"/>
    <n v="41"/>
    <n v="10.7"/>
    <x v="0"/>
    <n v="16854.46"/>
    <n v="8934"/>
    <s v="David"/>
    <x v="0"/>
    <n v="33.619999999999997"/>
    <n v="16.489999999999998"/>
    <n v="1.89"/>
    <s v="Delayed"/>
    <s v="Low"/>
    <s v="Medium Risk"/>
    <x v="9"/>
    <n v="2025"/>
  </r>
  <r>
    <x v="233"/>
    <x v="47"/>
    <x v="4"/>
    <s v="V1710"/>
    <s v="Colombo"/>
    <s v="Busan"/>
    <x v="0"/>
    <n v="24.4"/>
    <n v="4893"/>
    <n v="119"/>
    <n v="20.8"/>
    <x v="3"/>
    <n v="13974.59"/>
    <n v="5694"/>
    <s v="Arun"/>
    <x v="1"/>
    <n v="200.53"/>
    <n v="2.86"/>
    <n v="2.4500000000000002"/>
    <s v="On Time"/>
    <s v="Low"/>
    <s v="Low Risk"/>
    <x v="5"/>
    <n v="2025"/>
  </r>
  <r>
    <x v="104"/>
    <x v="36"/>
    <x v="7"/>
    <s v="V1711"/>
    <s v="Colombo"/>
    <s v="Mumbai"/>
    <x v="3"/>
    <n v="73.8"/>
    <n v="4519"/>
    <n v="31"/>
    <n v="10.6"/>
    <x v="3"/>
    <n v="47256.86"/>
    <n v="14127"/>
    <s v="Michael"/>
    <x v="1"/>
    <n v="61.23"/>
    <n v="10.46"/>
    <n v="3.35"/>
    <s v="On Time"/>
    <s v="High"/>
    <s v="Low Risk"/>
    <x v="9"/>
    <n v="2025"/>
  </r>
  <r>
    <x v="264"/>
    <x v="6"/>
    <x v="7"/>
    <s v="V1712"/>
    <s v="Chennai"/>
    <s v="Mumbai"/>
    <x v="2"/>
    <n v="32.200000000000003"/>
    <n v="2569"/>
    <n v="24"/>
    <n v="15.3"/>
    <x v="3"/>
    <n v="17063.39"/>
    <n v="25406"/>
    <s v="Ahmed"/>
    <x v="1"/>
    <n v="79.78"/>
    <n v="6.64"/>
    <n v="0.67"/>
    <s v="On Time"/>
    <s v="Low"/>
    <s v="Low Risk"/>
    <x v="5"/>
    <n v="2025"/>
  </r>
  <r>
    <x v="295"/>
    <x v="47"/>
    <x v="7"/>
    <s v="V1713"/>
    <s v="Colombo"/>
    <s v="Chennai"/>
    <x v="2"/>
    <n v="23.4"/>
    <n v="1373"/>
    <n v="106"/>
    <n v="20.7"/>
    <x v="1"/>
    <n v="12709.4"/>
    <n v="25125"/>
    <s v="Rahul"/>
    <x v="0"/>
    <n v="58.68"/>
    <n v="9.26"/>
    <n v="0.51"/>
    <s v="Delayed"/>
    <s v="Low"/>
    <s v="Low Risk"/>
    <x v="8"/>
    <n v="2025"/>
  </r>
  <r>
    <x v="322"/>
    <x v="78"/>
    <x v="4"/>
    <s v="V1714"/>
    <s v="Rotterdam"/>
    <s v="Chennai"/>
    <x v="1"/>
    <n v="79.599999999999994"/>
    <n v="1609"/>
    <n v="24"/>
    <n v="10.3"/>
    <x v="0"/>
    <n v="41279.410000000003"/>
    <n v="7875"/>
    <s v="John"/>
    <x v="0"/>
    <n v="20.21"/>
    <n v="25.66"/>
    <n v="5.24"/>
    <s v="Delayed"/>
    <s v="High"/>
    <s v="Medium Risk"/>
    <x v="6"/>
    <n v="2025"/>
  </r>
  <r>
    <x v="272"/>
    <x v="58"/>
    <x v="4"/>
    <s v="V1715"/>
    <s v="Busan"/>
    <s v="Singapore"/>
    <x v="1"/>
    <n v="74.2"/>
    <n v="2578"/>
    <n v="104"/>
    <n v="10.3"/>
    <x v="1"/>
    <n v="33669.760000000002"/>
    <n v="26951"/>
    <s v="David"/>
    <x v="0"/>
    <n v="34.74"/>
    <n v="13.06"/>
    <n v="1.25"/>
    <s v="Delayed"/>
    <s v="High"/>
    <s v="Low Risk"/>
    <x v="8"/>
    <n v="2025"/>
  </r>
  <r>
    <x v="124"/>
    <x v="9"/>
    <x v="2"/>
    <s v="V1716"/>
    <s v="Rotterdam"/>
    <s v="Chennai"/>
    <x v="3"/>
    <n v="28.4"/>
    <n v="1071"/>
    <n v="35"/>
    <n v="10.199999999999999"/>
    <x v="2"/>
    <n v="16736.759999999998"/>
    <n v="25861"/>
    <s v="Ahmed"/>
    <x v="0"/>
    <n v="37.71"/>
    <n v="15.63"/>
    <n v="0.65"/>
    <s v="Delayed"/>
    <s v="Low"/>
    <s v="High Risk"/>
    <x v="5"/>
    <n v="2025"/>
  </r>
  <r>
    <x v="165"/>
    <x v="65"/>
    <x v="4"/>
    <s v="V1717"/>
    <s v="Dubai"/>
    <s v="Rotterdam"/>
    <x v="1"/>
    <n v="46"/>
    <n v="1901"/>
    <n v="71"/>
    <n v="14.5"/>
    <x v="0"/>
    <n v="25605.88"/>
    <n v="21124"/>
    <s v="Arun"/>
    <x v="0"/>
    <n v="41.33"/>
    <n v="13.47"/>
    <n v="1.21"/>
    <s v="Delayed"/>
    <s v="Medium"/>
    <s v="Medium Risk"/>
    <x v="5"/>
    <n v="2025"/>
  </r>
  <r>
    <x v="109"/>
    <x v="0"/>
    <x v="7"/>
    <s v="V1718"/>
    <s v="Singapore"/>
    <s v="Mumbai"/>
    <x v="0"/>
    <n v="76.599999999999994"/>
    <n v="3944"/>
    <n v="69"/>
    <n v="17.5"/>
    <x v="1"/>
    <n v="45547.46"/>
    <n v="26425"/>
    <s v="Sato"/>
    <x v="0"/>
    <n v="51.49"/>
    <n v="11.55"/>
    <n v="1.72"/>
    <s v="Delayed"/>
    <s v="High"/>
    <s v="Low Risk"/>
    <x v="5"/>
    <n v="2025"/>
  </r>
  <r>
    <x v="108"/>
    <x v="66"/>
    <x v="7"/>
    <s v="V1719"/>
    <s v="Rotterdam"/>
    <s v="Dubai"/>
    <x v="3"/>
    <n v="61.3"/>
    <n v="4888"/>
    <n v="101"/>
    <n v="10.199999999999999"/>
    <x v="3"/>
    <n v="39841.82"/>
    <n v="7120"/>
    <s v="Ahmed"/>
    <x v="1"/>
    <n v="79.739999999999995"/>
    <n v="8.15"/>
    <n v="5.6"/>
    <s v="On Time"/>
    <s v="High"/>
    <s v="Low Risk"/>
    <x v="4"/>
    <n v="2025"/>
  </r>
  <r>
    <x v="255"/>
    <x v="21"/>
    <x v="6"/>
    <s v="V1720"/>
    <s v="Rotterdam"/>
    <s v="Dubai"/>
    <x v="1"/>
    <n v="71.3"/>
    <n v="4182"/>
    <n v="120"/>
    <n v="19.600000000000001"/>
    <x v="1"/>
    <n v="43189.13"/>
    <n v="12685"/>
    <s v="Sato"/>
    <x v="0"/>
    <n v="58.65"/>
    <n v="10.33"/>
    <n v="3.4"/>
    <s v="Delayed"/>
    <s v="High"/>
    <s v="Low Risk"/>
    <x v="2"/>
    <n v="2025"/>
  </r>
  <r>
    <x v="323"/>
    <x v="0"/>
    <x v="7"/>
    <s v="V1721"/>
    <s v="Busan"/>
    <s v="Colombo"/>
    <x v="2"/>
    <n v="78.400000000000006"/>
    <n v="3568"/>
    <n v="95"/>
    <n v="20.7"/>
    <x v="2"/>
    <n v="48583.83"/>
    <n v="28084"/>
    <s v="Ahmed"/>
    <x v="0"/>
    <n v="45.51"/>
    <n v="13.62"/>
    <n v="1.73"/>
    <s v="Delayed"/>
    <s v="High"/>
    <s v="High Risk"/>
    <x v="0"/>
    <n v="2025"/>
  </r>
  <r>
    <x v="111"/>
    <x v="6"/>
    <x v="4"/>
    <s v="V1722"/>
    <s v="Colombo"/>
    <s v="Rotterdam"/>
    <x v="0"/>
    <n v="78.3"/>
    <n v="1807"/>
    <n v="108"/>
    <n v="19.600000000000001"/>
    <x v="3"/>
    <n v="47008.17"/>
    <n v="19293"/>
    <s v="Sato"/>
    <x v="1"/>
    <n v="23.08"/>
    <n v="26.01"/>
    <n v="2.44"/>
    <s v="On Time"/>
    <s v="High"/>
    <s v="Low Risk"/>
    <x v="7"/>
    <n v="2025"/>
  </r>
  <r>
    <x v="89"/>
    <x v="77"/>
    <x v="4"/>
    <s v="V1723"/>
    <s v="Mumbai"/>
    <s v="Colombo"/>
    <x v="3"/>
    <n v="23.1"/>
    <n v="1288"/>
    <n v="46"/>
    <n v="17.600000000000001"/>
    <x v="3"/>
    <n v="12614.28"/>
    <n v="19657"/>
    <s v="Ahmed"/>
    <x v="1"/>
    <n v="55.76"/>
    <n v="9.7899999999999991"/>
    <n v="0.64"/>
    <s v="On Time"/>
    <s v="Low"/>
    <s v="Low Risk"/>
    <x v="1"/>
    <n v="2025"/>
  </r>
  <r>
    <x v="324"/>
    <x v="3"/>
    <x v="7"/>
    <s v="V1724"/>
    <s v="Mumbai"/>
    <s v="Rotterdam"/>
    <x v="1"/>
    <n v="27.6"/>
    <n v="1214"/>
    <n v="29"/>
    <n v="11.7"/>
    <x v="0"/>
    <n v="17640.96"/>
    <n v="16074"/>
    <s v="Michael"/>
    <x v="0"/>
    <n v="43.99"/>
    <n v="14.53"/>
    <n v="1.1000000000000001"/>
    <s v="Delayed"/>
    <s v="Low"/>
    <s v="Medium Risk"/>
    <x v="3"/>
    <n v="2025"/>
  </r>
  <r>
    <x v="325"/>
    <x v="28"/>
    <x v="1"/>
    <s v="V1725"/>
    <s v="Busan"/>
    <s v="Chennai"/>
    <x v="0"/>
    <n v="33.9"/>
    <n v="2720"/>
    <n v="113"/>
    <n v="15.6"/>
    <x v="3"/>
    <n v="21519.72"/>
    <n v="11005"/>
    <s v="John"/>
    <x v="1"/>
    <n v="80.239999999999995"/>
    <n v="7.91"/>
    <n v="1.96"/>
    <s v="On Time"/>
    <s v="Low"/>
    <s v="Low Risk"/>
    <x v="8"/>
    <n v="2025"/>
  </r>
  <r>
    <x v="294"/>
    <x v="51"/>
    <x v="2"/>
    <s v="V1726"/>
    <s v="Singapore"/>
    <s v="Busan"/>
    <x v="0"/>
    <n v="65.7"/>
    <n v="724"/>
    <n v="48"/>
    <n v="19.8"/>
    <x v="0"/>
    <n v="44841.02"/>
    <n v="13533"/>
    <s v="Arun"/>
    <x v="0"/>
    <n v="11.02"/>
    <n v="61.94"/>
    <n v="3.31"/>
    <s v="Delayed"/>
    <s v="High"/>
    <s v="Medium Risk"/>
    <x v="11"/>
    <n v="2025"/>
  </r>
  <r>
    <x v="87"/>
    <x v="78"/>
    <x v="0"/>
    <s v="V1727"/>
    <s v="Singapore"/>
    <s v="Busan"/>
    <x v="0"/>
    <n v="61.2"/>
    <n v="1163"/>
    <n v="115"/>
    <n v="14.2"/>
    <x v="0"/>
    <n v="32493.040000000001"/>
    <n v="10929"/>
    <s v="David"/>
    <x v="0"/>
    <n v="19"/>
    <n v="27.94"/>
    <n v="2.97"/>
    <s v="Delayed"/>
    <s v="High"/>
    <s v="Medium Risk"/>
    <x v="9"/>
    <n v="2025"/>
  </r>
  <r>
    <x v="207"/>
    <x v="71"/>
    <x v="2"/>
    <s v="V1728"/>
    <s v="Dubai"/>
    <s v="Chennai"/>
    <x v="3"/>
    <n v="77.2"/>
    <n v="1054"/>
    <n v="41"/>
    <n v="13.2"/>
    <x v="2"/>
    <n v="41665.589999999997"/>
    <n v="21478"/>
    <s v="David"/>
    <x v="0"/>
    <n v="13.65"/>
    <n v="39.53"/>
    <n v="1.94"/>
    <s v="Delayed"/>
    <s v="High"/>
    <s v="High Risk"/>
    <x v="1"/>
    <n v="2025"/>
  </r>
  <r>
    <x v="326"/>
    <x v="62"/>
    <x v="0"/>
    <s v="V1729"/>
    <s v="Colombo"/>
    <s v="Rotterdam"/>
    <x v="0"/>
    <n v="20.8"/>
    <n v="3677"/>
    <n v="52"/>
    <n v="18"/>
    <x v="1"/>
    <n v="11946.11"/>
    <n v="13752"/>
    <s v="Sato"/>
    <x v="0"/>
    <n v="176.78"/>
    <n v="3.25"/>
    <n v="0.87"/>
    <s v="Delayed"/>
    <s v="Low"/>
    <s v="Low Risk"/>
    <x v="1"/>
    <n v="2025"/>
  </r>
  <r>
    <x v="293"/>
    <x v="60"/>
    <x v="5"/>
    <s v="V1730"/>
    <s v="Busan"/>
    <s v="Colombo"/>
    <x v="1"/>
    <n v="70.900000000000006"/>
    <n v="4863"/>
    <n v="61"/>
    <n v="11.4"/>
    <x v="1"/>
    <n v="48270.62"/>
    <n v="21149"/>
    <s v="Michael"/>
    <x v="0"/>
    <n v="68.59"/>
    <n v="9.93"/>
    <n v="2.2799999999999998"/>
    <s v="Delayed"/>
    <s v="High"/>
    <s v="Low Risk"/>
    <x v="3"/>
    <n v="2025"/>
  </r>
  <r>
    <x v="239"/>
    <x v="76"/>
    <x v="6"/>
    <s v="V1731"/>
    <s v="Colombo"/>
    <s v="Hamburg"/>
    <x v="3"/>
    <n v="69.8"/>
    <n v="4338"/>
    <n v="20"/>
    <n v="14.7"/>
    <x v="3"/>
    <n v="37462.11"/>
    <n v="29454"/>
    <s v="Rahul"/>
    <x v="1"/>
    <n v="62.15"/>
    <n v="8.64"/>
    <n v="1.27"/>
    <s v="On Time"/>
    <s v="High"/>
    <s v="Low Risk"/>
    <x v="6"/>
    <n v="2025"/>
  </r>
  <r>
    <x v="306"/>
    <x v="68"/>
    <x v="7"/>
    <s v="V1732"/>
    <s v="Hamburg"/>
    <s v="Colombo"/>
    <x v="0"/>
    <n v="57.3"/>
    <n v="2604"/>
    <n v="76"/>
    <n v="16.600000000000001"/>
    <x v="2"/>
    <n v="36958.53"/>
    <n v="10624"/>
    <s v="Ahmed"/>
    <x v="0"/>
    <n v="45.45"/>
    <n v="14.19"/>
    <n v="3.48"/>
    <s v="Delayed"/>
    <s v="Medium"/>
    <s v="High Risk"/>
    <x v="0"/>
    <n v="2025"/>
  </r>
  <r>
    <x v="12"/>
    <x v="17"/>
    <x v="7"/>
    <s v="V1733"/>
    <s v="Dubai"/>
    <s v="Rotterdam"/>
    <x v="3"/>
    <n v="67.599999999999994"/>
    <n v="2616"/>
    <n v="79"/>
    <n v="11.9"/>
    <x v="3"/>
    <n v="41122.019999999997"/>
    <n v="19320"/>
    <s v="Rahul"/>
    <x v="1"/>
    <n v="38.700000000000003"/>
    <n v="15.72"/>
    <n v="2.13"/>
    <s v="On Time"/>
    <s v="High"/>
    <s v="Low Risk"/>
    <x v="8"/>
    <n v="2025"/>
  </r>
  <r>
    <x v="194"/>
    <x v="20"/>
    <x v="4"/>
    <s v="V1734"/>
    <s v="Hamburg"/>
    <s v="Singapore"/>
    <x v="0"/>
    <n v="50.3"/>
    <n v="3029"/>
    <n v="33"/>
    <n v="19.7"/>
    <x v="1"/>
    <n v="34840.699999999997"/>
    <n v="19165"/>
    <s v="Rahul"/>
    <x v="0"/>
    <n v="60.22"/>
    <n v="11.5"/>
    <n v="1.82"/>
    <s v="Delayed"/>
    <s v="Medium"/>
    <s v="Low Risk"/>
    <x v="4"/>
    <n v="2025"/>
  </r>
  <r>
    <x v="64"/>
    <x v="5"/>
    <x v="4"/>
    <s v="V1735"/>
    <s v="Colombo"/>
    <s v="Singapore"/>
    <x v="2"/>
    <n v="65.099999999999994"/>
    <n v="2646"/>
    <n v="110"/>
    <n v="10.7"/>
    <x v="1"/>
    <n v="34286.339999999997"/>
    <n v="29942"/>
    <s v="Arun"/>
    <x v="0"/>
    <n v="40.65"/>
    <n v="12.96"/>
    <n v="1.1499999999999999"/>
    <s v="Delayed"/>
    <s v="High"/>
    <s v="Low Risk"/>
    <x v="4"/>
    <n v="2025"/>
  </r>
  <r>
    <x v="147"/>
    <x v="56"/>
    <x v="7"/>
    <s v="V1736"/>
    <s v="Colombo"/>
    <s v="Singapore"/>
    <x v="1"/>
    <n v="50.8"/>
    <n v="620"/>
    <n v="110"/>
    <n v="15.7"/>
    <x v="2"/>
    <n v="31824.2"/>
    <n v="27572"/>
    <s v="Michael"/>
    <x v="0"/>
    <n v="12.2"/>
    <n v="51.33"/>
    <n v="1.1499999999999999"/>
    <s v="Delayed"/>
    <s v="Medium"/>
    <s v="High Risk"/>
    <x v="4"/>
    <n v="2025"/>
  </r>
  <r>
    <x v="109"/>
    <x v="52"/>
    <x v="3"/>
    <s v="V1737"/>
    <s v="Singapore"/>
    <s v="Rotterdam"/>
    <x v="0"/>
    <n v="67"/>
    <n v="758"/>
    <n v="58"/>
    <n v="18.600000000000001"/>
    <x v="2"/>
    <n v="45920.15"/>
    <n v="8196"/>
    <s v="Arun"/>
    <x v="0"/>
    <n v="11.31"/>
    <n v="60.58"/>
    <n v="5.6"/>
    <s v="Delayed"/>
    <s v="High"/>
    <s v="High Risk"/>
    <x v="5"/>
    <n v="2025"/>
  </r>
  <r>
    <x v="130"/>
    <x v="28"/>
    <x v="4"/>
    <s v="V1738"/>
    <s v="Chennai"/>
    <s v="Busan"/>
    <x v="0"/>
    <n v="41.2"/>
    <n v="4808"/>
    <n v="72"/>
    <n v="13.3"/>
    <x v="1"/>
    <n v="23261.599999999999"/>
    <n v="6257"/>
    <s v="Arun"/>
    <x v="0"/>
    <n v="116.7"/>
    <n v="4.84"/>
    <n v="3.72"/>
    <s v="Delayed"/>
    <s v="Medium"/>
    <s v="Low Risk"/>
    <x v="6"/>
    <n v="2025"/>
  </r>
  <r>
    <x v="197"/>
    <x v="47"/>
    <x v="0"/>
    <s v="V1739"/>
    <s v="Colombo"/>
    <s v="Busan"/>
    <x v="0"/>
    <n v="78.900000000000006"/>
    <n v="4222"/>
    <n v="50"/>
    <n v="17.5"/>
    <x v="0"/>
    <n v="52285.97"/>
    <n v="21998"/>
    <s v="David"/>
    <x v="0"/>
    <n v="53.51"/>
    <n v="12.38"/>
    <n v="2.38"/>
    <s v="Delayed"/>
    <s v="High"/>
    <s v="Medium Risk"/>
    <x v="5"/>
    <n v="2025"/>
  </r>
  <r>
    <x v="9"/>
    <x v="37"/>
    <x v="2"/>
    <s v="V1740"/>
    <s v="Rotterdam"/>
    <s v="Singapore"/>
    <x v="1"/>
    <n v="28.9"/>
    <n v="2830"/>
    <n v="68"/>
    <n v="20.6"/>
    <x v="0"/>
    <n v="18645.669999999998"/>
    <n v="11654"/>
    <s v="Sato"/>
    <x v="0"/>
    <n v="97.92"/>
    <n v="6.59"/>
    <n v="1.6"/>
    <s v="Delayed"/>
    <s v="Low"/>
    <s v="Medium Risk"/>
    <x v="6"/>
    <n v="2025"/>
  </r>
  <r>
    <x v="327"/>
    <x v="46"/>
    <x v="3"/>
    <s v="V1741"/>
    <s v="Singapore"/>
    <s v="Dubai"/>
    <x v="2"/>
    <n v="44.5"/>
    <n v="969"/>
    <n v="58"/>
    <n v="17.899999999999999"/>
    <x v="3"/>
    <n v="29775.83"/>
    <n v="21697"/>
    <s v="Rahul"/>
    <x v="1"/>
    <n v="21.78"/>
    <n v="30.73"/>
    <n v="1.37"/>
    <s v="On Time"/>
    <s v="Medium"/>
    <s v="Low Risk"/>
    <x v="8"/>
    <n v="2025"/>
  </r>
  <r>
    <x v="328"/>
    <x v="22"/>
    <x v="7"/>
    <s v="V1742"/>
    <s v="Hamburg"/>
    <s v="Singapore"/>
    <x v="2"/>
    <n v="60.5"/>
    <n v="653"/>
    <n v="44"/>
    <n v="17.899999999999999"/>
    <x v="1"/>
    <n v="28440.52"/>
    <n v="6354"/>
    <s v="Sato"/>
    <x v="0"/>
    <n v="10.79"/>
    <n v="43.55"/>
    <n v="4.4800000000000004"/>
    <s v="Delayed"/>
    <s v="High"/>
    <s v="Low Risk"/>
    <x v="11"/>
    <n v="2025"/>
  </r>
  <r>
    <x v="33"/>
    <x v="59"/>
    <x v="0"/>
    <s v="V1743"/>
    <s v="Hamburg"/>
    <s v="Busan"/>
    <x v="1"/>
    <n v="49"/>
    <n v="3665"/>
    <n v="56"/>
    <n v="14.5"/>
    <x v="0"/>
    <n v="28071.25"/>
    <n v="15394"/>
    <s v="Chen"/>
    <x v="0"/>
    <n v="74.8"/>
    <n v="7.66"/>
    <n v="1.82"/>
    <s v="Delayed"/>
    <s v="Medium"/>
    <s v="Medium Risk"/>
    <x v="0"/>
    <n v="2025"/>
  </r>
  <r>
    <x v="172"/>
    <x v="65"/>
    <x v="7"/>
    <s v="V1744"/>
    <s v="Rotterdam"/>
    <s v="Busan"/>
    <x v="2"/>
    <n v="23"/>
    <n v="2707"/>
    <n v="119"/>
    <n v="19.399999999999999"/>
    <x v="3"/>
    <n v="15728.58"/>
    <n v="10195"/>
    <s v="John"/>
    <x v="1"/>
    <n v="117.7"/>
    <n v="5.81"/>
    <n v="1.54"/>
    <s v="On Time"/>
    <s v="Low"/>
    <s v="Low Risk"/>
    <x v="8"/>
    <n v="2025"/>
  </r>
  <r>
    <x v="98"/>
    <x v="36"/>
    <x v="4"/>
    <s v="V1745"/>
    <s v="Colombo"/>
    <s v="Singapore"/>
    <x v="3"/>
    <n v="72.400000000000006"/>
    <n v="1957"/>
    <n v="44"/>
    <n v="11.6"/>
    <x v="2"/>
    <n v="43127.98"/>
    <n v="24879"/>
    <s v="John"/>
    <x v="0"/>
    <n v="27.03"/>
    <n v="22.04"/>
    <n v="1.73"/>
    <s v="Delayed"/>
    <s v="High"/>
    <s v="High Risk"/>
    <x v="6"/>
    <n v="2025"/>
  </r>
  <r>
    <x v="107"/>
    <x v="60"/>
    <x v="0"/>
    <s v="V1746"/>
    <s v="Busan"/>
    <s v="Hamburg"/>
    <x v="3"/>
    <n v="51.5"/>
    <n v="1271"/>
    <n v="28"/>
    <n v="14.9"/>
    <x v="0"/>
    <n v="28837.37"/>
    <n v="14666"/>
    <s v="Arun"/>
    <x v="0"/>
    <n v="24.68"/>
    <n v="22.69"/>
    <n v="1.97"/>
    <s v="Delayed"/>
    <s v="Medium"/>
    <s v="Medium Risk"/>
    <x v="9"/>
    <n v="2025"/>
  </r>
  <r>
    <x v="5"/>
    <x v="21"/>
    <x v="2"/>
    <s v="V1747"/>
    <s v="Chennai"/>
    <s v="Mumbai"/>
    <x v="1"/>
    <n v="22.7"/>
    <n v="2934"/>
    <n v="28"/>
    <n v="12.3"/>
    <x v="0"/>
    <n v="14993.36"/>
    <n v="8870"/>
    <s v="Arun"/>
    <x v="0"/>
    <n v="129.25"/>
    <n v="5.1100000000000003"/>
    <n v="1.69"/>
    <s v="Delayed"/>
    <s v="Low"/>
    <s v="Medium Risk"/>
    <x v="4"/>
    <n v="2025"/>
  </r>
  <r>
    <x v="218"/>
    <x v="32"/>
    <x v="2"/>
    <s v="V1748"/>
    <s v="Hamburg"/>
    <s v="Mumbai"/>
    <x v="0"/>
    <n v="55.8"/>
    <n v="1370"/>
    <n v="60"/>
    <n v="15.8"/>
    <x v="1"/>
    <n v="31882.99"/>
    <n v="23263"/>
    <s v="Sato"/>
    <x v="0"/>
    <n v="24.55"/>
    <n v="23.27"/>
    <n v="1.37"/>
    <s v="Delayed"/>
    <s v="Medium"/>
    <s v="Low Risk"/>
    <x v="11"/>
    <n v="2025"/>
  </r>
  <r>
    <x v="262"/>
    <x v="23"/>
    <x v="4"/>
    <s v="V1749"/>
    <s v="Chennai"/>
    <s v="Hamburg"/>
    <x v="0"/>
    <n v="25.5"/>
    <n v="1021"/>
    <n v="58"/>
    <n v="17"/>
    <x v="3"/>
    <n v="13078.45"/>
    <n v="12178"/>
    <s v="Arun"/>
    <x v="1"/>
    <n v="40.04"/>
    <n v="12.81"/>
    <n v="1.07"/>
    <s v="On Time"/>
    <s v="Low"/>
    <s v="Low Risk"/>
    <x v="6"/>
    <n v="2025"/>
  </r>
  <r>
    <x v="227"/>
    <x v="44"/>
    <x v="5"/>
    <s v="V1750"/>
    <s v="Busan"/>
    <s v="Hamburg"/>
    <x v="0"/>
    <n v="37.4"/>
    <n v="1609"/>
    <n v="31"/>
    <n v="17.5"/>
    <x v="2"/>
    <n v="22620.06"/>
    <n v="29637"/>
    <s v="Ahmed"/>
    <x v="0"/>
    <n v="43.02"/>
    <n v="14.06"/>
    <n v="0.76"/>
    <s v="Delayed"/>
    <s v="Low"/>
    <s v="High Risk"/>
    <x v="2"/>
    <n v="2025"/>
  </r>
  <r>
    <x v="13"/>
    <x v="70"/>
    <x v="3"/>
    <s v="V1751"/>
    <s v="Rotterdam"/>
    <s v="Singapore"/>
    <x v="1"/>
    <n v="28.4"/>
    <n v="4691"/>
    <n v="112"/>
    <n v="12.2"/>
    <x v="0"/>
    <n v="18189.580000000002"/>
    <n v="29617"/>
    <s v="Arun"/>
    <x v="0"/>
    <n v="165.18"/>
    <n v="3.88"/>
    <n v="0.61"/>
    <s v="Delayed"/>
    <s v="Low"/>
    <s v="Medium Risk"/>
    <x v="2"/>
    <n v="2025"/>
  </r>
  <r>
    <x v="229"/>
    <x v="37"/>
    <x v="4"/>
    <s v="V1752"/>
    <s v="Chennai"/>
    <s v="Rotterdam"/>
    <x v="0"/>
    <n v="45.7"/>
    <n v="2274"/>
    <n v="81"/>
    <n v="14.6"/>
    <x v="3"/>
    <n v="22908.35"/>
    <n v="20518"/>
    <s v="Ahmed"/>
    <x v="1"/>
    <n v="49.76"/>
    <n v="10.07"/>
    <n v="1.1200000000000001"/>
    <s v="On Time"/>
    <s v="Medium"/>
    <s v="Low Risk"/>
    <x v="1"/>
    <n v="2025"/>
  </r>
  <r>
    <x v="134"/>
    <x v="8"/>
    <x v="3"/>
    <s v="V1753"/>
    <s v="Busan"/>
    <s v="Mumbai"/>
    <x v="3"/>
    <n v="62.9"/>
    <n v="3595"/>
    <n v="44"/>
    <n v="11"/>
    <x v="2"/>
    <n v="30971.31"/>
    <n v="14442"/>
    <s v="Ahmed"/>
    <x v="0"/>
    <n v="57.15"/>
    <n v="8.6199999999999992"/>
    <n v="2.14"/>
    <s v="Delayed"/>
    <s v="High"/>
    <s v="High Risk"/>
    <x v="9"/>
    <n v="2025"/>
  </r>
  <r>
    <x v="121"/>
    <x v="79"/>
    <x v="5"/>
    <s v="V1754"/>
    <s v="Singapore"/>
    <s v="Colombo"/>
    <x v="2"/>
    <n v="22.7"/>
    <n v="3463"/>
    <n v="92"/>
    <n v="11.2"/>
    <x v="3"/>
    <n v="14990.53"/>
    <n v="6015"/>
    <s v="Sato"/>
    <x v="1"/>
    <n v="152.56"/>
    <n v="4.33"/>
    <n v="2.4900000000000002"/>
    <s v="On Time"/>
    <s v="Low"/>
    <s v="Low Risk"/>
    <x v="2"/>
    <n v="2025"/>
  </r>
  <r>
    <x v="222"/>
    <x v="49"/>
    <x v="3"/>
    <s v="V1755"/>
    <s v="Mumbai"/>
    <s v="Dubai"/>
    <x v="2"/>
    <n v="66.2"/>
    <n v="2341"/>
    <n v="61"/>
    <n v="14.6"/>
    <x v="0"/>
    <n v="36767.51"/>
    <n v="15162"/>
    <s v="Rahul"/>
    <x v="0"/>
    <n v="35.36"/>
    <n v="15.71"/>
    <n v="2.42"/>
    <s v="Delayed"/>
    <s v="High"/>
    <s v="Medium Risk"/>
    <x v="11"/>
    <n v="2025"/>
  </r>
  <r>
    <x v="64"/>
    <x v="13"/>
    <x v="0"/>
    <s v="V1756"/>
    <s v="Hamburg"/>
    <s v="Singapore"/>
    <x v="3"/>
    <n v="35.5"/>
    <n v="4115"/>
    <n v="95"/>
    <n v="19.7"/>
    <x v="2"/>
    <n v="18197.34"/>
    <n v="15047"/>
    <s v="Ahmed"/>
    <x v="0"/>
    <n v="115.92"/>
    <n v="4.42"/>
    <n v="1.21"/>
    <s v="Delayed"/>
    <s v="Low"/>
    <s v="High Risk"/>
    <x v="4"/>
    <n v="2025"/>
  </r>
  <r>
    <x v="68"/>
    <x v="71"/>
    <x v="3"/>
    <s v="V1757"/>
    <s v="Rotterdam"/>
    <s v="Busan"/>
    <x v="0"/>
    <n v="26.8"/>
    <n v="4914"/>
    <n v="32"/>
    <n v="11.1"/>
    <x v="1"/>
    <n v="14118.29"/>
    <n v="5301"/>
    <s v="Rahul"/>
    <x v="0"/>
    <n v="183.36"/>
    <n v="2.87"/>
    <n v="2.66"/>
    <s v="Delayed"/>
    <s v="Low"/>
    <s v="Low Risk"/>
    <x v="10"/>
    <n v="2025"/>
  </r>
  <r>
    <x v="329"/>
    <x v="30"/>
    <x v="1"/>
    <s v="V1758"/>
    <s v="Rotterdam"/>
    <s v="Busan"/>
    <x v="2"/>
    <n v="56.9"/>
    <n v="2471"/>
    <n v="39"/>
    <n v="20.6"/>
    <x v="1"/>
    <n v="27017.48"/>
    <n v="20830"/>
    <s v="Rahul"/>
    <x v="0"/>
    <n v="43.43"/>
    <n v="10.93"/>
    <n v="1.3"/>
    <s v="Delayed"/>
    <s v="Medium"/>
    <s v="Low Risk"/>
    <x v="4"/>
    <n v="2025"/>
  </r>
  <r>
    <x v="86"/>
    <x v="4"/>
    <x v="4"/>
    <s v="V1759"/>
    <s v="Dubai"/>
    <s v="Colombo"/>
    <x v="3"/>
    <n v="74.599999999999994"/>
    <n v="4685"/>
    <n v="58"/>
    <n v="19.899999999999999"/>
    <x v="2"/>
    <n v="36333.85"/>
    <n v="17389"/>
    <s v="John"/>
    <x v="0"/>
    <n v="62.8"/>
    <n v="7.76"/>
    <n v="2.09"/>
    <s v="Delayed"/>
    <s v="High"/>
    <s v="High Risk"/>
    <x v="1"/>
    <n v="2025"/>
  </r>
  <r>
    <x v="315"/>
    <x v="35"/>
    <x v="7"/>
    <s v="V1760"/>
    <s v="Chennai"/>
    <s v="Rotterdam"/>
    <x v="1"/>
    <n v="39.4"/>
    <n v="2162"/>
    <n v="50"/>
    <n v="15.7"/>
    <x v="0"/>
    <n v="27053.82"/>
    <n v="20575"/>
    <s v="David"/>
    <x v="0"/>
    <n v="54.87"/>
    <n v="12.51"/>
    <n v="1.31"/>
    <s v="Delayed"/>
    <s v="Low"/>
    <s v="Medium Risk"/>
    <x v="7"/>
    <n v="2025"/>
  </r>
  <r>
    <x v="303"/>
    <x v="64"/>
    <x v="1"/>
    <s v="V1761"/>
    <s v="Colombo"/>
    <s v="Rotterdam"/>
    <x v="1"/>
    <n v="30.8"/>
    <n v="1687"/>
    <n v="69"/>
    <n v="16.600000000000001"/>
    <x v="0"/>
    <n v="19601.12"/>
    <n v="18663"/>
    <s v="Arun"/>
    <x v="0"/>
    <n v="54.77"/>
    <n v="11.62"/>
    <n v="1.05"/>
    <s v="Delayed"/>
    <s v="Low"/>
    <s v="Medium Risk"/>
    <x v="1"/>
    <n v="2025"/>
  </r>
  <r>
    <x v="192"/>
    <x v="10"/>
    <x v="4"/>
    <s v="V1762"/>
    <s v="Singapore"/>
    <s v="Hamburg"/>
    <x v="0"/>
    <n v="76.400000000000006"/>
    <n v="1139"/>
    <n v="20"/>
    <n v="20"/>
    <x v="1"/>
    <n v="50349.32"/>
    <n v="23934"/>
    <s v="Ahmed"/>
    <x v="0"/>
    <n v="14.91"/>
    <n v="44.2"/>
    <n v="2.1"/>
    <s v="Delayed"/>
    <s v="High"/>
    <s v="Low Risk"/>
    <x v="0"/>
    <n v="2025"/>
  </r>
  <r>
    <x v="181"/>
    <x v="78"/>
    <x v="1"/>
    <s v="V1763"/>
    <s v="Singapore"/>
    <s v="Dubai"/>
    <x v="1"/>
    <n v="76.8"/>
    <n v="3889"/>
    <n v="34"/>
    <n v="10.4"/>
    <x v="1"/>
    <n v="43067.41"/>
    <n v="29224"/>
    <s v="Rahul"/>
    <x v="0"/>
    <n v="50.64"/>
    <n v="11.07"/>
    <n v="1.47"/>
    <s v="Delayed"/>
    <s v="High"/>
    <s v="Low Risk"/>
    <x v="7"/>
    <n v="2025"/>
  </r>
  <r>
    <x v="285"/>
    <x v="48"/>
    <x v="1"/>
    <s v="V1764"/>
    <s v="Busan"/>
    <s v="Hamburg"/>
    <x v="0"/>
    <n v="34"/>
    <n v="1184"/>
    <n v="36"/>
    <n v="20.9"/>
    <x v="1"/>
    <n v="18280.87"/>
    <n v="11556"/>
    <s v="Ahmed"/>
    <x v="0"/>
    <n v="34.82"/>
    <n v="15.44"/>
    <n v="1.58"/>
    <s v="Delayed"/>
    <s v="Low"/>
    <s v="Low Risk"/>
    <x v="4"/>
    <n v="2025"/>
  </r>
  <r>
    <x v="322"/>
    <x v="52"/>
    <x v="4"/>
    <s v="V1765"/>
    <s v="Singapore"/>
    <s v="Mumbai"/>
    <x v="3"/>
    <n v="48.3"/>
    <n v="1133"/>
    <n v="51"/>
    <n v="17.899999999999999"/>
    <x v="3"/>
    <n v="29109.14"/>
    <n v="20845"/>
    <s v="David"/>
    <x v="1"/>
    <n v="23.46"/>
    <n v="25.69"/>
    <n v="1.4"/>
    <s v="On Time"/>
    <s v="Medium"/>
    <s v="Low Risk"/>
    <x v="6"/>
    <n v="2025"/>
  </r>
  <r>
    <x v="251"/>
    <x v="75"/>
    <x v="1"/>
    <s v="V1766"/>
    <s v="Mumbai"/>
    <s v="Chennai"/>
    <x v="3"/>
    <n v="31.1"/>
    <n v="1284"/>
    <n v="117"/>
    <n v="20.399999999999999"/>
    <x v="3"/>
    <n v="19748.86"/>
    <n v="14997"/>
    <s v="Ahmed"/>
    <x v="1"/>
    <n v="41.29"/>
    <n v="15.38"/>
    <n v="1.32"/>
    <s v="On Time"/>
    <s v="Low"/>
    <s v="Low Risk"/>
    <x v="9"/>
    <n v="2025"/>
  </r>
  <r>
    <x v="85"/>
    <x v="32"/>
    <x v="7"/>
    <s v="V1767"/>
    <s v="Singapore"/>
    <s v="Rotterdam"/>
    <x v="1"/>
    <n v="70.2"/>
    <n v="4365"/>
    <n v="96"/>
    <n v="12.9"/>
    <x v="0"/>
    <n v="38324.199999999997"/>
    <n v="23293"/>
    <s v="Rahul"/>
    <x v="0"/>
    <n v="62.18"/>
    <n v="8.7799999999999994"/>
    <n v="1.65"/>
    <s v="Delayed"/>
    <s v="High"/>
    <s v="Medium Risk"/>
    <x v="10"/>
    <n v="2025"/>
  </r>
  <r>
    <x v="48"/>
    <x v="42"/>
    <x v="7"/>
    <s v="V1768"/>
    <s v="Singapore"/>
    <s v="Chennai"/>
    <x v="2"/>
    <n v="25.5"/>
    <n v="2460"/>
    <n v="34"/>
    <n v="17.2"/>
    <x v="0"/>
    <n v="14661.79"/>
    <n v="20749"/>
    <s v="Rahul"/>
    <x v="0"/>
    <n v="96.47"/>
    <n v="5.96"/>
    <n v="0.71"/>
    <s v="Delayed"/>
    <s v="Low"/>
    <s v="Medium Risk"/>
    <x v="1"/>
    <n v="2025"/>
  </r>
  <r>
    <x v="154"/>
    <x v="50"/>
    <x v="0"/>
    <s v="V1769"/>
    <s v="Hamburg"/>
    <s v="Rotterdam"/>
    <x v="2"/>
    <n v="55.3"/>
    <n v="4566"/>
    <n v="20"/>
    <n v="17.2"/>
    <x v="2"/>
    <n v="32906.31"/>
    <n v="24572"/>
    <s v="David"/>
    <x v="0"/>
    <n v="82.57"/>
    <n v="7.21"/>
    <n v="1.34"/>
    <s v="Delayed"/>
    <s v="Medium"/>
    <s v="High Risk"/>
    <x v="10"/>
    <n v="2025"/>
  </r>
  <r>
    <x v="203"/>
    <x v="29"/>
    <x v="3"/>
    <s v="V1770"/>
    <s v="Hamburg"/>
    <s v="Busan"/>
    <x v="3"/>
    <n v="36.9"/>
    <n v="1368"/>
    <n v="45"/>
    <n v="18.899999999999999"/>
    <x v="2"/>
    <n v="19489.68"/>
    <n v="10260"/>
    <s v="John"/>
    <x v="0"/>
    <n v="37.07"/>
    <n v="14.25"/>
    <n v="1.9"/>
    <s v="Delayed"/>
    <s v="Low"/>
    <s v="High Risk"/>
    <x v="4"/>
    <n v="2025"/>
  </r>
  <r>
    <x v="32"/>
    <x v="23"/>
    <x v="5"/>
    <s v="V1771"/>
    <s v="Dubai"/>
    <s v="Rotterdam"/>
    <x v="1"/>
    <n v="24.1"/>
    <n v="3057"/>
    <n v="22"/>
    <n v="13.7"/>
    <x v="3"/>
    <n v="14032.95"/>
    <n v="9244"/>
    <s v="Ahmed"/>
    <x v="1"/>
    <n v="126.85"/>
    <n v="4.59"/>
    <n v="1.52"/>
    <s v="On Time"/>
    <s v="Low"/>
    <s v="Low Risk"/>
    <x v="2"/>
    <n v="2025"/>
  </r>
  <r>
    <x v="80"/>
    <x v="28"/>
    <x v="1"/>
    <s v="V1772"/>
    <s v="Rotterdam"/>
    <s v="Colombo"/>
    <x v="1"/>
    <n v="47"/>
    <n v="3357"/>
    <n v="95"/>
    <n v="16.600000000000001"/>
    <x v="2"/>
    <n v="21158.59"/>
    <n v="12257"/>
    <s v="Ahmed"/>
    <x v="0"/>
    <n v="71.430000000000007"/>
    <n v="6.3"/>
    <n v="1.73"/>
    <s v="Delayed"/>
    <s v="Medium"/>
    <s v="High Risk"/>
    <x v="6"/>
    <n v="2025"/>
  </r>
  <r>
    <x v="203"/>
    <x v="55"/>
    <x v="0"/>
    <s v="V1773"/>
    <s v="Mumbai"/>
    <s v="Rotterdam"/>
    <x v="3"/>
    <n v="20.399999999999999"/>
    <n v="4683"/>
    <n v="36"/>
    <n v="18.7"/>
    <x v="3"/>
    <n v="12865"/>
    <n v="23649"/>
    <s v="David"/>
    <x v="1"/>
    <n v="229.56"/>
    <n v="2.75"/>
    <n v="0.54"/>
    <s v="On Time"/>
    <s v="Low"/>
    <s v="Low Risk"/>
    <x v="4"/>
    <n v="2025"/>
  </r>
  <r>
    <x v="22"/>
    <x v="46"/>
    <x v="6"/>
    <s v="V1774"/>
    <s v="Hamburg"/>
    <s v="Rotterdam"/>
    <x v="3"/>
    <n v="37.700000000000003"/>
    <n v="4653"/>
    <n v="114"/>
    <n v="20.9"/>
    <x v="3"/>
    <n v="24007.26"/>
    <n v="5971"/>
    <s v="Arun"/>
    <x v="1"/>
    <n v="123.42"/>
    <n v="5.16"/>
    <n v="4.0199999999999996"/>
    <s v="On Time"/>
    <s v="Low"/>
    <s v="Low Risk"/>
    <x v="0"/>
    <n v="2025"/>
  </r>
  <r>
    <x v="110"/>
    <x v="71"/>
    <x v="3"/>
    <s v="V1775"/>
    <s v="Dubai"/>
    <s v="Chennai"/>
    <x v="3"/>
    <n v="27.7"/>
    <n v="3710"/>
    <n v="90"/>
    <n v="11.1"/>
    <x v="2"/>
    <n v="14904.55"/>
    <n v="28128"/>
    <s v="Sato"/>
    <x v="0"/>
    <n v="133.94"/>
    <n v="4.0199999999999996"/>
    <n v="0.53"/>
    <s v="Delayed"/>
    <s v="Low"/>
    <s v="High Risk"/>
    <x v="11"/>
    <n v="2025"/>
  </r>
  <r>
    <x v="300"/>
    <x v="35"/>
    <x v="3"/>
    <s v="V1776"/>
    <s v="Rotterdam"/>
    <s v="Hamburg"/>
    <x v="2"/>
    <n v="59.6"/>
    <n v="4986"/>
    <n v="59"/>
    <n v="12.5"/>
    <x v="2"/>
    <n v="29109.09"/>
    <n v="19729"/>
    <s v="John"/>
    <x v="0"/>
    <n v="83.66"/>
    <n v="5.84"/>
    <n v="1.48"/>
    <s v="Delayed"/>
    <s v="Medium"/>
    <s v="High Risk"/>
    <x v="10"/>
    <n v="2025"/>
  </r>
  <r>
    <x v="237"/>
    <x v="27"/>
    <x v="1"/>
    <s v="V1777"/>
    <s v="Rotterdam"/>
    <s v="Hamburg"/>
    <x v="3"/>
    <n v="64.3"/>
    <n v="1051"/>
    <n v="74"/>
    <n v="11.6"/>
    <x v="2"/>
    <n v="42502.06"/>
    <n v="16398"/>
    <s v="Ahmed"/>
    <x v="0"/>
    <n v="16.350000000000001"/>
    <n v="40.44"/>
    <n v="2.59"/>
    <s v="Delayed"/>
    <s v="High"/>
    <s v="High Risk"/>
    <x v="6"/>
    <n v="2025"/>
  </r>
  <r>
    <x v="58"/>
    <x v="48"/>
    <x v="1"/>
    <s v="V1778"/>
    <s v="Rotterdam"/>
    <s v="Busan"/>
    <x v="3"/>
    <n v="26"/>
    <n v="2721"/>
    <n v="96"/>
    <n v="10.3"/>
    <x v="2"/>
    <n v="14297.02"/>
    <n v="9665"/>
    <s v="Chen"/>
    <x v="0"/>
    <n v="104.65"/>
    <n v="5.25"/>
    <n v="1.48"/>
    <s v="Delayed"/>
    <s v="Low"/>
    <s v="High Risk"/>
    <x v="4"/>
    <n v="2025"/>
  </r>
  <r>
    <x v="34"/>
    <x v="46"/>
    <x v="3"/>
    <s v="V1779"/>
    <s v="Dubai"/>
    <s v="Busan"/>
    <x v="0"/>
    <n v="28.9"/>
    <n v="3207"/>
    <n v="120"/>
    <n v="18.8"/>
    <x v="2"/>
    <n v="17817.37"/>
    <n v="25584"/>
    <s v="Chen"/>
    <x v="0"/>
    <n v="110.97"/>
    <n v="5.56"/>
    <n v="0.7"/>
    <s v="Delayed"/>
    <s v="Low"/>
    <s v="High Risk"/>
    <x v="0"/>
    <n v="2025"/>
  </r>
  <r>
    <x v="99"/>
    <x v="78"/>
    <x v="2"/>
    <s v="V1780"/>
    <s v="Chennai"/>
    <s v="Hamburg"/>
    <x v="3"/>
    <n v="25.3"/>
    <n v="2304"/>
    <n v="37"/>
    <n v="10.199999999999999"/>
    <x v="0"/>
    <n v="11660.21"/>
    <n v="28662"/>
    <s v="David"/>
    <x v="0"/>
    <n v="91.07"/>
    <n v="5.0599999999999996"/>
    <n v="0.41"/>
    <s v="Delayed"/>
    <s v="Low"/>
    <s v="Medium Risk"/>
    <x v="7"/>
    <n v="2025"/>
  </r>
  <r>
    <x v="95"/>
    <x v="75"/>
    <x v="5"/>
    <s v="V1781"/>
    <s v="Singapore"/>
    <s v="Rotterdam"/>
    <x v="3"/>
    <n v="66.5"/>
    <n v="4547"/>
    <n v="92"/>
    <n v="14.3"/>
    <x v="2"/>
    <n v="37883.47"/>
    <n v="27486"/>
    <s v="Ahmed"/>
    <x v="0"/>
    <n v="68.38"/>
    <n v="8.33"/>
    <n v="1.38"/>
    <s v="Delayed"/>
    <s v="High"/>
    <s v="High Risk"/>
    <x v="3"/>
    <n v="2025"/>
  </r>
  <r>
    <x v="24"/>
    <x v="32"/>
    <x v="0"/>
    <s v="V1782"/>
    <s v="Dubai"/>
    <s v="Colombo"/>
    <x v="0"/>
    <n v="36.9"/>
    <n v="2874"/>
    <n v="26"/>
    <n v="12"/>
    <x v="3"/>
    <n v="24357.35"/>
    <n v="29211"/>
    <s v="Chen"/>
    <x v="1"/>
    <n v="77.89"/>
    <n v="8.48"/>
    <n v="0.83"/>
    <s v="On Time"/>
    <s v="Low"/>
    <s v="Low Risk"/>
    <x v="5"/>
    <n v="2025"/>
  </r>
  <r>
    <x v="125"/>
    <x v="44"/>
    <x v="3"/>
    <s v="V1783"/>
    <s v="Busan"/>
    <s v="Chennai"/>
    <x v="0"/>
    <n v="34.799999999999997"/>
    <n v="560"/>
    <n v="116"/>
    <n v="17.899999999999999"/>
    <x v="3"/>
    <n v="22407.41"/>
    <n v="20822"/>
    <s v="John"/>
    <x v="1"/>
    <n v="16.09"/>
    <n v="40.01"/>
    <n v="1.08"/>
    <s v="On Time"/>
    <s v="Low"/>
    <s v="Low Risk"/>
    <x v="10"/>
    <n v="2025"/>
  </r>
  <r>
    <x v="198"/>
    <x v="50"/>
    <x v="6"/>
    <s v="V1784"/>
    <s v="Hamburg"/>
    <s v="Mumbai"/>
    <x v="3"/>
    <n v="54.6"/>
    <n v="1553"/>
    <n v="68"/>
    <n v="19.2"/>
    <x v="1"/>
    <n v="27610.28"/>
    <n v="13178"/>
    <s v="Michael"/>
    <x v="0"/>
    <n v="28.44"/>
    <n v="17.78"/>
    <n v="2.1"/>
    <s v="Delayed"/>
    <s v="Medium"/>
    <s v="Low Risk"/>
    <x v="7"/>
    <n v="2025"/>
  </r>
  <r>
    <x v="3"/>
    <x v="31"/>
    <x v="3"/>
    <s v="V1785"/>
    <s v="Rotterdam"/>
    <s v="Chennai"/>
    <x v="3"/>
    <n v="33.200000000000003"/>
    <n v="2756"/>
    <n v="59"/>
    <n v="14.2"/>
    <x v="0"/>
    <n v="15780.16"/>
    <n v="10788"/>
    <s v="Sato"/>
    <x v="0"/>
    <n v="83.01"/>
    <n v="5.73"/>
    <n v="1.46"/>
    <s v="Delayed"/>
    <s v="Low"/>
    <s v="Medium Risk"/>
    <x v="3"/>
    <n v="2025"/>
  </r>
  <r>
    <x v="95"/>
    <x v="69"/>
    <x v="0"/>
    <s v="V1786"/>
    <s v="Hamburg"/>
    <s v="Rotterdam"/>
    <x v="0"/>
    <n v="39.799999999999997"/>
    <n v="1422"/>
    <n v="99"/>
    <n v="16.100000000000001"/>
    <x v="0"/>
    <n v="27507.43"/>
    <n v="19973"/>
    <s v="Sato"/>
    <x v="0"/>
    <n v="35.729999999999997"/>
    <n v="19.34"/>
    <n v="1.38"/>
    <s v="Delayed"/>
    <s v="Low"/>
    <s v="Medium Risk"/>
    <x v="3"/>
    <n v="2025"/>
  </r>
  <r>
    <x v="89"/>
    <x v="16"/>
    <x v="4"/>
    <s v="V1787"/>
    <s v="Busan"/>
    <s v="Hamburg"/>
    <x v="3"/>
    <n v="61"/>
    <n v="4125"/>
    <n v="24"/>
    <n v="20.100000000000001"/>
    <x v="1"/>
    <n v="38686.589999999997"/>
    <n v="5385"/>
    <s v="David"/>
    <x v="0"/>
    <n v="67.62"/>
    <n v="9.3800000000000008"/>
    <n v="7.18"/>
    <s v="Delayed"/>
    <s v="High"/>
    <s v="Low Risk"/>
    <x v="1"/>
    <n v="2025"/>
  </r>
  <r>
    <x v="293"/>
    <x v="48"/>
    <x v="7"/>
    <s v="V1788"/>
    <s v="Chennai"/>
    <s v="Colombo"/>
    <x v="0"/>
    <n v="29"/>
    <n v="3651"/>
    <n v="87"/>
    <n v="11.4"/>
    <x v="1"/>
    <n v="15836.77"/>
    <n v="10702"/>
    <s v="Chen"/>
    <x v="0"/>
    <n v="125.9"/>
    <n v="4.34"/>
    <n v="1.48"/>
    <s v="Delayed"/>
    <s v="Low"/>
    <s v="Low Risk"/>
    <x v="3"/>
    <n v="2025"/>
  </r>
  <r>
    <x v="29"/>
    <x v="27"/>
    <x v="0"/>
    <s v="V1789"/>
    <s v="Mumbai"/>
    <s v="Dubai"/>
    <x v="0"/>
    <n v="58.9"/>
    <n v="4151"/>
    <n v="99"/>
    <n v="13.2"/>
    <x v="2"/>
    <n v="34805.43"/>
    <n v="18082"/>
    <s v="John"/>
    <x v="0"/>
    <n v="70.48"/>
    <n v="8.3800000000000008"/>
    <n v="1.92"/>
    <s v="Delayed"/>
    <s v="Medium"/>
    <s v="High Risk"/>
    <x v="3"/>
    <n v="2025"/>
  </r>
  <r>
    <x v="64"/>
    <x v="34"/>
    <x v="4"/>
    <s v="V1790"/>
    <s v="Chennai"/>
    <s v="Colombo"/>
    <x v="2"/>
    <n v="79.5"/>
    <n v="3610"/>
    <n v="94"/>
    <n v="11.4"/>
    <x v="3"/>
    <n v="53948.07"/>
    <n v="8302"/>
    <s v="Michael"/>
    <x v="1"/>
    <n v="45.41"/>
    <n v="14.94"/>
    <n v="6.5"/>
    <s v="On Time"/>
    <s v="High"/>
    <s v="Low Risk"/>
    <x v="4"/>
    <n v="2025"/>
  </r>
  <r>
    <x v="188"/>
    <x v="18"/>
    <x v="7"/>
    <s v="V1791"/>
    <s v="Colombo"/>
    <s v="Dubai"/>
    <x v="1"/>
    <n v="49.1"/>
    <n v="2306"/>
    <n v="101"/>
    <n v="15.8"/>
    <x v="2"/>
    <n v="25523.47"/>
    <n v="5239"/>
    <s v="David"/>
    <x v="0"/>
    <n v="46.97"/>
    <n v="11.07"/>
    <n v="4.87"/>
    <s v="Delayed"/>
    <s v="Medium"/>
    <s v="High Risk"/>
    <x v="1"/>
    <n v="2025"/>
  </r>
  <r>
    <x v="121"/>
    <x v="71"/>
    <x v="4"/>
    <s v="V1792"/>
    <s v="Mumbai"/>
    <s v="Busan"/>
    <x v="0"/>
    <n v="21.4"/>
    <n v="4765"/>
    <n v="37"/>
    <n v="21.5"/>
    <x v="0"/>
    <n v="14245.48"/>
    <n v="27589"/>
    <s v="Rahul"/>
    <x v="0"/>
    <n v="222.66"/>
    <n v="2.99"/>
    <n v="0.52"/>
    <s v="Delayed"/>
    <s v="Low"/>
    <s v="Medium Risk"/>
    <x v="2"/>
    <n v="2025"/>
  </r>
  <r>
    <x v="221"/>
    <x v="29"/>
    <x v="6"/>
    <s v="V1793"/>
    <s v="Rotterdam"/>
    <s v="Mumbai"/>
    <x v="3"/>
    <n v="66.599999999999994"/>
    <n v="4094"/>
    <n v="106"/>
    <n v="14.6"/>
    <x v="0"/>
    <n v="40606.22"/>
    <n v="10588"/>
    <s v="Ahmed"/>
    <x v="0"/>
    <n v="61.47"/>
    <n v="9.92"/>
    <n v="3.84"/>
    <s v="Delayed"/>
    <s v="High"/>
    <s v="Medium Risk"/>
    <x v="1"/>
    <n v="2025"/>
  </r>
  <r>
    <x v="252"/>
    <x v="36"/>
    <x v="5"/>
    <s v="V1794"/>
    <s v="Chennai"/>
    <s v="Singapore"/>
    <x v="1"/>
    <n v="59.8"/>
    <n v="4178"/>
    <n v="76"/>
    <n v="19.2"/>
    <x v="3"/>
    <n v="34512.559999999998"/>
    <n v="24136"/>
    <s v="Ahmed"/>
    <x v="1"/>
    <n v="69.87"/>
    <n v="8.26"/>
    <n v="1.43"/>
    <s v="On Time"/>
    <s v="Medium"/>
    <s v="Low Risk"/>
    <x v="9"/>
    <n v="2025"/>
  </r>
  <r>
    <x v="330"/>
    <x v="37"/>
    <x v="1"/>
    <s v="V1795"/>
    <s v="Rotterdam"/>
    <s v="Hamburg"/>
    <x v="1"/>
    <n v="55.2"/>
    <n v="2997"/>
    <n v="41"/>
    <n v="13.7"/>
    <x v="0"/>
    <n v="36437.56"/>
    <n v="24069"/>
    <s v="David"/>
    <x v="0"/>
    <n v="54.29"/>
    <n v="12.16"/>
    <n v="1.51"/>
    <s v="Delayed"/>
    <s v="Medium"/>
    <s v="Medium Risk"/>
    <x v="8"/>
    <n v="2025"/>
  </r>
  <r>
    <x v="206"/>
    <x v="51"/>
    <x v="4"/>
    <s v="V1796"/>
    <s v="Mumbai"/>
    <s v="Hamburg"/>
    <x v="0"/>
    <n v="39.6"/>
    <n v="4245"/>
    <n v="64"/>
    <n v="15"/>
    <x v="2"/>
    <n v="19845.25"/>
    <n v="28304"/>
    <s v="John"/>
    <x v="0"/>
    <n v="107.2"/>
    <n v="4.67"/>
    <n v="0.7"/>
    <s v="Delayed"/>
    <s v="Low"/>
    <s v="High Risk"/>
    <x v="7"/>
    <n v="2025"/>
  </r>
  <r>
    <x v="127"/>
    <x v="30"/>
    <x v="5"/>
    <s v="V1797"/>
    <s v="Hamburg"/>
    <s v="Dubai"/>
    <x v="0"/>
    <n v="53.6"/>
    <n v="4870"/>
    <n v="84"/>
    <n v="20.5"/>
    <x v="0"/>
    <n v="36967.660000000003"/>
    <n v="27372"/>
    <s v="Ahmed"/>
    <x v="0"/>
    <n v="90.86"/>
    <n v="7.59"/>
    <n v="1.35"/>
    <s v="Delayed"/>
    <s v="Medium"/>
    <s v="Medium Risk"/>
    <x v="6"/>
    <n v="2025"/>
  </r>
  <r>
    <x v="198"/>
    <x v="40"/>
    <x v="4"/>
    <s v="V1798"/>
    <s v="Chennai"/>
    <s v="Dubai"/>
    <x v="2"/>
    <n v="24.6"/>
    <n v="1526"/>
    <n v="71"/>
    <n v="13.1"/>
    <x v="3"/>
    <n v="11820.12"/>
    <n v="11741"/>
    <s v="Rahul"/>
    <x v="1"/>
    <n v="62.03"/>
    <n v="7.75"/>
    <n v="1.01"/>
    <s v="On Time"/>
    <s v="Low"/>
    <s v="Low Risk"/>
    <x v="7"/>
    <n v="2025"/>
  </r>
  <r>
    <x v="223"/>
    <x v="3"/>
    <x v="5"/>
    <s v="V1799"/>
    <s v="Chennai"/>
    <s v="Busan"/>
    <x v="3"/>
    <n v="74.599999999999994"/>
    <n v="3251"/>
    <n v="46"/>
    <n v="12.6"/>
    <x v="1"/>
    <n v="33935.85"/>
    <n v="10996"/>
    <s v="Sato"/>
    <x v="0"/>
    <n v="43.58"/>
    <n v="10.44"/>
    <n v="3.09"/>
    <s v="Delayed"/>
    <s v="High"/>
    <s v="Low Risk"/>
    <x v="2"/>
    <n v="2025"/>
  </r>
  <r>
    <x v="108"/>
    <x v="68"/>
    <x v="0"/>
    <s v="V1800"/>
    <s v="Hamburg"/>
    <s v="Dubai"/>
    <x v="0"/>
    <n v="23.6"/>
    <n v="1062"/>
    <n v="65"/>
    <n v="20.2"/>
    <x v="3"/>
    <n v="13926.64"/>
    <n v="9937"/>
    <s v="Ahmed"/>
    <x v="1"/>
    <n v="45"/>
    <n v="13.11"/>
    <n v="1.4"/>
    <s v="On Time"/>
    <s v="Low"/>
    <s v="Low Risk"/>
    <x v="4"/>
    <n v="2025"/>
  </r>
  <r>
    <x v="157"/>
    <x v="0"/>
    <x v="6"/>
    <s v="V1801"/>
    <s v="Rotterdam"/>
    <s v="Hamburg"/>
    <x v="3"/>
    <n v="33.6"/>
    <n v="866"/>
    <n v="37"/>
    <n v="16"/>
    <x v="3"/>
    <n v="15901.87"/>
    <n v="19818"/>
    <s v="John"/>
    <x v="1"/>
    <n v="25.77"/>
    <n v="18.36"/>
    <n v="0.8"/>
    <s v="On Time"/>
    <s v="Low"/>
    <s v="Low Risk"/>
    <x v="8"/>
    <n v="2025"/>
  </r>
  <r>
    <x v="68"/>
    <x v="17"/>
    <x v="0"/>
    <s v="V1802"/>
    <s v="Hamburg"/>
    <s v="Singapore"/>
    <x v="2"/>
    <n v="42.6"/>
    <n v="4480"/>
    <n v="93"/>
    <n v="12.6"/>
    <x v="2"/>
    <n v="21464.01"/>
    <n v="29029"/>
    <s v="Arun"/>
    <x v="0"/>
    <n v="105.16"/>
    <n v="4.79"/>
    <n v="0.74"/>
    <s v="Delayed"/>
    <s v="Medium"/>
    <s v="High Risk"/>
    <x v="10"/>
    <n v="2025"/>
  </r>
  <r>
    <x v="168"/>
    <x v="17"/>
    <x v="6"/>
    <s v="V1803"/>
    <s v="Colombo"/>
    <s v="Hamburg"/>
    <x v="2"/>
    <n v="37"/>
    <n v="4037"/>
    <n v="70"/>
    <n v="13.6"/>
    <x v="3"/>
    <n v="25858.28"/>
    <n v="11156"/>
    <s v="John"/>
    <x v="1"/>
    <n v="109.11"/>
    <n v="6.41"/>
    <n v="2.3199999999999998"/>
    <s v="On Time"/>
    <s v="Low"/>
    <s v="Low Risk"/>
    <x v="7"/>
    <n v="2025"/>
  </r>
  <r>
    <x v="109"/>
    <x v="19"/>
    <x v="0"/>
    <s v="V1804"/>
    <s v="Chennai"/>
    <s v="Colombo"/>
    <x v="1"/>
    <n v="34.4"/>
    <n v="1631"/>
    <n v="82"/>
    <n v="21.9"/>
    <x v="0"/>
    <n v="22336.44"/>
    <n v="24627"/>
    <s v="Arun"/>
    <x v="0"/>
    <n v="47.41"/>
    <n v="13.69"/>
    <n v="0.91"/>
    <s v="Delayed"/>
    <s v="Low"/>
    <s v="Medium Risk"/>
    <x v="5"/>
    <n v="2025"/>
  </r>
  <r>
    <x v="152"/>
    <x v="14"/>
    <x v="7"/>
    <s v="V1805"/>
    <s v="Hamburg"/>
    <s v="Colombo"/>
    <x v="2"/>
    <n v="30.6"/>
    <n v="4138"/>
    <n v="106"/>
    <n v="16.3"/>
    <x v="0"/>
    <n v="18432.830000000002"/>
    <n v="21794"/>
    <s v="Ahmed"/>
    <x v="0"/>
    <n v="135.22999999999999"/>
    <n v="4.45"/>
    <n v="0.85"/>
    <s v="Delayed"/>
    <s v="Low"/>
    <s v="Medium Risk"/>
    <x v="9"/>
    <n v="2025"/>
  </r>
  <r>
    <x v="331"/>
    <x v="69"/>
    <x v="1"/>
    <s v="V1806"/>
    <s v="Colombo"/>
    <s v="Mumbai"/>
    <x v="3"/>
    <n v="40.799999999999997"/>
    <n v="4642"/>
    <n v="20"/>
    <n v="10.3"/>
    <x v="0"/>
    <n v="21104.03"/>
    <n v="26830"/>
    <s v="David"/>
    <x v="0"/>
    <n v="113.77"/>
    <n v="4.55"/>
    <n v="0.79"/>
    <s v="Delayed"/>
    <s v="Medium"/>
    <s v="Medium Risk"/>
    <x v="10"/>
    <n v="2025"/>
  </r>
  <r>
    <x v="213"/>
    <x v="12"/>
    <x v="7"/>
    <s v="V1807"/>
    <s v="Singapore"/>
    <s v="Mumbai"/>
    <x v="1"/>
    <n v="23.7"/>
    <n v="2482"/>
    <n v="62"/>
    <n v="20.399999999999999"/>
    <x v="1"/>
    <n v="15840.2"/>
    <n v="21374"/>
    <s v="Arun"/>
    <x v="0"/>
    <n v="104.73"/>
    <n v="6.38"/>
    <n v="0.74"/>
    <s v="Delayed"/>
    <s v="Low"/>
    <s v="Low Risk"/>
    <x v="3"/>
    <n v="2025"/>
  </r>
  <r>
    <x v="136"/>
    <x v="51"/>
    <x v="5"/>
    <s v="V1808"/>
    <s v="Colombo"/>
    <s v="Busan"/>
    <x v="0"/>
    <n v="27.8"/>
    <n v="4959"/>
    <n v="115"/>
    <n v="14.9"/>
    <x v="0"/>
    <n v="16695.75"/>
    <n v="16540"/>
    <s v="Arun"/>
    <x v="0"/>
    <n v="178.38"/>
    <n v="3.37"/>
    <n v="1.01"/>
    <s v="Delayed"/>
    <s v="Low"/>
    <s v="Medium Risk"/>
    <x v="6"/>
    <n v="2025"/>
  </r>
  <r>
    <x v="188"/>
    <x v="46"/>
    <x v="2"/>
    <s v="V1809"/>
    <s v="Dubai"/>
    <s v="Chennai"/>
    <x v="3"/>
    <n v="74.599999999999994"/>
    <n v="602"/>
    <n v="76"/>
    <n v="16.5"/>
    <x v="0"/>
    <n v="44061.33"/>
    <n v="20895"/>
    <s v="Rahul"/>
    <x v="0"/>
    <n v="8.07"/>
    <n v="73.19"/>
    <n v="2.11"/>
    <s v="Delayed"/>
    <s v="High"/>
    <s v="Medium Risk"/>
    <x v="1"/>
    <n v="2025"/>
  </r>
  <r>
    <x v="116"/>
    <x v="74"/>
    <x v="7"/>
    <s v="V1810"/>
    <s v="Mumbai"/>
    <s v="Chennai"/>
    <x v="0"/>
    <n v="25.4"/>
    <n v="660"/>
    <n v="102"/>
    <n v="21.7"/>
    <x v="2"/>
    <n v="16940.330000000002"/>
    <n v="7826"/>
    <s v="Chen"/>
    <x v="0"/>
    <n v="25.98"/>
    <n v="25.67"/>
    <n v="2.16"/>
    <s v="Delayed"/>
    <s v="Low"/>
    <s v="High Risk"/>
    <x v="8"/>
    <n v="2025"/>
  </r>
  <r>
    <x v="224"/>
    <x v="33"/>
    <x v="5"/>
    <s v="V1811"/>
    <s v="Singapore"/>
    <s v="Rotterdam"/>
    <x v="2"/>
    <n v="66.2"/>
    <n v="4879"/>
    <n v="51"/>
    <n v="13.8"/>
    <x v="1"/>
    <n v="33436.04"/>
    <n v="6271"/>
    <s v="David"/>
    <x v="0"/>
    <n v="73.7"/>
    <n v="6.85"/>
    <n v="5.33"/>
    <s v="Delayed"/>
    <s v="High"/>
    <s v="Low Risk"/>
    <x v="2"/>
    <n v="2025"/>
  </r>
  <r>
    <x v="178"/>
    <x v="16"/>
    <x v="2"/>
    <s v="V1812"/>
    <s v="Mumbai"/>
    <s v="Colombo"/>
    <x v="0"/>
    <n v="56.5"/>
    <n v="890"/>
    <n v="82"/>
    <n v="10.4"/>
    <x v="3"/>
    <n v="36832.47"/>
    <n v="14443"/>
    <s v="Sato"/>
    <x v="1"/>
    <n v="15.75"/>
    <n v="41.38"/>
    <n v="2.5499999999999998"/>
    <s v="On Time"/>
    <s v="Medium"/>
    <s v="Low Risk"/>
    <x v="3"/>
    <n v="2025"/>
  </r>
  <r>
    <x v="59"/>
    <x v="51"/>
    <x v="3"/>
    <s v="V1813"/>
    <s v="Chennai"/>
    <s v="Singapore"/>
    <x v="1"/>
    <n v="76.7"/>
    <n v="2364"/>
    <n v="61"/>
    <n v="15.1"/>
    <x v="2"/>
    <n v="42924.3"/>
    <n v="7864"/>
    <s v="Rahul"/>
    <x v="0"/>
    <n v="30.82"/>
    <n v="18.16"/>
    <n v="5.46"/>
    <s v="Delayed"/>
    <s v="High"/>
    <s v="High Risk"/>
    <x v="6"/>
    <n v="2025"/>
  </r>
  <r>
    <x v="268"/>
    <x v="5"/>
    <x v="5"/>
    <s v="V1814"/>
    <s v="Singapore"/>
    <s v="Mumbai"/>
    <x v="1"/>
    <n v="25.2"/>
    <n v="2647"/>
    <n v="41"/>
    <n v="11.8"/>
    <x v="2"/>
    <n v="14267.07"/>
    <n v="19813"/>
    <s v="Ahmed"/>
    <x v="0"/>
    <n v="105.04"/>
    <n v="5.39"/>
    <n v="0.72"/>
    <s v="Delayed"/>
    <s v="Low"/>
    <s v="High Risk"/>
    <x v="4"/>
    <n v="2025"/>
  </r>
  <r>
    <x v="277"/>
    <x v="2"/>
    <x v="6"/>
    <s v="V1815"/>
    <s v="Singapore"/>
    <s v="Chennai"/>
    <x v="1"/>
    <n v="77.8"/>
    <n v="3500"/>
    <n v="39"/>
    <n v="14.2"/>
    <x v="3"/>
    <n v="43131.5"/>
    <n v="23009"/>
    <s v="Michael"/>
    <x v="1"/>
    <n v="44.99"/>
    <n v="12.32"/>
    <n v="1.87"/>
    <s v="On Time"/>
    <s v="High"/>
    <s v="Low Risk"/>
    <x v="4"/>
    <n v="2025"/>
  </r>
  <r>
    <x v="39"/>
    <x v="55"/>
    <x v="3"/>
    <s v="V1816"/>
    <s v="Busan"/>
    <s v="Dubai"/>
    <x v="3"/>
    <n v="21.8"/>
    <n v="2057"/>
    <n v="105"/>
    <n v="15.3"/>
    <x v="2"/>
    <n v="10780.89"/>
    <n v="27115"/>
    <s v="Michael"/>
    <x v="0"/>
    <n v="94.36"/>
    <n v="5.24"/>
    <n v="0.4"/>
    <s v="Delayed"/>
    <s v="Low"/>
    <s v="High Risk"/>
    <x v="9"/>
    <n v="2025"/>
  </r>
  <r>
    <x v="16"/>
    <x v="68"/>
    <x v="6"/>
    <s v="V1817"/>
    <s v="Chennai"/>
    <s v="Rotterdam"/>
    <x v="1"/>
    <n v="50.1"/>
    <n v="3644"/>
    <n v="91"/>
    <n v="20.3"/>
    <x v="2"/>
    <n v="31144.5"/>
    <n v="8869"/>
    <s v="Rahul"/>
    <x v="0"/>
    <n v="72.73"/>
    <n v="8.5500000000000007"/>
    <n v="3.51"/>
    <s v="Delayed"/>
    <s v="Medium"/>
    <s v="High Risk"/>
    <x v="3"/>
    <n v="2025"/>
  </r>
  <r>
    <x v="216"/>
    <x v="41"/>
    <x v="0"/>
    <s v="V1818"/>
    <s v="Busan"/>
    <s v="Hamburg"/>
    <x v="3"/>
    <n v="44.2"/>
    <n v="792"/>
    <n v="87"/>
    <n v="16.600000000000001"/>
    <x v="2"/>
    <n v="29421.200000000001"/>
    <n v="5562"/>
    <s v="Chen"/>
    <x v="0"/>
    <n v="17.920000000000002"/>
    <n v="37.15"/>
    <n v="5.29"/>
    <s v="Delayed"/>
    <s v="Medium"/>
    <s v="High Risk"/>
    <x v="5"/>
    <n v="2025"/>
  </r>
  <r>
    <x v="310"/>
    <x v="47"/>
    <x v="1"/>
    <s v="V1819"/>
    <s v="Dubai"/>
    <s v="Hamburg"/>
    <x v="3"/>
    <n v="52.3"/>
    <n v="1106"/>
    <n v="118"/>
    <n v="17.2"/>
    <x v="3"/>
    <n v="31165.62"/>
    <n v="6035"/>
    <s v="Chen"/>
    <x v="1"/>
    <n v="21.15"/>
    <n v="28.18"/>
    <n v="5.16"/>
    <s v="On Time"/>
    <s v="Medium"/>
    <s v="Low Risk"/>
    <x v="3"/>
    <n v="2025"/>
  </r>
  <r>
    <x v="259"/>
    <x v="54"/>
    <x v="5"/>
    <s v="V1820"/>
    <s v="Rotterdam"/>
    <s v="Hamburg"/>
    <x v="2"/>
    <n v="66.8"/>
    <n v="3212"/>
    <n v="47"/>
    <n v="14.3"/>
    <x v="2"/>
    <n v="36098.239999999998"/>
    <n v="16354"/>
    <s v="Chen"/>
    <x v="0"/>
    <n v="48.08"/>
    <n v="11.24"/>
    <n v="2.21"/>
    <s v="Delayed"/>
    <s v="High"/>
    <s v="High Risk"/>
    <x v="3"/>
    <n v="2025"/>
  </r>
  <r>
    <x v="70"/>
    <x v="71"/>
    <x v="5"/>
    <s v="V1821"/>
    <s v="Busan"/>
    <s v="Rotterdam"/>
    <x v="1"/>
    <n v="25.4"/>
    <n v="3023"/>
    <n v="36"/>
    <n v="11.2"/>
    <x v="2"/>
    <n v="15941.94"/>
    <n v="24237"/>
    <s v="Sato"/>
    <x v="0"/>
    <n v="119.02"/>
    <n v="5.27"/>
    <n v="0.66"/>
    <s v="Delayed"/>
    <s v="Low"/>
    <s v="High Risk"/>
    <x v="4"/>
    <n v="2025"/>
  </r>
  <r>
    <x v="330"/>
    <x v="51"/>
    <x v="7"/>
    <s v="V1822"/>
    <s v="Rotterdam"/>
    <s v="Hamburg"/>
    <x v="3"/>
    <n v="21.5"/>
    <n v="3957"/>
    <n v="99"/>
    <n v="16"/>
    <x v="3"/>
    <n v="11209.1"/>
    <n v="8660"/>
    <s v="Rahul"/>
    <x v="1"/>
    <n v="184.05"/>
    <n v="2.83"/>
    <n v="1.29"/>
    <s v="On Time"/>
    <s v="Low"/>
    <s v="Low Risk"/>
    <x v="8"/>
    <n v="2025"/>
  </r>
  <r>
    <x v="3"/>
    <x v="19"/>
    <x v="3"/>
    <s v="V1823"/>
    <s v="Busan"/>
    <s v="Colombo"/>
    <x v="0"/>
    <n v="39"/>
    <n v="825"/>
    <n v="73"/>
    <n v="18.8"/>
    <x v="3"/>
    <n v="22094.76"/>
    <n v="8927"/>
    <s v="Rahul"/>
    <x v="1"/>
    <n v="21.15"/>
    <n v="26.78"/>
    <n v="2.48"/>
    <s v="On Time"/>
    <s v="Low"/>
    <s v="Low Risk"/>
    <x v="3"/>
    <n v="2025"/>
  </r>
  <r>
    <x v="173"/>
    <x v="6"/>
    <x v="4"/>
    <s v="V1824"/>
    <s v="Busan"/>
    <s v="Colombo"/>
    <x v="0"/>
    <n v="63.7"/>
    <n v="672"/>
    <n v="36"/>
    <n v="19.600000000000001"/>
    <x v="3"/>
    <n v="38220.06"/>
    <n v="6705"/>
    <s v="John"/>
    <x v="1"/>
    <n v="10.55"/>
    <n v="56.88"/>
    <n v="5.7"/>
    <s v="On Time"/>
    <s v="High"/>
    <s v="Low Risk"/>
    <x v="2"/>
    <n v="2025"/>
  </r>
  <r>
    <x v="131"/>
    <x v="18"/>
    <x v="3"/>
    <s v="V1825"/>
    <s v="Mumbai"/>
    <s v="Chennai"/>
    <x v="0"/>
    <n v="59.6"/>
    <n v="1264"/>
    <n v="52"/>
    <n v="19.3"/>
    <x v="2"/>
    <n v="31736.91"/>
    <n v="9567"/>
    <s v="David"/>
    <x v="0"/>
    <n v="21.21"/>
    <n v="25.11"/>
    <n v="3.32"/>
    <s v="Delayed"/>
    <s v="Medium"/>
    <s v="High Risk"/>
    <x v="11"/>
    <n v="2025"/>
  </r>
  <r>
    <x v="155"/>
    <x v="24"/>
    <x v="5"/>
    <s v="V1826"/>
    <s v="Busan"/>
    <s v="Mumbai"/>
    <x v="0"/>
    <n v="66.8"/>
    <n v="4095"/>
    <n v="47"/>
    <n v="10.3"/>
    <x v="0"/>
    <n v="35546.080000000002"/>
    <n v="6176"/>
    <s v="Rahul"/>
    <x v="0"/>
    <n v="61.3"/>
    <n v="8.68"/>
    <n v="5.76"/>
    <s v="Delayed"/>
    <s v="High"/>
    <s v="Medium Risk"/>
    <x v="0"/>
    <n v="2025"/>
  </r>
  <r>
    <x v="260"/>
    <x v="17"/>
    <x v="7"/>
    <s v="V1827"/>
    <s v="Hamburg"/>
    <s v="Busan"/>
    <x v="1"/>
    <n v="67"/>
    <n v="1851"/>
    <n v="93"/>
    <n v="10.7"/>
    <x v="0"/>
    <n v="33069.86"/>
    <n v="24278"/>
    <s v="Michael"/>
    <x v="0"/>
    <n v="27.63"/>
    <n v="17.87"/>
    <n v="1.36"/>
    <s v="Delayed"/>
    <s v="High"/>
    <s v="Medium Risk"/>
    <x v="4"/>
    <n v="2025"/>
  </r>
  <r>
    <x v="76"/>
    <x v="2"/>
    <x v="1"/>
    <s v="V1828"/>
    <s v="Busan"/>
    <s v="Hamburg"/>
    <x v="2"/>
    <n v="54.3"/>
    <n v="3068"/>
    <n v="107"/>
    <n v="21.4"/>
    <x v="2"/>
    <n v="30941.96"/>
    <n v="20198"/>
    <s v="Chen"/>
    <x v="0"/>
    <n v="56.5"/>
    <n v="10.09"/>
    <n v="1.53"/>
    <s v="Delayed"/>
    <s v="Medium"/>
    <s v="High Risk"/>
    <x v="0"/>
    <n v="2025"/>
  </r>
  <r>
    <x v="325"/>
    <x v="22"/>
    <x v="2"/>
    <s v="V1829"/>
    <s v="Hamburg"/>
    <s v="Mumbai"/>
    <x v="1"/>
    <n v="25.1"/>
    <n v="523"/>
    <n v="95"/>
    <n v="19.600000000000001"/>
    <x v="1"/>
    <n v="14121.67"/>
    <n v="5678"/>
    <s v="Michael"/>
    <x v="0"/>
    <n v="20.84"/>
    <n v="27"/>
    <n v="2.4900000000000002"/>
    <s v="Delayed"/>
    <s v="Low"/>
    <s v="Low Risk"/>
    <x v="8"/>
    <n v="2025"/>
  </r>
  <r>
    <x v="11"/>
    <x v="41"/>
    <x v="5"/>
    <s v="V1830"/>
    <s v="Rotterdam"/>
    <s v="Hamburg"/>
    <x v="1"/>
    <n v="63.5"/>
    <n v="1407"/>
    <n v="57"/>
    <n v="16.100000000000001"/>
    <x v="3"/>
    <n v="35371.769999999997"/>
    <n v="9589"/>
    <s v="John"/>
    <x v="1"/>
    <n v="22.16"/>
    <n v="25.14"/>
    <n v="3.69"/>
    <s v="On Time"/>
    <s v="High"/>
    <s v="Low Risk"/>
    <x v="2"/>
    <n v="2025"/>
  </r>
  <r>
    <x v="332"/>
    <x v="74"/>
    <x v="1"/>
    <s v="V1831"/>
    <s v="Rotterdam"/>
    <s v="Mumbai"/>
    <x v="0"/>
    <n v="37.6"/>
    <n v="1265"/>
    <n v="30"/>
    <n v="11.2"/>
    <x v="2"/>
    <n v="17027.759999999998"/>
    <n v="14441"/>
    <s v="Chen"/>
    <x v="0"/>
    <n v="33.64"/>
    <n v="13.46"/>
    <n v="1.18"/>
    <s v="Delayed"/>
    <s v="Low"/>
    <s v="High Risk"/>
    <x v="7"/>
    <n v="2025"/>
  </r>
  <r>
    <x v="297"/>
    <x v="22"/>
    <x v="5"/>
    <s v="V1832"/>
    <s v="Busan"/>
    <s v="Chennai"/>
    <x v="1"/>
    <n v="62.3"/>
    <n v="2035"/>
    <n v="47"/>
    <n v="11.2"/>
    <x v="2"/>
    <n v="28812.799999999999"/>
    <n v="7659"/>
    <s v="Sato"/>
    <x v="0"/>
    <n v="32.659999999999997"/>
    <n v="14.16"/>
    <n v="3.76"/>
    <s v="Delayed"/>
    <s v="High"/>
    <s v="High Risk"/>
    <x v="7"/>
    <n v="2025"/>
  </r>
  <r>
    <x v="103"/>
    <x v="10"/>
    <x v="2"/>
    <s v="V1833"/>
    <s v="Singapore"/>
    <s v="Colombo"/>
    <x v="0"/>
    <n v="66.5"/>
    <n v="3978"/>
    <n v="39"/>
    <n v="17.100000000000001"/>
    <x v="1"/>
    <n v="35714.29"/>
    <n v="7677"/>
    <s v="Ahmed"/>
    <x v="0"/>
    <n v="59.82"/>
    <n v="8.98"/>
    <n v="4.6500000000000004"/>
    <s v="Delayed"/>
    <s v="High"/>
    <s v="Low Risk"/>
    <x v="2"/>
    <n v="2025"/>
  </r>
  <r>
    <x v="309"/>
    <x v="68"/>
    <x v="0"/>
    <s v="V1834"/>
    <s v="Dubai"/>
    <s v="Mumbai"/>
    <x v="1"/>
    <n v="54.6"/>
    <n v="3463"/>
    <n v="62"/>
    <n v="14.6"/>
    <x v="2"/>
    <n v="31725.01"/>
    <n v="29490"/>
    <s v="Ahmed"/>
    <x v="0"/>
    <n v="63.42"/>
    <n v="9.16"/>
    <n v="1.08"/>
    <s v="Delayed"/>
    <s v="Medium"/>
    <s v="High Risk"/>
    <x v="6"/>
    <n v="2025"/>
  </r>
  <r>
    <x v="51"/>
    <x v="54"/>
    <x v="4"/>
    <s v="V1835"/>
    <s v="Dubai"/>
    <s v="Mumbai"/>
    <x v="0"/>
    <n v="73.7"/>
    <n v="4885"/>
    <n v="41"/>
    <n v="10.3"/>
    <x v="2"/>
    <n v="47438.11"/>
    <n v="17305"/>
    <s v="John"/>
    <x v="0"/>
    <n v="66.28"/>
    <n v="9.7100000000000009"/>
    <n v="2.74"/>
    <s v="Delayed"/>
    <s v="High"/>
    <s v="High Risk"/>
    <x v="1"/>
    <n v="2025"/>
  </r>
  <r>
    <x v="333"/>
    <x v="2"/>
    <x v="5"/>
    <s v="V1836"/>
    <s v="Rotterdam"/>
    <s v="Singapore"/>
    <x v="3"/>
    <n v="23.8"/>
    <n v="1647"/>
    <n v="97"/>
    <n v="21.4"/>
    <x v="3"/>
    <n v="12790.07"/>
    <n v="11814"/>
    <s v="John"/>
    <x v="1"/>
    <n v="69.2"/>
    <n v="7.77"/>
    <n v="1.08"/>
    <s v="On Time"/>
    <s v="Low"/>
    <s v="Low Risk"/>
    <x v="5"/>
    <n v="2025"/>
  </r>
  <r>
    <x v="16"/>
    <x v="75"/>
    <x v="3"/>
    <s v="V1837"/>
    <s v="Singapore"/>
    <s v="Chennai"/>
    <x v="2"/>
    <n v="24.7"/>
    <n v="4081"/>
    <n v="113"/>
    <n v="14.3"/>
    <x v="2"/>
    <n v="13583.39"/>
    <n v="25692"/>
    <s v="David"/>
    <x v="0"/>
    <n v="165.22"/>
    <n v="3.33"/>
    <n v="0.53"/>
    <s v="Delayed"/>
    <s v="Low"/>
    <s v="High Risk"/>
    <x v="3"/>
    <n v="2025"/>
  </r>
  <r>
    <x v="132"/>
    <x v="50"/>
    <x v="5"/>
    <s v="V1838"/>
    <s v="Colombo"/>
    <s v="Mumbai"/>
    <x v="1"/>
    <n v="53.7"/>
    <n v="3451"/>
    <n v="103"/>
    <n v="19.2"/>
    <x v="2"/>
    <n v="33040.699999999997"/>
    <n v="18003"/>
    <s v="Ahmed"/>
    <x v="0"/>
    <n v="64.260000000000005"/>
    <n v="9.57"/>
    <n v="1.84"/>
    <s v="Delayed"/>
    <s v="Medium"/>
    <s v="High Risk"/>
    <x v="3"/>
    <n v="2025"/>
  </r>
  <r>
    <x v="225"/>
    <x v="13"/>
    <x v="0"/>
    <s v="V1839"/>
    <s v="Colombo"/>
    <s v="Hamburg"/>
    <x v="2"/>
    <n v="79.7"/>
    <n v="4696"/>
    <n v="59"/>
    <n v="22"/>
    <x v="0"/>
    <n v="54302.31"/>
    <n v="6468"/>
    <s v="Ahmed"/>
    <x v="0"/>
    <n v="58.92"/>
    <n v="11.56"/>
    <n v="8.4"/>
    <s v="Delayed"/>
    <s v="High"/>
    <s v="Medium Risk"/>
    <x v="11"/>
    <n v="2025"/>
  </r>
  <r>
    <x v="52"/>
    <x v="63"/>
    <x v="6"/>
    <s v="V1840"/>
    <s v="Chennai"/>
    <s v="Dubai"/>
    <x v="1"/>
    <n v="55.2"/>
    <n v="4451"/>
    <n v="70"/>
    <n v="16.5"/>
    <x v="0"/>
    <n v="31404.87"/>
    <n v="18947"/>
    <s v="Arun"/>
    <x v="0"/>
    <n v="80.63"/>
    <n v="7.06"/>
    <n v="1.66"/>
    <s v="Delayed"/>
    <s v="Medium"/>
    <s v="Medium Risk"/>
    <x v="7"/>
    <n v="2025"/>
  </r>
  <r>
    <x v="325"/>
    <x v="16"/>
    <x v="4"/>
    <s v="V1841"/>
    <s v="Colombo"/>
    <s v="Singapore"/>
    <x v="0"/>
    <n v="75.599999999999994"/>
    <n v="536"/>
    <n v="50"/>
    <n v="10.1"/>
    <x v="0"/>
    <n v="50023.86"/>
    <n v="26604"/>
    <s v="Rahul"/>
    <x v="0"/>
    <n v="7.09"/>
    <n v="93.33"/>
    <n v="1.88"/>
    <s v="Delayed"/>
    <s v="High"/>
    <s v="Medium Risk"/>
    <x v="8"/>
    <n v="2025"/>
  </r>
  <r>
    <x v="252"/>
    <x v="67"/>
    <x v="5"/>
    <s v="V1842"/>
    <s v="Colombo"/>
    <s v="Busan"/>
    <x v="2"/>
    <n v="34.700000000000003"/>
    <n v="1596"/>
    <n v="63"/>
    <n v="15.1"/>
    <x v="3"/>
    <n v="22828.97"/>
    <n v="23705"/>
    <s v="John"/>
    <x v="1"/>
    <n v="45.99"/>
    <n v="14.3"/>
    <n v="0.96"/>
    <s v="On Time"/>
    <s v="Low"/>
    <s v="Low Risk"/>
    <x v="9"/>
    <n v="2025"/>
  </r>
  <r>
    <x v="152"/>
    <x v="47"/>
    <x v="7"/>
    <s v="V1843"/>
    <s v="Dubai"/>
    <s v="Busan"/>
    <x v="1"/>
    <n v="43.8"/>
    <n v="3405"/>
    <n v="98"/>
    <n v="18"/>
    <x v="0"/>
    <n v="23708.98"/>
    <n v="28293"/>
    <s v="Ahmed"/>
    <x v="0"/>
    <n v="77.739999999999995"/>
    <n v="6.96"/>
    <n v="0.84"/>
    <s v="Delayed"/>
    <s v="Medium"/>
    <s v="Medium Risk"/>
    <x v="9"/>
    <n v="2025"/>
  </r>
  <r>
    <x v="33"/>
    <x v="72"/>
    <x v="2"/>
    <s v="V1844"/>
    <s v="Hamburg"/>
    <s v="Rotterdam"/>
    <x v="0"/>
    <n v="64.900000000000006"/>
    <n v="1183"/>
    <n v="46"/>
    <n v="20.2"/>
    <x v="2"/>
    <n v="36054.21"/>
    <n v="19248"/>
    <s v="Rahul"/>
    <x v="0"/>
    <n v="18.23"/>
    <n v="30.48"/>
    <n v="1.87"/>
    <s v="Delayed"/>
    <s v="High"/>
    <s v="High Risk"/>
    <x v="0"/>
    <n v="2025"/>
  </r>
  <r>
    <x v="125"/>
    <x v="56"/>
    <x v="0"/>
    <s v="V1845"/>
    <s v="Colombo"/>
    <s v="Busan"/>
    <x v="1"/>
    <n v="70.900000000000006"/>
    <n v="2079"/>
    <n v="35"/>
    <n v="16.3"/>
    <x v="1"/>
    <n v="46504.41"/>
    <n v="11633"/>
    <s v="David"/>
    <x v="0"/>
    <n v="29.32"/>
    <n v="22.37"/>
    <n v="4"/>
    <s v="Delayed"/>
    <s v="High"/>
    <s v="Low Risk"/>
    <x v="10"/>
    <n v="2025"/>
  </r>
  <r>
    <x v="29"/>
    <x v="39"/>
    <x v="1"/>
    <s v="V1846"/>
    <s v="Singapore"/>
    <s v="Colombo"/>
    <x v="1"/>
    <n v="77.5"/>
    <n v="3318"/>
    <n v="45"/>
    <n v="19.100000000000001"/>
    <x v="2"/>
    <n v="35029.199999999997"/>
    <n v="12022"/>
    <s v="Rahul"/>
    <x v="0"/>
    <n v="42.81"/>
    <n v="10.56"/>
    <n v="2.91"/>
    <s v="Delayed"/>
    <s v="High"/>
    <s v="High Risk"/>
    <x v="3"/>
    <n v="2025"/>
  </r>
  <r>
    <x v="308"/>
    <x v="37"/>
    <x v="5"/>
    <s v="V1847"/>
    <s v="Busan"/>
    <s v="Colombo"/>
    <x v="3"/>
    <n v="70.3"/>
    <n v="3036"/>
    <n v="95"/>
    <n v="15.4"/>
    <x v="2"/>
    <n v="47012.32"/>
    <n v="21795"/>
    <s v="Sato"/>
    <x v="0"/>
    <n v="43.19"/>
    <n v="15.48"/>
    <n v="2.16"/>
    <s v="Delayed"/>
    <s v="High"/>
    <s v="High Risk"/>
    <x v="9"/>
    <n v="2025"/>
  </r>
  <r>
    <x v="230"/>
    <x v="40"/>
    <x v="2"/>
    <s v="V1848"/>
    <s v="Mumbai"/>
    <s v="Dubai"/>
    <x v="3"/>
    <n v="67.7"/>
    <n v="1717"/>
    <n v="39"/>
    <n v="13.9"/>
    <x v="0"/>
    <n v="45538.74"/>
    <n v="9824"/>
    <s v="Sato"/>
    <x v="0"/>
    <n v="25.36"/>
    <n v="26.52"/>
    <n v="4.6399999999999997"/>
    <s v="Delayed"/>
    <s v="High"/>
    <s v="Medium Risk"/>
    <x v="6"/>
    <n v="2025"/>
  </r>
  <r>
    <x v="201"/>
    <x v="5"/>
    <x v="5"/>
    <s v="V1849"/>
    <s v="Dubai"/>
    <s v="Chennai"/>
    <x v="1"/>
    <n v="36.4"/>
    <n v="2624"/>
    <n v="44"/>
    <n v="12.5"/>
    <x v="0"/>
    <n v="19642.59"/>
    <n v="6758"/>
    <s v="Michael"/>
    <x v="0"/>
    <n v="72.09"/>
    <n v="7.49"/>
    <n v="2.91"/>
    <s v="Delayed"/>
    <s v="Low"/>
    <s v="Medium Risk"/>
    <x v="6"/>
    <n v="2025"/>
  </r>
  <r>
    <x v="98"/>
    <x v="9"/>
    <x v="6"/>
    <s v="V1850"/>
    <s v="Hamburg"/>
    <s v="Chennai"/>
    <x v="0"/>
    <n v="72.400000000000006"/>
    <n v="3284"/>
    <n v="25"/>
    <n v="12.2"/>
    <x v="3"/>
    <n v="35718"/>
    <n v="22847"/>
    <s v="Chen"/>
    <x v="1"/>
    <n v="45.36"/>
    <n v="10.88"/>
    <n v="1.56"/>
    <s v="On Time"/>
    <s v="High"/>
    <s v="Low Risk"/>
    <x v="6"/>
    <n v="2025"/>
  </r>
  <r>
    <x v="334"/>
    <x v="78"/>
    <x v="7"/>
    <s v="V1851"/>
    <s v="Chennai"/>
    <s v="Mumbai"/>
    <x v="0"/>
    <n v="75.599999999999994"/>
    <n v="1746"/>
    <n v="67"/>
    <n v="21.3"/>
    <x v="2"/>
    <n v="50826.47"/>
    <n v="17151"/>
    <s v="Rahul"/>
    <x v="0"/>
    <n v="23.1"/>
    <n v="29.11"/>
    <n v="2.96"/>
    <s v="Delayed"/>
    <s v="High"/>
    <s v="High Risk"/>
    <x v="3"/>
    <n v="2025"/>
  </r>
  <r>
    <x v="319"/>
    <x v="42"/>
    <x v="1"/>
    <s v="V1852"/>
    <s v="Dubai"/>
    <s v="Singapore"/>
    <x v="3"/>
    <n v="50.4"/>
    <n v="1727"/>
    <n v="24"/>
    <n v="10"/>
    <x v="3"/>
    <n v="25849.81"/>
    <n v="28358"/>
    <s v="Ahmed"/>
    <x v="1"/>
    <n v="34.270000000000003"/>
    <n v="14.97"/>
    <n v="0.91"/>
    <s v="On Time"/>
    <s v="Medium"/>
    <s v="Low Risk"/>
    <x v="0"/>
    <n v="2025"/>
  </r>
  <r>
    <x v="188"/>
    <x v="47"/>
    <x v="1"/>
    <s v="V1853"/>
    <s v="Mumbai"/>
    <s v="Hamburg"/>
    <x v="0"/>
    <n v="58"/>
    <n v="2036"/>
    <n v="44"/>
    <n v="12.9"/>
    <x v="3"/>
    <n v="37667.35"/>
    <n v="21586"/>
    <s v="Chen"/>
    <x v="1"/>
    <n v="35.1"/>
    <n v="18.5"/>
    <n v="1.74"/>
    <s v="On Time"/>
    <s v="Medium"/>
    <s v="Low Risk"/>
    <x v="1"/>
    <n v="2025"/>
  </r>
  <r>
    <x v="106"/>
    <x v="59"/>
    <x v="1"/>
    <s v="V1854"/>
    <s v="Colombo"/>
    <s v="Busan"/>
    <x v="1"/>
    <n v="24.9"/>
    <n v="4312"/>
    <n v="33"/>
    <n v="14.1"/>
    <x v="1"/>
    <n v="14289.11"/>
    <n v="11704"/>
    <s v="David"/>
    <x v="0"/>
    <n v="173.17"/>
    <n v="3.31"/>
    <n v="1.22"/>
    <s v="Delayed"/>
    <s v="Low"/>
    <s v="Low Risk"/>
    <x v="4"/>
    <n v="2025"/>
  </r>
  <r>
    <x v="86"/>
    <x v="48"/>
    <x v="6"/>
    <s v="V1855"/>
    <s v="Chennai"/>
    <s v="Hamburg"/>
    <x v="3"/>
    <n v="31.5"/>
    <n v="4956"/>
    <n v="66"/>
    <n v="10.7"/>
    <x v="3"/>
    <n v="14282.33"/>
    <n v="24029"/>
    <s v="Michael"/>
    <x v="1"/>
    <n v="157.33000000000001"/>
    <n v="2.88"/>
    <n v="0.59"/>
    <s v="On Time"/>
    <s v="Low"/>
    <s v="Low Risk"/>
    <x v="1"/>
    <n v="2025"/>
  </r>
  <r>
    <x v="259"/>
    <x v="30"/>
    <x v="0"/>
    <s v="V1856"/>
    <s v="Busan"/>
    <s v="Dubai"/>
    <x v="0"/>
    <n v="35.700000000000003"/>
    <n v="1249"/>
    <n v="71"/>
    <n v="16.600000000000001"/>
    <x v="0"/>
    <n v="18565.39"/>
    <n v="24732"/>
    <s v="Michael"/>
    <x v="0"/>
    <n v="34.99"/>
    <n v="14.86"/>
    <n v="0.75"/>
    <s v="Delayed"/>
    <s v="Low"/>
    <s v="Medium Risk"/>
    <x v="3"/>
    <n v="2025"/>
  </r>
  <r>
    <x v="335"/>
    <x v="9"/>
    <x v="1"/>
    <s v="V1857"/>
    <s v="Colombo"/>
    <s v="Mumbai"/>
    <x v="0"/>
    <n v="35.200000000000003"/>
    <n v="4878"/>
    <n v="78"/>
    <n v="18.5"/>
    <x v="0"/>
    <n v="23453.32"/>
    <n v="26881"/>
    <s v="John"/>
    <x v="0"/>
    <n v="138.58000000000001"/>
    <n v="4.8099999999999996"/>
    <n v="0.87"/>
    <s v="Delayed"/>
    <s v="Low"/>
    <s v="Medium Risk"/>
    <x v="11"/>
    <n v="2025"/>
  </r>
  <r>
    <x v="265"/>
    <x v="52"/>
    <x v="6"/>
    <s v="V1858"/>
    <s v="Rotterdam"/>
    <s v="Chennai"/>
    <x v="2"/>
    <n v="75.3"/>
    <n v="4410"/>
    <n v="73"/>
    <n v="10.5"/>
    <x v="3"/>
    <n v="46163.19"/>
    <n v="20859"/>
    <s v="Chen"/>
    <x v="1"/>
    <n v="58.57"/>
    <n v="10.47"/>
    <n v="2.21"/>
    <s v="On Time"/>
    <s v="High"/>
    <s v="Low Risk"/>
    <x v="4"/>
    <n v="2025"/>
  </r>
  <r>
    <x v="92"/>
    <x v="16"/>
    <x v="1"/>
    <s v="V1859"/>
    <s v="Busan"/>
    <s v="Mumbai"/>
    <x v="3"/>
    <n v="36.1"/>
    <n v="503"/>
    <n v="60"/>
    <n v="13.5"/>
    <x v="3"/>
    <n v="20443.849999999999"/>
    <n v="18653"/>
    <s v="Arun"/>
    <x v="1"/>
    <n v="13.93"/>
    <n v="40.64"/>
    <n v="1.1000000000000001"/>
    <s v="On Time"/>
    <s v="Low"/>
    <s v="Low Risk"/>
    <x v="9"/>
    <n v="2025"/>
  </r>
  <r>
    <x v="289"/>
    <x v="77"/>
    <x v="7"/>
    <s v="V1860"/>
    <s v="Mumbai"/>
    <s v="Colombo"/>
    <x v="3"/>
    <n v="51"/>
    <n v="3620"/>
    <n v="72"/>
    <n v="19.100000000000001"/>
    <x v="3"/>
    <n v="26121.86"/>
    <n v="20866"/>
    <s v="Rahul"/>
    <x v="1"/>
    <n v="70.98"/>
    <n v="7.22"/>
    <n v="1.25"/>
    <s v="On Time"/>
    <s v="Medium"/>
    <s v="Low Risk"/>
    <x v="5"/>
    <n v="2025"/>
  </r>
  <r>
    <x v="327"/>
    <x v="49"/>
    <x v="3"/>
    <s v="V1861"/>
    <s v="Chennai"/>
    <s v="Hamburg"/>
    <x v="3"/>
    <n v="52.3"/>
    <n v="3742"/>
    <n v="55"/>
    <n v="11.6"/>
    <x v="1"/>
    <n v="28764.89"/>
    <n v="22756"/>
    <s v="David"/>
    <x v="0"/>
    <n v="71.55"/>
    <n v="7.69"/>
    <n v="1.26"/>
    <s v="Delayed"/>
    <s v="Medium"/>
    <s v="Low Risk"/>
    <x v="8"/>
    <n v="2025"/>
  </r>
  <r>
    <x v="157"/>
    <x v="9"/>
    <x v="3"/>
    <s v="V1862"/>
    <s v="Chennai"/>
    <s v="Rotterdam"/>
    <x v="0"/>
    <n v="68.099999999999994"/>
    <n v="4362"/>
    <n v="45"/>
    <n v="14.4"/>
    <x v="0"/>
    <n v="39187.919999999998"/>
    <n v="29758"/>
    <s v="Ahmed"/>
    <x v="0"/>
    <n v="64.05"/>
    <n v="8.98"/>
    <n v="1.32"/>
    <s v="Delayed"/>
    <s v="High"/>
    <s v="Medium Risk"/>
    <x v="8"/>
    <n v="2025"/>
  </r>
  <r>
    <x v="170"/>
    <x v="47"/>
    <x v="0"/>
    <s v="V1863"/>
    <s v="Rotterdam"/>
    <s v="Mumbai"/>
    <x v="0"/>
    <n v="39.700000000000003"/>
    <n v="4541"/>
    <n v="87"/>
    <n v="15.4"/>
    <x v="2"/>
    <n v="21989.95"/>
    <n v="18691"/>
    <s v="Ahmed"/>
    <x v="0"/>
    <n v="114.38"/>
    <n v="4.84"/>
    <n v="1.18"/>
    <s v="Delayed"/>
    <s v="Low"/>
    <s v="High Risk"/>
    <x v="4"/>
    <n v="2025"/>
  </r>
  <r>
    <x v="279"/>
    <x v="48"/>
    <x v="7"/>
    <s v="V1864"/>
    <s v="Chennai"/>
    <s v="Dubai"/>
    <x v="0"/>
    <n v="53.9"/>
    <n v="2095"/>
    <n v="49"/>
    <n v="13.2"/>
    <x v="3"/>
    <n v="35555.910000000003"/>
    <n v="23903"/>
    <s v="Sato"/>
    <x v="1"/>
    <n v="38.869999999999997"/>
    <n v="16.97"/>
    <n v="1.49"/>
    <s v="On Time"/>
    <s v="Medium"/>
    <s v="Low Risk"/>
    <x v="5"/>
    <n v="2025"/>
  </r>
  <r>
    <x v="245"/>
    <x v="1"/>
    <x v="1"/>
    <s v="V1865"/>
    <s v="Singapore"/>
    <s v="Rotterdam"/>
    <x v="1"/>
    <n v="57.7"/>
    <n v="911"/>
    <n v="32"/>
    <n v="10.9"/>
    <x v="1"/>
    <n v="35849.33"/>
    <n v="12787"/>
    <s v="Arun"/>
    <x v="0"/>
    <n v="15.79"/>
    <n v="39.35"/>
    <n v="2.8"/>
    <s v="Delayed"/>
    <s v="Medium"/>
    <s v="Low Risk"/>
    <x v="0"/>
    <n v="2025"/>
  </r>
  <r>
    <x v="311"/>
    <x v="47"/>
    <x v="6"/>
    <s v="V1866"/>
    <s v="Busan"/>
    <s v="Rotterdam"/>
    <x v="1"/>
    <n v="50.4"/>
    <n v="543"/>
    <n v="117"/>
    <n v="11.4"/>
    <x v="3"/>
    <n v="23689.24"/>
    <n v="22924"/>
    <s v="David"/>
    <x v="1"/>
    <n v="10.77"/>
    <n v="43.63"/>
    <n v="1.03"/>
    <s v="On Time"/>
    <s v="Medium"/>
    <s v="Low Risk"/>
    <x v="11"/>
    <n v="2025"/>
  </r>
  <r>
    <x v="31"/>
    <x v="12"/>
    <x v="5"/>
    <s v="V1867"/>
    <s v="Busan"/>
    <s v="Chennai"/>
    <x v="3"/>
    <n v="68.099999999999994"/>
    <n v="3325"/>
    <n v="100"/>
    <n v="16.7"/>
    <x v="0"/>
    <n v="39962.269999999997"/>
    <n v="15834"/>
    <s v="Ahmed"/>
    <x v="0"/>
    <n v="48.83"/>
    <n v="12.02"/>
    <n v="2.52"/>
    <s v="Delayed"/>
    <s v="High"/>
    <s v="Medium Risk"/>
    <x v="2"/>
    <n v="2025"/>
  </r>
  <r>
    <x v="257"/>
    <x v="6"/>
    <x v="7"/>
    <s v="V1868"/>
    <s v="Mumbai"/>
    <s v="Chennai"/>
    <x v="2"/>
    <n v="22.8"/>
    <n v="1910"/>
    <n v="112"/>
    <n v="12.8"/>
    <x v="2"/>
    <n v="14515.31"/>
    <n v="11832"/>
    <s v="David"/>
    <x v="0"/>
    <n v="83.77"/>
    <n v="7.6"/>
    <n v="1.23"/>
    <s v="Delayed"/>
    <s v="Low"/>
    <s v="High Risk"/>
    <x v="3"/>
    <n v="2025"/>
  </r>
  <r>
    <x v="111"/>
    <x v="54"/>
    <x v="6"/>
    <s v="V1869"/>
    <s v="Hamburg"/>
    <s v="Dubai"/>
    <x v="0"/>
    <n v="32.5"/>
    <n v="2448"/>
    <n v="120"/>
    <n v="17.2"/>
    <x v="1"/>
    <n v="17183.71"/>
    <n v="11668"/>
    <s v="Michael"/>
    <x v="0"/>
    <n v="75.319999999999993"/>
    <n v="7.02"/>
    <n v="1.47"/>
    <s v="Delayed"/>
    <s v="Low"/>
    <s v="Low Risk"/>
    <x v="7"/>
    <n v="2025"/>
  </r>
  <r>
    <x v="283"/>
    <x v="25"/>
    <x v="4"/>
    <s v="V1870"/>
    <s v="Rotterdam"/>
    <s v="Colombo"/>
    <x v="1"/>
    <n v="79.099999999999994"/>
    <n v="2170"/>
    <n v="79"/>
    <n v="20.5"/>
    <x v="0"/>
    <n v="53808.4"/>
    <n v="18467"/>
    <s v="Michael"/>
    <x v="0"/>
    <n v="27.43"/>
    <n v="24.8"/>
    <n v="2.91"/>
    <s v="Delayed"/>
    <s v="High"/>
    <s v="Medium Risk"/>
    <x v="11"/>
    <n v="2025"/>
  </r>
  <r>
    <x v="234"/>
    <x v="3"/>
    <x v="5"/>
    <s v="V1871"/>
    <s v="Chennai"/>
    <s v="Colombo"/>
    <x v="2"/>
    <n v="21.5"/>
    <n v="3146"/>
    <n v="86"/>
    <n v="10.1"/>
    <x v="1"/>
    <n v="11306.11"/>
    <n v="28868"/>
    <s v="Rahul"/>
    <x v="0"/>
    <n v="146.33000000000001"/>
    <n v="3.59"/>
    <n v="0.39"/>
    <s v="Delayed"/>
    <s v="Low"/>
    <s v="Low Risk"/>
    <x v="10"/>
    <n v="2025"/>
  </r>
  <r>
    <x v="253"/>
    <x v="42"/>
    <x v="3"/>
    <s v="V1872"/>
    <s v="Colombo"/>
    <s v="Hamburg"/>
    <x v="0"/>
    <n v="65.3"/>
    <n v="3837"/>
    <n v="78"/>
    <n v="13.2"/>
    <x v="2"/>
    <n v="40361.21"/>
    <n v="16578"/>
    <s v="Ahmed"/>
    <x v="0"/>
    <n v="58.76"/>
    <n v="10.52"/>
    <n v="2.4300000000000002"/>
    <s v="Delayed"/>
    <s v="High"/>
    <s v="High Risk"/>
    <x v="7"/>
    <n v="2025"/>
  </r>
  <r>
    <x v="107"/>
    <x v="75"/>
    <x v="5"/>
    <s v="V1873"/>
    <s v="Mumbai"/>
    <s v="Dubai"/>
    <x v="3"/>
    <n v="46.5"/>
    <n v="875"/>
    <n v="70"/>
    <n v="14.7"/>
    <x v="1"/>
    <n v="28405.02"/>
    <n v="17950"/>
    <s v="Arun"/>
    <x v="0"/>
    <n v="18.82"/>
    <n v="32.46"/>
    <n v="1.58"/>
    <s v="Delayed"/>
    <s v="Medium"/>
    <s v="Low Risk"/>
    <x v="9"/>
    <n v="2025"/>
  </r>
  <r>
    <x v="116"/>
    <x v="24"/>
    <x v="6"/>
    <s v="V1874"/>
    <s v="Singapore"/>
    <s v="Busan"/>
    <x v="2"/>
    <n v="51.5"/>
    <n v="4944"/>
    <n v="40"/>
    <n v="19"/>
    <x v="0"/>
    <n v="28950.59"/>
    <n v="19986"/>
    <s v="Sato"/>
    <x v="0"/>
    <n v="96"/>
    <n v="5.86"/>
    <n v="1.45"/>
    <s v="Delayed"/>
    <s v="Medium"/>
    <s v="Medium Risk"/>
    <x v="8"/>
    <n v="2025"/>
  </r>
  <r>
    <x v="26"/>
    <x v="20"/>
    <x v="5"/>
    <s v="V1875"/>
    <s v="Rotterdam"/>
    <s v="Dubai"/>
    <x v="3"/>
    <n v="74.7"/>
    <n v="4746"/>
    <n v="68"/>
    <n v="21.3"/>
    <x v="3"/>
    <n v="35412.86"/>
    <n v="23924"/>
    <s v="Michael"/>
    <x v="1"/>
    <n v="63.53"/>
    <n v="7.46"/>
    <n v="1.48"/>
    <s v="On Time"/>
    <s v="High"/>
    <s v="Low Risk"/>
    <x v="1"/>
    <n v="2025"/>
  </r>
  <r>
    <x v="245"/>
    <x v="25"/>
    <x v="6"/>
    <s v="V1876"/>
    <s v="Rotterdam"/>
    <s v="Singapore"/>
    <x v="2"/>
    <n v="55.9"/>
    <n v="1419"/>
    <n v="117"/>
    <n v="13.9"/>
    <x v="0"/>
    <n v="38829.07"/>
    <n v="12319"/>
    <s v="Michael"/>
    <x v="0"/>
    <n v="25.38"/>
    <n v="27.36"/>
    <n v="3.15"/>
    <s v="Delayed"/>
    <s v="Medium"/>
    <s v="Medium Risk"/>
    <x v="0"/>
    <n v="2025"/>
  </r>
  <r>
    <x v="272"/>
    <x v="33"/>
    <x v="0"/>
    <s v="V1877"/>
    <s v="Singapore"/>
    <s v="Busan"/>
    <x v="0"/>
    <n v="54.4"/>
    <n v="824"/>
    <n v="39"/>
    <n v="15.2"/>
    <x v="3"/>
    <n v="34707.49"/>
    <n v="9936"/>
    <s v="Chen"/>
    <x v="1"/>
    <n v="15.15"/>
    <n v="42.12"/>
    <n v="3.49"/>
    <s v="On Time"/>
    <s v="Medium"/>
    <s v="Low Risk"/>
    <x v="8"/>
    <n v="2025"/>
  </r>
  <r>
    <x v="161"/>
    <x v="72"/>
    <x v="7"/>
    <s v="V1878"/>
    <s v="Colombo"/>
    <s v="Busan"/>
    <x v="2"/>
    <n v="37.4"/>
    <n v="2517"/>
    <n v="94"/>
    <n v="21.8"/>
    <x v="0"/>
    <n v="17293.849999999999"/>
    <n v="13901"/>
    <s v="Michael"/>
    <x v="0"/>
    <n v="67.3"/>
    <n v="6.87"/>
    <n v="1.24"/>
    <s v="Delayed"/>
    <s v="Low"/>
    <s v="Medium Risk"/>
    <x v="9"/>
    <n v="2025"/>
  </r>
  <r>
    <x v="336"/>
    <x v="70"/>
    <x v="6"/>
    <s v="V1879"/>
    <s v="Singapore"/>
    <s v="Colombo"/>
    <x v="3"/>
    <n v="23.9"/>
    <n v="948"/>
    <n v="75"/>
    <n v="21.1"/>
    <x v="2"/>
    <n v="13329.61"/>
    <n v="17069"/>
    <s v="Chen"/>
    <x v="0"/>
    <n v="39.67"/>
    <n v="14.06"/>
    <n v="0.78"/>
    <s v="Delayed"/>
    <s v="Low"/>
    <s v="High Risk"/>
    <x v="6"/>
    <n v="2025"/>
  </r>
  <r>
    <x v="103"/>
    <x v="2"/>
    <x v="0"/>
    <s v="V1880"/>
    <s v="Rotterdam"/>
    <s v="Dubai"/>
    <x v="1"/>
    <n v="41.8"/>
    <n v="3071"/>
    <n v="47"/>
    <n v="19.899999999999999"/>
    <x v="2"/>
    <n v="28613.18"/>
    <n v="8105"/>
    <s v="David"/>
    <x v="0"/>
    <n v="73.47"/>
    <n v="9.32"/>
    <n v="3.53"/>
    <s v="Delayed"/>
    <s v="Medium"/>
    <s v="High Risk"/>
    <x v="2"/>
    <n v="2025"/>
  </r>
  <r>
    <x v="136"/>
    <x v="57"/>
    <x v="4"/>
    <s v="V1881"/>
    <s v="Hamburg"/>
    <s v="Colombo"/>
    <x v="1"/>
    <n v="73.400000000000006"/>
    <n v="2474"/>
    <n v="22"/>
    <n v="10"/>
    <x v="3"/>
    <n v="40918.080000000002"/>
    <n v="23060"/>
    <s v="Ahmed"/>
    <x v="1"/>
    <n v="33.71"/>
    <n v="16.54"/>
    <n v="1.77"/>
    <s v="On Time"/>
    <s v="High"/>
    <s v="Low Risk"/>
    <x v="6"/>
    <n v="2025"/>
  </r>
  <r>
    <x v="123"/>
    <x v="51"/>
    <x v="2"/>
    <s v="V1882"/>
    <s v="Chennai"/>
    <s v="Singapore"/>
    <x v="3"/>
    <n v="50.4"/>
    <n v="3119"/>
    <n v="44"/>
    <n v="13.1"/>
    <x v="3"/>
    <n v="26578.2"/>
    <n v="21354"/>
    <s v="Sato"/>
    <x v="1"/>
    <n v="61.88"/>
    <n v="8.52"/>
    <n v="1.24"/>
    <s v="On Time"/>
    <s v="Medium"/>
    <s v="Low Risk"/>
    <x v="3"/>
    <n v="2025"/>
  </r>
  <r>
    <x v="224"/>
    <x v="41"/>
    <x v="1"/>
    <s v="V1883"/>
    <s v="Rotterdam"/>
    <s v="Mumbai"/>
    <x v="2"/>
    <n v="60.8"/>
    <n v="4752"/>
    <n v="62"/>
    <n v="18.3"/>
    <x v="1"/>
    <n v="31777.61"/>
    <n v="14189"/>
    <s v="Rahul"/>
    <x v="0"/>
    <n v="78.16"/>
    <n v="6.69"/>
    <n v="2.2400000000000002"/>
    <s v="Delayed"/>
    <s v="High"/>
    <s v="Low Risk"/>
    <x v="2"/>
    <n v="2025"/>
  </r>
  <r>
    <x v="148"/>
    <x v="9"/>
    <x v="3"/>
    <s v="V1884"/>
    <s v="Chennai"/>
    <s v="Hamburg"/>
    <x v="1"/>
    <n v="66.400000000000006"/>
    <n v="4846"/>
    <n v="55"/>
    <n v="15.9"/>
    <x v="2"/>
    <n v="35798.36"/>
    <n v="10886"/>
    <s v="Rahul"/>
    <x v="0"/>
    <n v="72.98"/>
    <n v="7.39"/>
    <n v="3.29"/>
    <s v="Delayed"/>
    <s v="High"/>
    <s v="High Risk"/>
    <x v="1"/>
    <n v="2025"/>
  </r>
  <r>
    <x v="314"/>
    <x v="78"/>
    <x v="4"/>
    <s v="V1885"/>
    <s v="Dubai"/>
    <s v="Busan"/>
    <x v="3"/>
    <n v="54.6"/>
    <n v="2920"/>
    <n v="63"/>
    <n v="15.7"/>
    <x v="3"/>
    <n v="31231.360000000001"/>
    <n v="12941"/>
    <s v="Ahmed"/>
    <x v="1"/>
    <n v="53.48"/>
    <n v="10.7"/>
    <n v="2.41"/>
    <s v="On Time"/>
    <s v="Medium"/>
    <s v="Low Risk"/>
    <x v="7"/>
    <n v="2025"/>
  </r>
  <r>
    <x v="38"/>
    <x v="27"/>
    <x v="3"/>
    <s v="V1886"/>
    <s v="Dubai"/>
    <s v="Chennai"/>
    <x v="0"/>
    <n v="40.299999999999997"/>
    <n v="4829"/>
    <n v="104"/>
    <n v="11.5"/>
    <x v="3"/>
    <n v="20263.330000000002"/>
    <n v="11683"/>
    <s v="John"/>
    <x v="1"/>
    <n v="119.83"/>
    <n v="4.2"/>
    <n v="1.73"/>
    <s v="On Time"/>
    <s v="Medium"/>
    <s v="Low Risk"/>
    <x v="11"/>
    <n v="2025"/>
  </r>
  <r>
    <x v="115"/>
    <x v="40"/>
    <x v="4"/>
    <s v="V1887"/>
    <s v="Busan"/>
    <s v="Singapore"/>
    <x v="0"/>
    <n v="29.8"/>
    <n v="2819"/>
    <n v="60"/>
    <n v="20.8"/>
    <x v="1"/>
    <n v="18198.11"/>
    <n v="14661"/>
    <s v="Chen"/>
    <x v="0"/>
    <n v="94.6"/>
    <n v="6.46"/>
    <n v="1.24"/>
    <s v="Delayed"/>
    <s v="Low"/>
    <s v="Low Risk"/>
    <x v="7"/>
    <n v="2025"/>
  </r>
  <r>
    <x v="251"/>
    <x v="56"/>
    <x v="2"/>
    <s v="V1888"/>
    <s v="Mumbai"/>
    <s v="Singapore"/>
    <x v="1"/>
    <n v="32.1"/>
    <n v="3047"/>
    <n v="107"/>
    <n v="19.100000000000001"/>
    <x v="3"/>
    <n v="17361.41"/>
    <n v="20426"/>
    <s v="Michael"/>
    <x v="1"/>
    <n v="94.92"/>
    <n v="5.7"/>
    <n v="0.85"/>
    <s v="On Time"/>
    <s v="Low"/>
    <s v="Low Risk"/>
    <x v="9"/>
    <n v="2025"/>
  </r>
  <r>
    <x v="132"/>
    <x v="65"/>
    <x v="5"/>
    <s v="V1889"/>
    <s v="Rotterdam"/>
    <s v="Dubai"/>
    <x v="0"/>
    <n v="79.099999999999994"/>
    <n v="3054"/>
    <n v="52"/>
    <n v="14.1"/>
    <x v="3"/>
    <n v="44290.23"/>
    <n v="18664"/>
    <s v="Michael"/>
    <x v="1"/>
    <n v="38.61"/>
    <n v="14.5"/>
    <n v="2.37"/>
    <s v="On Time"/>
    <s v="High"/>
    <s v="Low Risk"/>
    <x v="3"/>
    <n v="2025"/>
  </r>
  <r>
    <x v="265"/>
    <x v="13"/>
    <x v="6"/>
    <s v="V1890"/>
    <s v="Colombo"/>
    <s v="Busan"/>
    <x v="1"/>
    <n v="55.7"/>
    <n v="2098"/>
    <n v="94"/>
    <n v="19.7"/>
    <x v="2"/>
    <n v="25458.39"/>
    <n v="5996"/>
    <s v="Chen"/>
    <x v="0"/>
    <n v="37.67"/>
    <n v="12.13"/>
    <n v="4.25"/>
    <s v="Delayed"/>
    <s v="Medium"/>
    <s v="High Risk"/>
    <x v="4"/>
    <n v="2025"/>
  </r>
  <r>
    <x v="318"/>
    <x v="62"/>
    <x v="6"/>
    <s v="V1891"/>
    <s v="Colombo"/>
    <s v="Rotterdam"/>
    <x v="0"/>
    <n v="44"/>
    <n v="4044"/>
    <n v="89"/>
    <n v="18.5"/>
    <x v="1"/>
    <n v="28217.15"/>
    <n v="20987"/>
    <s v="Rahul"/>
    <x v="0"/>
    <n v="91.91"/>
    <n v="6.98"/>
    <n v="1.34"/>
    <s v="Delayed"/>
    <s v="Medium"/>
    <s v="Low Risk"/>
    <x v="10"/>
    <n v="2025"/>
  </r>
  <r>
    <x v="83"/>
    <x v="42"/>
    <x v="6"/>
    <s v="V1892"/>
    <s v="Chennai"/>
    <s v="Busan"/>
    <x v="0"/>
    <n v="50.6"/>
    <n v="2369"/>
    <n v="23"/>
    <n v="12.3"/>
    <x v="0"/>
    <n v="24912.71"/>
    <n v="27867"/>
    <s v="Chen"/>
    <x v="0"/>
    <n v="46.82"/>
    <n v="10.52"/>
    <n v="0.89"/>
    <s v="Delayed"/>
    <s v="Medium"/>
    <s v="Medium Risk"/>
    <x v="1"/>
    <n v="2025"/>
  </r>
  <r>
    <x v="143"/>
    <x v="48"/>
    <x v="2"/>
    <s v="V1893"/>
    <s v="Rotterdam"/>
    <s v="Mumbai"/>
    <x v="3"/>
    <n v="39.799999999999997"/>
    <n v="3023"/>
    <n v="46"/>
    <n v="20.6"/>
    <x v="1"/>
    <n v="18334.79"/>
    <n v="10700"/>
    <s v="Rahul"/>
    <x v="0"/>
    <n v="75.95"/>
    <n v="6.07"/>
    <n v="1.71"/>
    <s v="Delayed"/>
    <s v="Low"/>
    <s v="Low Risk"/>
    <x v="4"/>
    <n v="2025"/>
  </r>
  <r>
    <x v="8"/>
    <x v="59"/>
    <x v="4"/>
    <s v="V1894"/>
    <s v="Mumbai"/>
    <s v="Rotterdam"/>
    <x v="3"/>
    <n v="40.700000000000003"/>
    <n v="4394"/>
    <n v="90"/>
    <n v="13.2"/>
    <x v="1"/>
    <n v="24250.39"/>
    <n v="20713"/>
    <s v="Chen"/>
    <x v="0"/>
    <n v="107.96"/>
    <n v="5.52"/>
    <n v="1.17"/>
    <s v="Delayed"/>
    <s v="Medium"/>
    <s v="Low Risk"/>
    <x v="5"/>
    <n v="2025"/>
  </r>
  <r>
    <x v="118"/>
    <x v="72"/>
    <x v="3"/>
    <s v="V1895"/>
    <s v="Mumbai"/>
    <s v="Colombo"/>
    <x v="0"/>
    <n v="50.9"/>
    <n v="3224"/>
    <n v="81"/>
    <n v="17.2"/>
    <x v="3"/>
    <n v="27330.32"/>
    <n v="13701"/>
    <s v="Michael"/>
    <x v="1"/>
    <n v="63.34"/>
    <n v="8.48"/>
    <n v="1.99"/>
    <s v="On Time"/>
    <s v="Medium"/>
    <s v="Low Risk"/>
    <x v="5"/>
    <n v="2025"/>
  </r>
  <r>
    <x v="180"/>
    <x v="9"/>
    <x v="4"/>
    <s v="V1896"/>
    <s v="Dubai"/>
    <s v="Singapore"/>
    <x v="2"/>
    <n v="73.2"/>
    <n v="1262"/>
    <n v="68"/>
    <n v="11.3"/>
    <x v="3"/>
    <n v="46305.37"/>
    <n v="17518"/>
    <s v="Rahul"/>
    <x v="1"/>
    <n v="17.239999999999998"/>
    <n v="36.69"/>
    <n v="2.64"/>
    <s v="On Time"/>
    <s v="High"/>
    <s v="Low Risk"/>
    <x v="10"/>
    <n v="2025"/>
  </r>
  <r>
    <x v="120"/>
    <x v="55"/>
    <x v="6"/>
    <s v="V1897"/>
    <s v="Mumbai"/>
    <s v="Singapore"/>
    <x v="3"/>
    <n v="49.9"/>
    <n v="1438"/>
    <n v="38"/>
    <n v="12.9"/>
    <x v="1"/>
    <n v="33190.94"/>
    <n v="8991"/>
    <s v="Rahul"/>
    <x v="0"/>
    <n v="28.82"/>
    <n v="23.08"/>
    <n v="3.69"/>
    <s v="Delayed"/>
    <s v="Medium"/>
    <s v="Low Risk"/>
    <x v="11"/>
    <n v="2025"/>
  </r>
  <r>
    <x v="337"/>
    <x v="51"/>
    <x v="1"/>
    <s v="V1898"/>
    <s v="Rotterdam"/>
    <s v="Dubai"/>
    <x v="3"/>
    <n v="52"/>
    <n v="4777"/>
    <n v="67"/>
    <n v="14.8"/>
    <x v="3"/>
    <n v="33758.42"/>
    <n v="10312"/>
    <s v="David"/>
    <x v="1"/>
    <n v="91.87"/>
    <n v="7.07"/>
    <n v="3.27"/>
    <s v="On Time"/>
    <s v="Medium"/>
    <s v="Low Risk"/>
    <x v="0"/>
    <n v="2025"/>
  </r>
  <r>
    <x v="136"/>
    <x v="7"/>
    <x v="1"/>
    <s v="V1899"/>
    <s v="Colombo"/>
    <s v="Busan"/>
    <x v="2"/>
    <n v="46"/>
    <n v="4565"/>
    <n v="36"/>
    <n v="10.199999999999999"/>
    <x v="1"/>
    <n v="31399.919999999998"/>
    <n v="9033"/>
    <s v="David"/>
    <x v="0"/>
    <n v="99.24"/>
    <n v="6.88"/>
    <n v="3.48"/>
    <s v="Delayed"/>
    <s v="Medium"/>
    <s v="Low Risk"/>
    <x v="6"/>
    <n v="2025"/>
  </r>
  <r>
    <x v="338"/>
    <x v="34"/>
    <x v="0"/>
    <s v="V1900"/>
    <s v="Mumbai"/>
    <s v="Colombo"/>
    <x v="2"/>
    <n v="27.2"/>
    <n v="3446"/>
    <n v="106"/>
    <n v="21.4"/>
    <x v="1"/>
    <n v="12767.08"/>
    <n v="19890"/>
    <s v="John"/>
    <x v="0"/>
    <n v="126.69"/>
    <n v="3.7"/>
    <n v="0.64"/>
    <s v="Delayed"/>
    <s v="Low"/>
    <s v="Low Risk"/>
    <x v="2"/>
    <n v="2025"/>
  </r>
  <r>
    <x v="173"/>
    <x v="67"/>
    <x v="5"/>
    <s v="V1901"/>
    <s v="Dubai"/>
    <s v="Mumbai"/>
    <x v="2"/>
    <n v="54.9"/>
    <n v="2787"/>
    <n v="69"/>
    <n v="12.4"/>
    <x v="3"/>
    <n v="37757.54"/>
    <n v="12121"/>
    <s v="Rahul"/>
    <x v="1"/>
    <n v="50.77"/>
    <n v="13.55"/>
    <n v="3.12"/>
    <s v="On Time"/>
    <s v="Medium"/>
    <s v="Low Risk"/>
    <x v="2"/>
    <n v="2025"/>
  </r>
  <r>
    <x v="49"/>
    <x v="72"/>
    <x v="2"/>
    <s v="V1902"/>
    <s v="Hamburg"/>
    <s v="Busan"/>
    <x v="3"/>
    <n v="63.3"/>
    <n v="2702"/>
    <n v="111"/>
    <n v="20.399999999999999"/>
    <x v="2"/>
    <n v="38842.15"/>
    <n v="24651"/>
    <s v="Sato"/>
    <x v="0"/>
    <n v="42.69"/>
    <n v="14.38"/>
    <n v="1.58"/>
    <s v="Delayed"/>
    <s v="High"/>
    <s v="High Risk"/>
    <x v="7"/>
    <n v="2025"/>
  </r>
  <r>
    <x v="189"/>
    <x v="4"/>
    <x v="6"/>
    <s v="V1903"/>
    <s v="Chennai"/>
    <s v="Hamburg"/>
    <x v="1"/>
    <n v="77.099999999999994"/>
    <n v="2665"/>
    <n v="75"/>
    <n v="20.8"/>
    <x v="0"/>
    <n v="39440.74"/>
    <n v="24950"/>
    <s v="David"/>
    <x v="0"/>
    <n v="34.57"/>
    <n v="14.8"/>
    <n v="1.58"/>
    <s v="Delayed"/>
    <s v="High"/>
    <s v="Medium Risk"/>
    <x v="3"/>
    <n v="2025"/>
  </r>
  <r>
    <x v="92"/>
    <x v="19"/>
    <x v="5"/>
    <s v="V1904"/>
    <s v="Chennai"/>
    <s v="Hamburg"/>
    <x v="1"/>
    <n v="77.7"/>
    <n v="4106"/>
    <n v="96"/>
    <n v="11.7"/>
    <x v="0"/>
    <n v="51958.89"/>
    <n v="15491"/>
    <s v="Rahul"/>
    <x v="0"/>
    <n v="52.84"/>
    <n v="12.65"/>
    <n v="3.35"/>
    <s v="Delayed"/>
    <s v="High"/>
    <s v="Medium Risk"/>
    <x v="9"/>
    <n v="2025"/>
  </r>
  <r>
    <x v="12"/>
    <x v="14"/>
    <x v="3"/>
    <s v="V1905"/>
    <s v="Chennai"/>
    <s v="Hamburg"/>
    <x v="0"/>
    <n v="35"/>
    <n v="1770"/>
    <n v="115"/>
    <n v="13.2"/>
    <x v="1"/>
    <n v="16552.07"/>
    <n v="7862"/>
    <s v="Rahul"/>
    <x v="0"/>
    <n v="50.57"/>
    <n v="9.35"/>
    <n v="2.11"/>
    <s v="Delayed"/>
    <s v="Low"/>
    <s v="Low Risk"/>
    <x v="8"/>
    <n v="2025"/>
  </r>
  <r>
    <x v="294"/>
    <x v="65"/>
    <x v="7"/>
    <s v="V1906"/>
    <s v="Busan"/>
    <s v="Dubai"/>
    <x v="2"/>
    <n v="75.599999999999994"/>
    <n v="4781"/>
    <n v="56"/>
    <n v="20.5"/>
    <x v="3"/>
    <n v="44588.62"/>
    <n v="29048"/>
    <s v="Arun"/>
    <x v="1"/>
    <n v="63.24"/>
    <n v="9.33"/>
    <n v="1.53"/>
    <s v="On Time"/>
    <s v="High"/>
    <s v="Low Risk"/>
    <x v="11"/>
    <n v="2025"/>
  </r>
  <r>
    <x v="104"/>
    <x v="52"/>
    <x v="4"/>
    <s v="V1907"/>
    <s v="Chennai"/>
    <s v="Colombo"/>
    <x v="3"/>
    <n v="63.8"/>
    <n v="1371"/>
    <n v="102"/>
    <n v="13.9"/>
    <x v="3"/>
    <n v="39510.379999999997"/>
    <n v="23500"/>
    <s v="Arun"/>
    <x v="1"/>
    <n v="21.49"/>
    <n v="28.82"/>
    <n v="1.68"/>
    <s v="On Time"/>
    <s v="High"/>
    <s v="Low Risk"/>
    <x v="9"/>
    <n v="2025"/>
  </r>
  <r>
    <x v="26"/>
    <x v="65"/>
    <x v="5"/>
    <s v="V1908"/>
    <s v="Singapore"/>
    <s v="Rotterdam"/>
    <x v="3"/>
    <n v="67.2"/>
    <n v="4932"/>
    <n v="52"/>
    <n v="17"/>
    <x v="0"/>
    <n v="35859.08"/>
    <n v="18152"/>
    <s v="David"/>
    <x v="0"/>
    <n v="73.39"/>
    <n v="7.27"/>
    <n v="1.98"/>
    <s v="Delayed"/>
    <s v="High"/>
    <s v="Medium Risk"/>
    <x v="1"/>
    <n v="2025"/>
  </r>
  <r>
    <x v="105"/>
    <x v="77"/>
    <x v="0"/>
    <s v="V1909"/>
    <s v="Busan"/>
    <s v="Mumbai"/>
    <x v="0"/>
    <n v="32.5"/>
    <n v="769"/>
    <n v="89"/>
    <n v="16.100000000000001"/>
    <x v="3"/>
    <n v="17940.400000000001"/>
    <n v="15917"/>
    <s v="David"/>
    <x v="1"/>
    <n v="23.66"/>
    <n v="23.33"/>
    <n v="1.1299999999999999"/>
    <s v="On Time"/>
    <s v="Low"/>
    <s v="Low Risk"/>
    <x v="0"/>
    <n v="2025"/>
  </r>
  <r>
    <x v="314"/>
    <x v="2"/>
    <x v="4"/>
    <s v="V1910"/>
    <s v="Mumbai"/>
    <s v="Dubai"/>
    <x v="0"/>
    <n v="66.2"/>
    <n v="1430"/>
    <n v="87"/>
    <n v="11.5"/>
    <x v="2"/>
    <n v="31388.25"/>
    <n v="8865"/>
    <s v="Sato"/>
    <x v="0"/>
    <n v="21.6"/>
    <n v="21.95"/>
    <n v="3.54"/>
    <s v="Delayed"/>
    <s v="High"/>
    <s v="High Risk"/>
    <x v="7"/>
    <n v="2025"/>
  </r>
  <r>
    <x v="88"/>
    <x v="58"/>
    <x v="2"/>
    <s v="V1911"/>
    <s v="Colombo"/>
    <s v="Chennai"/>
    <x v="1"/>
    <n v="71"/>
    <n v="766"/>
    <n v="27"/>
    <n v="10.5"/>
    <x v="1"/>
    <n v="34592.25"/>
    <n v="21841"/>
    <s v="John"/>
    <x v="0"/>
    <n v="10.79"/>
    <n v="45.16"/>
    <n v="1.58"/>
    <s v="Delayed"/>
    <s v="High"/>
    <s v="Low Risk"/>
    <x v="4"/>
    <n v="2025"/>
  </r>
  <r>
    <x v="46"/>
    <x v="45"/>
    <x v="5"/>
    <s v="V1912"/>
    <s v="Colombo"/>
    <s v="Hamburg"/>
    <x v="0"/>
    <n v="63.2"/>
    <n v="4201"/>
    <n v="58"/>
    <n v="20.8"/>
    <x v="0"/>
    <n v="42805.67"/>
    <n v="17897"/>
    <s v="David"/>
    <x v="0"/>
    <n v="66.47"/>
    <n v="10.19"/>
    <n v="2.39"/>
    <s v="Delayed"/>
    <s v="High"/>
    <s v="Medium Risk"/>
    <x v="10"/>
    <n v="2025"/>
  </r>
  <r>
    <x v="171"/>
    <x v="65"/>
    <x v="1"/>
    <s v="V1913"/>
    <s v="Rotterdam"/>
    <s v="Dubai"/>
    <x v="0"/>
    <n v="43.9"/>
    <n v="3393"/>
    <n v="55"/>
    <n v="22"/>
    <x v="1"/>
    <n v="21280.41"/>
    <n v="21453"/>
    <s v="Arun"/>
    <x v="0"/>
    <n v="77.290000000000006"/>
    <n v="6.27"/>
    <n v="0.99"/>
    <s v="Delayed"/>
    <s v="Medium"/>
    <s v="Low Risk"/>
    <x v="11"/>
    <n v="2025"/>
  </r>
  <r>
    <x v="11"/>
    <x v="0"/>
    <x v="2"/>
    <s v="V1914"/>
    <s v="Colombo"/>
    <s v="Singapore"/>
    <x v="0"/>
    <n v="43.3"/>
    <n v="1010"/>
    <n v="29"/>
    <n v="11.4"/>
    <x v="2"/>
    <n v="25373.29"/>
    <n v="26125"/>
    <s v="Rahul"/>
    <x v="0"/>
    <n v="23.33"/>
    <n v="25.12"/>
    <n v="0.97"/>
    <s v="Delayed"/>
    <s v="Medium"/>
    <s v="High Risk"/>
    <x v="2"/>
    <n v="2025"/>
  </r>
  <r>
    <x v="259"/>
    <x v="26"/>
    <x v="7"/>
    <s v="V1915"/>
    <s v="Busan"/>
    <s v="Singapore"/>
    <x v="1"/>
    <n v="79.5"/>
    <n v="1942"/>
    <n v="99"/>
    <n v="14.6"/>
    <x v="3"/>
    <n v="40450.629999999997"/>
    <n v="28264"/>
    <s v="John"/>
    <x v="1"/>
    <n v="24.43"/>
    <n v="20.83"/>
    <n v="1.43"/>
    <s v="On Time"/>
    <s v="High"/>
    <s v="Low Risk"/>
    <x v="3"/>
    <n v="2025"/>
  </r>
  <r>
    <x v="279"/>
    <x v="28"/>
    <x v="5"/>
    <s v="V1916"/>
    <s v="Singapore"/>
    <s v="Mumbai"/>
    <x v="2"/>
    <n v="54.9"/>
    <n v="1158"/>
    <n v="78"/>
    <n v="15"/>
    <x v="0"/>
    <n v="29855.35"/>
    <n v="6340"/>
    <s v="Ahmed"/>
    <x v="0"/>
    <n v="21.09"/>
    <n v="25.78"/>
    <n v="4.71"/>
    <s v="Delayed"/>
    <s v="Medium"/>
    <s v="Medium Risk"/>
    <x v="5"/>
    <n v="2025"/>
  </r>
  <r>
    <x v="223"/>
    <x v="66"/>
    <x v="1"/>
    <s v="V1917"/>
    <s v="Busan"/>
    <s v="Hamburg"/>
    <x v="2"/>
    <n v="59.1"/>
    <n v="3480"/>
    <n v="86"/>
    <n v="13.5"/>
    <x v="2"/>
    <n v="28455.9"/>
    <n v="13765"/>
    <s v="David"/>
    <x v="0"/>
    <n v="58.88"/>
    <n v="8.18"/>
    <n v="2.0699999999999998"/>
    <s v="Delayed"/>
    <s v="Medium"/>
    <s v="High Risk"/>
    <x v="2"/>
    <n v="2025"/>
  </r>
  <r>
    <x v="164"/>
    <x v="51"/>
    <x v="0"/>
    <s v="V1918"/>
    <s v="Chennai"/>
    <s v="Rotterdam"/>
    <x v="1"/>
    <n v="75"/>
    <n v="2743"/>
    <n v="37"/>
    <n v="19.100000000000001"/>
    <x v="3"/>
    <n v="38659.370000000003"/>
    <n v="20323"/>
    <s v="David"/>
    <x v="1"/>
    <n v="36.57"/>
    <n v="14.09"/>
    <n v="1.9"/>
    <s v="On Time"/>
    <s v="High"/>
    <s v="Low Risk"/>
    <x v="9"/>
    <n v="2025"/>
  </r>
  <r>
    <x v="275"/>
    <x v="14"/>
    <x v="3"/>
    <s v="V1919"/>
    <s v="Chennai"/>
    <s v="Mumbai"/>
    <x v="1"/>
    <n v="28"/>
    <n v="3510"/>
    <n v="62"/>
    <n v="12.9"/>
    <x v="2"/>
    <n v="14850.56"/>
    <n v="28517"/>
    <s v="Rahul"/>
    <x v="0"/>
    <n v="125.36"/>
    <n v="4.2300000000000004"/>
    <n v="0.52"/>
    <s v="Delayed"/>
    <s v="Low"/>
    <s v="High Risk"/>
    <x v="11"/>
    <n v="2025"/>
  </r>
  <r>
    <x v="337"/>
    <x v="26"/>
    <x v="1"/>
    <s v="V1920"/>
    <s v="Singapore"/>
    <s v="Colombo"/>
    <x v="0"/>
    <n v="32.200000000000003"/>
    <n v="3076"/>
    <n v="48"/>
    <n v="16.899999999999999"/>
    <x v="0"/>
    <n v="18581.169999999998"/>
    <n v="7628"/>
    <s v="Arun"/>
    <x v="0"/>
    <n v="95.53"/>
    <n v="6.04"/>
    <n v="2.44"/>
    <s v="Delayed"/>
    <s v="Low"/>
    <s v="Medium Risk"/>
    <x v="0"/>
    <n v="2025"/>
  </r>
  <r>
    <x v="45"/>
    <x v="5"/>
    <x v="2"/>
    <s v="V1921"/>
    <s v="Colombo"/>
    <s v="Singapore"/>
    <x v="2"/>
    <n v="46.4"/>
    <n v="4767"/>
    <n v="96"/>
    <n v="18.600000000000001"/>
    <x v="3"/>
    <n v="27391.51"/>
    <n v="24101"/>
    <s v="Arun"/>
    <x v="1"/>
    <n v="102.74"/>
    <n v="5.75"/>
    <n v="1.1399999999999999"/>
    <s v="On Time"/>
    <s v="Medium"/>
    <s v="Low Risk"/>
    <x v="8"/>
    <n v="2025"/>
  </r>
  <r>
    <x v="82"/>
    <x v="50"/>
    <x v="4"/>
    <s v="V1922"/>
    <s v="Colombo"/>
    <s v="Hamburg"/>
    <x v="3"/>
    <n v="30.7"/>
    <n v="1823"/>
    <n v="111"/>
    <n v="11"/>
    <x v="2"/>
    <n v="13864.53"/>
    <n v="14952"/>
    <s v="Sato"/>
    <x v="0"/>
    <n v="59.38"/>
    <n v="7.61"/>
    <n v="0.93"/>
    <s v="Delayed"/>
    <s v="Low"/>
    <s v="High Risk"/>
    <x v="10"/>
    <n v="2025"/>
  </r>
  <r>
    <x v="122"/>
    <x v="9"/>
    <x v="1"/>
    <s v="V1923"/>
    <s v="Dubai"/>
    <s v="Busan"/>
    <x v="3"/>
    <n v="79.3"/>
    <n v="4366"/>
    <n v="54"/>
    <n v="10.1"/>
    <x v="1"/>
    <n v="55026.400000000001"/>
    <n v="7461"/>
    <s v="Sato"/>
    <x v="0"/>
    <n v="55.06"/>
    <n v="12.6"/>
    <n v="7.38"/>
    <s v="Delayed"/>
    <s v="High"/>
    <s v="Low Risk"/>
    <x v="2"/>
    <n v="2025"/>
  </r>
  <r>
    <x v="281"/>
    <x v="3"/>
    <x v="6"/>
    <s v="V1924"/>
    <s v="Hamburg"/>
    <s v="Busan"/>
    <x v="1"/>
    <n v="62.7"/>
    <n v="4906"/>
    <n v="21"/>
    <n v="15.3"/>
    <x v="2"/>
    <n v="33758.49"/>
    <n v="26452"/>
    <s v="Arun"/>
    <x v="0"/>
    <n v="78.25"/>
    <n v="6.88"/>
    <n v="1.28"/>
    <s v="Delayed"/>
    <s v="High"/>
    <s v="High Risk"/>
    <x v="10"/>
    <n v="2025"/>
  </r>
  <r>
    <x v="137"/>
    <x v="14"/>
    <x v="4"/>
    <s v="V1925"/>
    <s v="Rotterdam"/>
    <s v="Mumbai"/>
    <x v="3"/>
    <n v="54.1"/>
    <n v="1086"/>
    <n v="60"/>
    <n v="18.600000000000001"/>
    <x v="3"/>
    <n v="35629.08"/>
    <n v="9684"/>
    <s v="Sato"/>
    <x v="1"/>
    <n v="20.07"/>
    <n v="32.81"/>
    <n v="3.68"/>
    <s v="On Time"/>
    <s v="Medium"/>
    <s v="Low Risk"/>
    <x v="11"/>
    <n v="2025"/>
  </r>
  <r>
    <x v="339"/>
    <x v="7"/>
    <x v="6"/>
    <s v="V1926"/>
    <s v="Rotterdam"/>
    <s v="Singapore"/>
    <x v="2"/>
    <n v="73.3"/>
    <n v="955"/>
    <n v="83"/>
    <n v="17.5"/>
    <x v="2"/>
    <n v="42928.7"/>
    <n v="27233"/>
    <s v="Sato"/>
    <x v="0"/>
    <n v="13.03"/>
    <n v="44.95"/>
    <n v="1.58"/>
    <s v="Delayed"/>
    <s v="High"/>
    <s v="High Risk"/>
    <x v="11"/>
    <n v="2025"/>
  </r>
  <r>
    <x v="307"/>
    <x v="25"/>
    <x v="1"/>
    <s v="V1927"/>
    <s v="Colombo"/>
    <s v="Singapore"/>
    <x v="2"/>
    <n v="72.400000000000006"/>
    <n v="2003"/>
    <n v="50"/>
    <n v="11.5"/>
    <x v="2"/>
    <n v="46376.14"/>
    <n v="26471"/>
    <s v="John"/>
    <x v="0"/>
    <n v="27.67"/>
    <n v="23.15"/>
    <n v="1.75"/>
    <s v="Delayed"/>
    <s v="High"/>
    <s v="High Risk"/>
    <x v="8"/>
    <n v="2025"/>
  </r>
  <r>
    <x v="112"/>
    <x v="0"/>
    <x v="4"/>
    <s v="V1928"/>
    <s v="Chennai"/>
    <s v="Singapore"/>
    <x v="1"/>
    <n v="45.4"/>
    <n v="4449"/>
    <n v="120"/>
    <n v="15.6"/>
    <x v="1"/>
    <n v="27849.86"/>
    <n v="6745"/>
    <s v="Rahul"/>
    <x v="0"/>
    <n v="98"/>
    <n v="6.26"/>
    <n v="4.13"/>
    <s v="Delayed"/>
    <s v="Medium"/>
    <s v="Low Risk"/>
    <x v="0"/>
    <n v="2025"/>
  </r>
  <r>
    <x v="197"/>
    <x v="29"/>
    <x v="5"/>
    <s v="V1929"/>
    <s v="Dubai"/>
    <s v="Chennai"/>
    <x v="3"/>
    <n v="56.1"/>
    <n v="1014"/>
    <n v="94"/>
    <n v="12"/>
    <x v="1"/>
    <n v="27894.85"/>
    <n v="15120"/>
    <s v="John"/>
    <x v="0"/>
    <n v="18.07"/>
    <n v="27.51"/>
    <n v="1.84"/>
    <s v="Delayed"/>
    <s v="Medium"/>
    <s v="Low Risk"/>
    <x v="5"/>
    <n v="2025"/>
  </r>
  <r>
    <x v="66"/>
    <x v="12"/>
    <x v="6"/>
    <s v="V1930"/>
    <s v="Dubai"/>
    <s v="Colombo"/>
    <x v="0"/>
    <n v="59.6"/>
    <n v="3401"/>
    <n v="72"/>
    <n v="11.1"/>
    <x v="2"/>
    <n v="32966.81"/>
    <n v="14202"/>
    <s v="John"/>
    <x v="0"/>
    <n v="57.06"/>
    <n v="9.69"/>
    <n v="2.3199999999999998"/>
    <s v="Delayed"/>
    <s v="Medium"/>
    <s v="High Risk"/>
    <x v="10"/>
    <n v="2025"/>
  </r>
  <r>
    <x v="68"/>
    <x v="28"/>
    <x v="6"/>
    <s v="V1931"/>
    <s v="Dubai"/>
    <s v="Chennai"/>
    <x v="2"/>
    <n v="64.599999999999994"/>
    <n v="911"/>
    <n v="49"/>
    <n v="20.7"/>
    <x v="2"/>
    <n v="34366.65"/>
    <n v="10370"/>
    <s v="David"/>
    <x v="0"/>
    <n v="14.1"/>
    <n v="37.72"/>
    <n v="3.31"/>
    <s v="Delayed"/>
    <s v="High"/>
    <s v="High Risk"/>
    <x v="10"/>
    <n v="2025"/>
  </r>
  <r>
    <x v="148"/>
    <x v="4"/>
    <x v="2"/>
    <s v="V1932"/>
    <s v="Colombo"/>
    <s v="Busan"/>
    <x v="2"/>
    <n v="20.5"/>
    <n v="2197"/>
    <n v="69"/>
    <n v="11.1"/>
    <x v="0"/>
    <n v="10770.22"/>
    <n v="8487"/>
    <s v="John"/>
    <x v="0"/>
    <n v="107.17"/>
    <n v="4.9000000000000004"/>
    <n v="1.27"/>
    <s v="Delayed"/>
    <s v="Low"/>
    <s v="Medium Risk"/>
    <x v="1"/>
    <n v="2025"/>
  </r>
  <r>
    <x v="173"/>
    <x v="9"/>
    <x v="4"/>
    <s v="V1933"/>
    <s v="Dubai"/>
    <s v="Rotterdam"/>
    <x v="1"/>
    <n v="40"/>
    <n v="1278"/>
    <n v="78"/>
    <n v="16.399999999999999"/>
    <x v="3"/>
    <n v="20857.75"/>
    <n v="11733"/>
    <s v="Arun"/>
    <x v="1"/>
    <n v="31.95"/>
    <n v="16.32"/>
    <n v="1.78"/>
    <s v="On Time"/>
    <s v="Medium"/>
    <s v="Low Risk"/>
    <x v="2"/>
    <n v="2025"/>
  </r>
  <r>
    <x v="197"/>
    <x v="45"/>
    <x v="5"/>
    <s v="V1934"/>
    <s v="Dubai"/>
    <s v="Chennai"/>
    <x v="3"/>
    <n v="37.799999999999997"/>
    <n v="4799"/>
    <n v="73"/>
    <n v="18.600000000000001"/>
    <x v="0"/>
    <n v="21949.52"/>
    <n v="24897"/>
    <s v="Sato"/>
    <x v="0"/>
    <n v="126.96"/>
    <n v="4.57"/>
    <n v="0.88"/>
    <s v="Delayed"/>
    <s v="Low"/>
    <s v="Medium Risk"/>
    <x v="5"/>
    <n v="2025"/>
  </r>
  <r>
    <x v="216"/>
    <x v="75"/>
    <x v="7"/>
    <s v="V1935"/>
    <s v="Colombo"/>
    <s v="Singapore"/>
    <x v="3"/>
    <n v="39.200000000000003"/>
    <n v="4107"/>
    <n v="115"/>
    <n v="15.6"/>
    <x v="3"/>
    <n v="27092.639999999999"/>
    <n v="15872"/>
    <s v="John"/>
    <x v="1"/>
    <n v="104.77"/>
    <n v="6.6"/>
    <n v="1.71"/>
    <s v="On Time"/>
    <s v="Low"/>
    <s v="Low Risk"/>
    <x v="5"/>
    <n v="2025"/>
  </r>
  <r>
    <x v="218"/>
    <x v="54"/>
    <x v="1"/>
    <s v="V1936"/>
    <s v="Colombo"/>
    <s v="Singapore"/>
    <x v="0"/>
    <n v="73.3"/>
    <n v="3936"/>
    <n v="78"/>
    <n v="11.6"/>
    <x v="1"/>
    <n v="41988.07"/>
    <n v="20611"/>
    <s v="John"/>
    <x v="0"/>
    <n v="53.7"/>
    <n v="10.67"/>
    <n v="2.04"/>
    <s v="Delayed"/>
    <s v="High"/>
    <s v="Low Risk"/>
    <x v="11"/>
    <n v="2025"/>
  </r>
  <r>
    <x v="312"/>
    <x v="33"/>
    <x v="2"/>
    <s v="V1937"/>
    <s v="Rotterdam"/>
    <s v="Dubai"/>
    <x v="1"/>
    <n v="78.599999999999994"/>
    <n v="4665"/>
    <n v="72"/>
    <n v="16.3"/>
    <x v="1"/>
    <n v="39300.870000000003"/>
    <n v="26651"/>
    <s v="Michael"/>
    <x v="0"/>
    <n v="59.35"/>
    <n v="8.42"/>
    <n v="1.47"/>
    <s v="Delayed"/>
    <s v="High"/>
    <s v="Low Risk"/>
    <x v="2"/>
    <n v="2025"/>
  </r>
  <r>
    <x v="112"/>
    <x v="59"/>
    <x v="0"/>
    <s v="V1938"/>
    <s v="Mumbai"/>
    <s v="Hamburg"/>
    <x v="1"/>
    <n v="68.400000000000006"/>
    <n v="3994"/>
    <n v="75"/>
    <n v="18.899999999999999"/>
    <x v="1"/>
    <n v="47493.71"/>
    <n v="27819"/>
    <s v="Arun"/>
    <x v="0"/>
    <n v="58.39"/>
    <n v="11.89"/>
    <n v="1.71"/>
    <s v="Delayed"/>
    <s v="High"/>
    <s v="Low Risk"/>
    <x v="0"/>
    <n v="2025"/>
  </r>
  <r>
    <x v="87"/>
    <x v="10"/>
    <x v="4"/>
    <s v="V1939"/>
    <s v="Rotterdam"/>
    <s v="Dubai"/>
    <x v="2"/>
    <n v="37.6"/>
    <n v="897"/>
    <n v="66"/>
    <n v="20.6"/>
    <x v="3"/>
    <n v="25375.84"/>
    <n v="5138"/>
    <s v="Michael"/>
    <x v="1"/>
    <n v="23.86"/>
    <n v="28.29"/>
    <n v="4.9400000000000004"/>
    <s v="On Time"/>
    <s v="Low"/>
    <s v="Low Risk"/>
    <x v="9"/>
    <n v="2025"/>
  </r>
  <r>
    <x v="144"/>
    <x v="1"/>
    <x v="5"/>
    <s v="V1940"/>
    <s v="Busan"/>
    <s v="Colombo"/>
    <x v="1"/>
    <n v="73.099999999999994"/>
    <n v="5000"/>
    <n v="80"/>
    <n v="10.7"/>
    <x v="0"/>
    <n v="49608.04"/>
    <n v="11590"/>
    <s v="Rahul"/>
    <x v="0"/>
    <n v="68.400000000000006"/>
    <n v="9.92"/>
    <n v="4.28"/>
    <s v="Delayed"/>
    <s v="High"/>
    <s v="Medium Risk"/>
    <x v="11"/>
    <n v="2025"/>
  </r>
  <r>
    <x v="205"/>
    <x v="5"/>
    <x v="0"/>
    <s v="V1941"/>
    <s v="Dubai"/>
    <s v="Busan"/>
    <x v="3"/>
    <n v="27.1"/>
    <n v="4303"/>
    <n v="75"/>
    <n v="17.7"/>
    <x v="1"/>
    <n v="12197.34"/>
    <n v="8221"/>
    <s v="Arun"/>
    <x v="0"/>
    <n v="158.78"/>
    <n v="2.83"/>
    <n v="1.48"/>
    <s v="Delayed"/>
    <s v="Low"/>
    <s v="Low Risk"/>
    <x v="5"/>
    <n v="2025"/>
  </r>
  <r>
    <x v="107"/>
    <x v="76"/>
    <x v="5"/>
    <s v="V1942"/>
    <s v="Mumbai"/>
    <s v="Hamburg"/>
    <x v="2"/>
    <n v="72.599999999999994"/>
    <n v="3210"/>
    <n v="31"/>
    <n v="10.1"/>
    <x v="3"/>
    <n v="39499.300000000003"/>
    <n v="18764"/>
    <s v="Chen"/>
    <x v="1"/>
    <n v="44.21"/>
    <n v="12.31"/>
    <n v="2.11"/>
    <s v="On Time"/>
    <s v="High"/>
    <s v="Low Risk"/>
    <x v="9"/>
    <n v="2025"/>
  </r>
  <r>
    <x v="25"/>
    <x v="73"/>
    <x v="6"/>
    <s v="V1943"/>
    <s v="Dubai"/>
    <s v="Busan"/>
    <x v="0"/>
    <n v="22.2"/>
    <n v="1689"/>
    <n v="31"/>
    <n v="11.1"/>
    <x v="0"/>
    <n v="12172.15"/>
    <n v="23440"/>
    <s v="Sato"/>
    <x v="0"/>
    <n v="76.08"/>
    <n v="7.21"/>
    <n v="0.52"/>
    <s v="Delayed"/>
    <s v="Low"/>
    <s v="Medium Risk"/>
    <x v="0"/>
    <n v="2025"/>
  </r>
  <r>
    <x v="291"/>
    <x v="15"/>
    <x v="3"/>
    <s v="V1944"/>
    <s v="Colombo"/>
    <s v="Mumbai"/>
    <x v="0"/>
    <n v="23.4"/>
    <n v="832"/>
    <n v="60"/>
    <n v="17.100000000000001"/>
    <x v="2"/>
    <n v="11644.92"/>
    <n v="14295"/>
    <s v="Rahul"/>
    <x v="0"/>
    <n v="35.56"/>
    <n v="14"/>
    <n v="0.81"/>
    <s v="Delayed"/>
    <s v="Low"/>
    <s v="High Risk"/>
    <x v="6"/>
    <n v="2025"/>
  </r>
  <r>
    <x v="275"/>
    <x v="9"/>
    <x v="3"/>
    <s v="V1945"/>
    <s v="Rotterdam"/>
    <s v="Dubai"/>
    <x v="2"/>
    <n v="31.1"/>
    <n v="665"/>
    <n v="89"/>
    <n v="11.5"/>
    <x v="2"/>
    <n v="15728.01"/>
    <n v="26751"/>
    <s v="Ahmed"/>
    <x v="0"/>
    <n v="21.38"/>
    <n v="23.65"/>
    <n v="0.59"/>
    <s v="Delayed"/>
    <s v="Low"/>
    <s v="High Risk"/>
    <x v="11"/>
    <n v="2025"/>
  </r>
  <r>
    <x v="279"/>
    <x v="58"/>
    <x v="0"/>
    <s v="V1946"/>
    <s v="Singapore"/>
    <s v="Dubai"/>
    <x v="3"/>
    <n v="72.599999999999994"/>
    <n v="3556"/>
    <n v="41"/>
    <n v="15.8"/>
    <x v="0"/>
    <n v="38030.35"/>
    <n v="27452"/>
    <s v="Sato"/>
    <x v="0"/>
    <n v="48.98"/>
    <n v="10.69"/>
    <n v="1.39"/>
    <s v="Delayed"/>
    <s v="High"/>
    <s v="Medium Risk"/>
    <x v="5"/>
    <n v="2025"/>
  </r>
  <r>
    <x v="302"/>
    <x v="37"/>
    <x v="6"/>
    <s v="V1947"/>
    <s v="Hamburg"/>
    <s v="Rotterdam"/>
    <x v="2"/>
    <n v="34.6"/>
    <n v="4523"/>
    <n v="84"/>
    <n v="19.5"/>
    <x v="3"/>
    <n v="20098.23"/>
    <n v="10560"/>
    <s v="David"/>
    <x v="1"/>
    <n v="130.72"/>
    <n v="4.4400000000000004"/>
    <n v="1.9"/>
    <s v="On Time"/>
    <s v="Low"/>
    <s v="Low Risk"/>
    <x v="3"/>
    <n v="2025"/>
  </r>
  <r>
    <x v="111"/>
    <x v="13"/>
    <x v="5"/>
    <s v="V1948"/>
    <s v="Rotterdam"/>
    <s v="Singapore"/>
    <x v="3"/>
    <n v="26"/>
    <n v="1529"/>
    <n v="115"/>
    <n v="11.7"/>
    <x v="3"/>
    <n v="15991.12"/>
    <n v="29777"/>
    <s v="Sato"/>
    <x v="1"/>
    <n v="58.81"/>
    <n v="10.46"/>
    <n v="0.54"/>
    <s v="On Time"/>
    <s v="Low"/>
    <s v="Low Risk"/>
    <x v="7"/>
    <n v="2025"/>
  </r>
  <r>
    <x v="143"/>
    <x v="21"/>
    <x v="0"/>
    <s v="V1949"/>
    <s v="Rotterdam"/>
    <s v="Busan"/>
    <x v="0"/>
    <n v="58.3"/>
    <n v="4067"/>
    <n v="75"/>
    <n v="12"/>
    <x v="2"/>
    <n v="26349.11"/>
    <n v="10608"/>
    <s v="Arun"/>
    <x v="0"/>
    <n v="69.760000000000005"/>
    <n v="6.48"/>
    <n v="2.48"/>
    <s v="Delayed"/>
    <s v="Medium"/>
    <s v="High Risk"/>
    <x v="4"/>
    <n v="2025"/>
  </r>
  <r>
    <x v="72"/>
    <x v="67"/>
    <x v="3"/>
    <s v="V1950"/>
    <s v="Rotterdam"/>
    <s v="Colombo"/>
    <x v="3"/>
    <n v="32.1"/>
    <n v="4461"/>
    <n v="82"/>
    <n v="12"/>
    <x v="2"/>
    <n v="20649.52"/>
    <n v="26146"/>
    <s v="David"/>
    <x v="0"/>
    <n v="138.97"/>
    <n v="4.63"/>
    <n v="0.79"/>
    <s v="Delayed"/>
    <s v="Low"/>
    <s v="High Risk"/>
    <x v="10"/>
    <n v="2025"/>
  </r>
  <r>
    <x v="340"/>
    <x v="22"/>
    <x v="0"/>
    <s v="V1951"/>
    <s v="Dubai"/>
    <s v="Rotterdam"/>
    <x v="1"/>
    <n v="77.099999999999994"/>
    <n v="3529"/>
    <n v="102"/>
    <n v="17.5"/>
    <x v="2"/>
    <n v="35620.25"/>
    <n v="10228"/>
    <s v="Ahmed"/>
    <x v="0"/>
    <n v="45.77"/>
    <n v="10.09"/>
    <n v="3.48"/>
    <s v="Delayed"/>
    <s v="High"/>
    <s v="High Risk"/>
    <x v="3"/>
    <n v="2025"/>
  </r>
  <r>
    <x v="197"/>
    <x v="58"/>
    <x v="4"/>
    <s v="V1952"/>
    <s v="Hamburg"/>
    <s v="Rotterdam"/>
    <x v="1"/>
    <n v="28.7"/>
    <n v="2148"/>
    <n v="95"/>
    <n v="18.100000000000001"/>
    <x v="1"/>
    <n v="14233.26"/>
    <n v="26837"/>
    <s v="Arun"/>
    <x v="0"/>
    <n v="74.84"/>
    <n v="6.63"/>
    <n v="0.53"/>
    <s v="Delayed"/>
    <s v="Low"/>
    <s v="Low Risk"/>
    <x v="5"/>
    <n v="2025"/>
  </r>
  <r>
    <x v="297"/>
    <x v="37"/>
    <x v="3"/>
    <s v="V1953"/>
    <s v="Rotterdam"/>
    <s v="Singapore"/>
    <x v="0"/>
    <n v="47.9"/>
    <n v="3812"/>
    <n v="66"/>
    <n v="15.6"/>
    <x v="1"/>
    <n v="32287.09"/>
    <n v="23301"/>
    <s v="Ahmed"/>
    <x v="0"/>
    <n v="79.58"/>
    <n v="8.4700000000000006"/>
    <n v="1.39"/>
    <s v="Delayed"/>
    <s v="Medium"/>
    <s v="Low Risk"/>
    <x v="7"/>
    <n v="2025"/>
  </r>
  <r>
    <x v="43"/>
    <x v="61"/>
    <x v="4"/>
    <s v="V1954"/>
    <s v="Mumbai"/>
    <s v="Hamburg"/>
    <x v="0"/>
    <n v="60.5"/>
    <n v="1337"/>
    <n v="73"/>
    <n v="17.100000000000001"/>
    <x v="2"/>
    <n v="34936.46"/>
    <n v="8981"/>
    <s v="David"/>
    <x v="0"/>
    <n v="22.1"/>
    <n v="26.13"/>
    <n v="3.89"/>
    <s v="Delayed"/>
    <s v="High"/>
    <s v="High Risk"/>
    <x v="10"/>
    <n v="2025"/>
  </r>
  <r>
    <x v="25"/>
    <x v="63"/>
    <x v="6"/>
    <s v="V1955"/>
    <s v="Chennai"/>
    <s v="Hamburg"/>
    <x v="2"/>
    <n v="34.6"/>
    <n v="4668"/>
    <n v="39"/>
    <n v="10.9"/>
    <x v="0"/>
    <n v="17667.61"/>
    <n v="29487"/>
    <s v="Ahmed"/>
    <x v="0"/>
    <n v="134.91"/>
    <n v="3.78"/>
    <n v="0.6"/>
    <s v="Delayed"/>
    <s v="Low"/>
    <s v="Medium Risk"/>
    <x v="0"/>
    <n v="2025"/>
  </r>
  <r>
    <x v="138"/>
    <x v="40"/>
    <x v="0"/>
    <s v="V1956"/>
    <s v="Dubai"/>
    <s v="Mumbai"/>
    <x v="0"/>
    <n v="60.9"/>
    <n v="3564"/>
    <n v="99"/>
    <n v="13.2"/>
    <x v="2"/>
    <n v="41501.26"/>
    <n v="6768"/>
    <s v="Sato"/>
    <x v="0"/>
    <n v="58.52"/>
    <n v="11.64"/>
    <n v="6.13"/>
    <s v="Delayed"/>
    <s v="High"/>
    <s v="High Risk"/>
    <x v="4"/>
    <n v="2025"/>
  </r>
  <r>
    <x v="289"/>
    <x v="44"/>
    <x v="7"/>
    <s v="V1957"/>
    <s v="Dubai"/>
    <s v="Singapore"/>
    <x v="0"/>
    <n v="72.3"/>
    <n v="3563"/>
    <n v="97"/>
    <n v="11.3"/>
    <x v="1"/>
    <n v="43758.36"/>
    <n v="29110"/>
    <s v="Rahul"/>
    <x v="0"/>
    <n v="49.28"/>
    <n v="12.28"/>
    <n v="1.5"/>
    <s v="Delayed"/>
    <s v="High"/>
    <s v="Low Risk"/>
    <x v="5"/>
    <n v="2025"/>
  </r>
  <r>
    <x v="133"/>
    <x v="39"/>
    <x v="0"/>
    <s v="V1958"/>
    <s v="Singapore"/>
    <s v="Rotterdam"/>
    <x v="0"/>
    <n v="43.7"/>
    <n v="3335"/>
    <n v="46"/>
    <n v="18.899999999999999"/>
    <x v="2"/>
    <n v="23516.799999999999"/>
    <n v="21954"/>
    <s v="John"/>
    <x v="0"/>
    <n v="76.319999999999993"/>
    <n v="7.05"/>
    <n v="1.07"/>
    <s v="Delayed"/>
    <s v="Medium"/>
    <s v="High Risk"/>
    <x v="10"/>
    <n v="2025"/>
  </r>
  <r>
    <x v="323"/>
    <x v="78"/>
    <x v="6"/>
    <s v="V1959"/>
    <s v="Busan"/>
    <s v="Colombo"/>
    <x v="2"/>
    <n v="49.3"/>
    <n v="3279"/>
    <n v="82"/>
    <n v="10.3"/>
    <x v="0"/>
    <n v="29592.639999999999"/>
    <n v="9073"/>
    <s v="Michael"/>
    <x v="0"/>
    <n v="66.510000000000005"/>
    <n v="9.02"/>
    <n v="3.26"/>
    <s v="Delayed"/>
    <s v="Medium"/>
    <s v="Medium Risk"/>
    <x v="0"/>
    <n v="2025"/>
  </r>
  <r>
    <x v="88"/>
    <x v="73"/>
    <x v="7"/>
    <s v="V1960"/>
    <s v="Rotterdam"/>
    <s v="Chennai"/>
    <x v="3"/>
    <n v="74.7"/>
    <n v="717"/>
    <n v="116"/>
    <n v="21.5"/>
    <x v="1"/>
    <n v="40634.19"/>
    <n v="13981"/>
    <s v="Michael"/>
    <x v="0"/>
    <n v="9.6"/>
    <n v="56.67"/>
    <n v="2.91"/>
    <s v="Delayed"/>
    <s v="High"/>
    <s v="Low Risk"/>
    <x v="4"/>
    <n v="2025"/>
  </r>
  <r>
    <x v="97"/>
    <x v="3"/>
    <x v="5"/>
    <s v="V1961"/>
    <s v="Colombo"/>
    <s v="Busan"/>
    <x v="3"/>
    <n v="45.9"/>
    <n v="1575"/>
    <n v="66"/>
    <n v="20.8"/>
    <x v="2"/>
    <n v="26181.66"/>
    <n v="9740"/>
    <s v="John"/>
    <x v="0"/>
    <n v="34.31"/>
    <n v="16.62"/>
    <n v="2.69"/>
    <s v="Delayed"/>
    <s v="Medium"/>
    <s v="High Risk"/>
    <x v="4"/>
    <n v="2025"/>
  </r>
  <r>
    <x v="61"/>
    <x v="58"/>
    <x v="6"/>
    <s v="V1962"/>
    <s v="Hamburg"/>
    <s v="Chennai"/>
    <x v="1"/>
    <n v="67.900000000000006"/>
    <n v="3764"/>
    <n v="89"/>
    <n v="15.3"/>
    <x v="1"/>
    <n v="38063.93"/>
    <n v="21278"/>
    <s v="Sato"/>
    <x v="0"/>
    <n v="55.43"/>
    <n v="10.11"/>
    <n v="1.79"/>
    <s v="Delayed"/>
    <s v="High"/>
    <s v="Low Risk"/>
    <x v="8"/>
    <n v="2025"/>
  </r>
  <r>
    <x v="104"/>
    <x v="28"/>
    <x v="1"/>
    <s v="V1963"/>
    <s v="Mumbai"/>
    <s v="Busan"/>
    <x v="1"/>
    <n v="24.8"/>
    <n v="893"/>
    <n v="118"/>
    <n v="19.5"/>
    <x v="2"/>
    <n v="12144.07"/>
    <n v="28840"/>
    <s v="David"/>
    <x v="0"/>
    <n v="36.01"/>
    <n v="13.6"/>
    <n v="0.42"/>
    <s v="Delayed"/>
    <s v="Low"/>
    <s v="High Risk"/>
    <x v="9"/>
    <n v="2025"/>
  </r>
  <r>
    <x v="302"/>
    <x v="78"/>
    <x v="0"/>
    <s v="V1964"/>
    <s v="Colombo"/>
    <s v="Busan"/>
    <x v="1"/>
    <n v="50.9"/>
    <n v="4090"/>
    <n v="54"/>
    <n v="17.8"/>
    <x v="2"/>
    <n v="34580.06"/>
    <n v="12371"/>
    <s v="David"/>
    <x v="0"/>
    <n v="80.349999999999994"/>
    <n v="8.4499999999999993"/>
    <n v="2.8"/>
    <s v="Delayed"/>
    <s v="Medium"/>
    <s v="High Risk"/>
    <x v="3"/>
    <n v="2025"/>
  </r>
  <r>
    <x v="341"/>
    <x v="30"/>
    <x v="5"/>
    <s v="V1965"/>
    <s v="Mumbai"/>
    <s v="Hamburg"/>
    <x v="2"/>
    <n v="75.3"/>
    <n v="4523"/>
    <n v="77"/>
    <n v="14.2"/>
    <x v="2"/>
    <n v="35085.68"/>
    <n v="17582"/>
    <s v="Chen"/>
    <x v="0"/>
    <n v="60.07"/>
    <n v="7.76"/>
    <n v="2"/>
    <s v="Delayed"/>
    <s v="High"/>
    <s v="High Risk"/>
    <x v="7"/>
    <n v="2025"/>
  </r>
  <r>
    <x v="337"/>
    <x v="48"/>
    <x v="0"/>
    <s v="V1966"/>
    <s v="Busan"/>
    <s v="Singapore"/>
    <x v="1"/>
    <n v="37.6"/>
    <n v="3325"/>
    <n v="57"/>
    <n v="11.7"/>
    <x v="2"/>
    <n v="22734.85"/>
    <n v="21427"/>
    <s v="David"/>
    <x v="0"/>
    <n v="88.43"/>
    <n v="6.84"/>
    <n v="1.06"/>
    <s v="Delayed"/>
    <s v="Low"/>
    <s v="High Risk"/>
    <x v="0"/>
    <n v="2025"/>
  </r>
  <r>
    <x v="237"/>
    <x v="26"/>
    <x v="5"/>
    <s v="V1967"/>
    <s v="Dubai"/>
    <s v="Mumbai"/>
    <x v="1"/>
    <n v="62.9"/>
    <n v="4500"/>
    <n v="100"/>
    <n v="20.2"/>
    <x v="2"/>
    <n v="33020.51"/>
    <n v="20441"/>
    <s v="Michael"/>
    <x v="0"/>
    <n v="71.540000000000006"/>
    <n v="7.34"/>
    <n v="1.62"/>
    <s v="Delayed"/>
    <s v="High"/>
    <s v="High Risk"/>
    <x v="6"/>
    <n v="2025"/>
  </r>
  <r>
    <x v="342"/>
    <x v="64"/>
    <x v="6"/>
    <s v="V1968"/>
    <s v="Colombo"/>
    <s v="Chennai"/>
    <x v="2"/>
    <n v="71.7"/>
    <n v="3304"/>
    <n v="39"/>
    <n v="20.2"/>
    <x v="1"/>
    <n v="36666.080000000002"/>
    <n v="16713"/>
    <s v="Arun"/>
    <x v="0"/>
    <n v="46.08"/>
    <n v="11.1"/>
    <n v="2.19"/>
    <s v="Delayed"/>
    <s v="High"/>
    <s v="Low Risk"/>
    <x v="1"/>
    <n v="2025"/>
  </r>
  <r>
    <x v="222"/>
    <x v="14"/>
    <x v="0"/>
    <s v="V1969"/>
    <s v="Dubai"/>
    <s v="Chennai"/>
    <x v="0"/>
    <n v="49.6"/>
    <n v="2708"/>
    <n v="20"/>
    <n v="11.4"/>
    <x v="2"/>
    <n v="25541.599999999999"/>
    <n v="7537"/>
    <s v="Rahul"/>
    <x v="0"/>
    <n v="54.6"/>
    <n v="9.43"/>
    <n v="3.39"/>
    <s v="Delayed"/>
    <s v="Medium"/>
    <s v="High Risk"/>
    <x v="11"/>
    <n v="2025"/>
  </r>
  <r>
    <x v="16"/>
    <x v="66"/>
    <x v="6"/>
    <s v="V1970"/>
    <s v="Rotterdam"/>
    <s v="Chennai"/>
    <x v="0"/>
    <n v="22.4"/>
    <n v="806"/>
    <n v="34"/>
    <n v="18.600000000000001"/>
    <x v="3"/>
    <n v="13880.41"/>
    <n v="22165"/>
    <s v="Ahmed"/>
    <x v="1"/>
    <n v="35.979999999999997"/>
    <n v="17.22"/>
    <n v="0.63"/>
    <s v="On Time"/>
    <s v="Low"/>
    <s v="Low Risk"/>
    <x v="3"/>
    <n v="2025"/>
  </r>
  <r>
    <x v="48"/>
    <x v="40"/>
    <x v="7"/>
    <s v="V1971"/>
    <s v="Rotterdam"/>
    <s v="Busan"/>
    <x v="3"/>
    <n v="76.599999999999994"/>
    <n v="4736"/>
    <n v="96"/>
    <n v="18"/>
    <x v="1"/>
    <n v="53413"/>
    <n v="12181"/>
    <s v="John"/>
    <x v="0"/>
    <n v="61.83"/>
    <n v="11.28"/>
    <n v="4.38"/>
    <s v="Delayed"/>
    <s v="High"/>
    <s v="Low Risk"/>
    <x v="1"/>
    <n v="2025"/>
  </r>
  <r>
    <x v="96"/>
    <x v="23"/>
    <x v="7"/>
    <s v="V1972"/>
    <s v="Dubai"/>
    <s v="Busan"/>
    <x v="1"/>
    <n v="66.5"/>
    <n v="2215"/>
    <n v="120"/>
    <n v="17"/>
    <x v="1"/>
    <n v="36433.379999999997"/>
    <n v="18683"/>
    <s v="Rahul"/>
    <x v="0"/>
    <n v="33.31"/>
    <n v="16.45"/>
    <n v="1.95"/>
    <s v="Delayed"/>
    <s v="High"/>
    <s v="Low Risk"/>
    <x v="6"/>
    <n v="2025"/>
  </r>
  <r>
    <x v="8"/>
    <x v="70"/>
    <x v="3"/>
    <s v="V1973"/>
    <s v="Rotterdam"/>
    <s v="Singapore"/>
    <x v="2"/>
    <n v="50.3"/>
    <n v="4047"/>
    <n v="48"/>
    <n v="14"/>
    <x v="2"/>
    <n v="30154.48"/>
    <n v="17871"/>
    <s v="Chen"/>
    <x v="0"/>
    <n v="80.459999999999994"/>
    <n v="7.45"/>
    <n v="1.69"/>
    <s v="Delayed"/>
    <s v="Medium"/>
    <s v="High Risk"/>
    <x v="5"/>
    <n v="2025"/>
  </r>
  <r>
    <x v="162"/>
    <x v="11"/>
    <x v="0"/>
    <s v="V1974"/>
    <s v="Chennai"/>
    <s v="Mumbai"/>
    <x v="0"/>
    <n v="53.7"/>
    <n v="4398"/>
    <n v="42"/>
    <n v="11.1"/>
    <x v="1"/>
    <n v="37024.639999999999"/>
    <n v="27540"/>
    <s v="Ahmed"/>
    <x v="0"/>
    <n v="81.900000000000006"/>
    <n v="8.42"/>
    <n v="1.34"/>
    <s v="Delayed"/>
    <s v="Medium"/>
    <s v="Low Risk"/>
    <x v="8"/>
    <n v="2025"/>
  </r>
  <r>
    <x v="191"/>
    <x v="50"/>
    <x v="2"/>
    <s v="V1975"/>
    <s v="Rotterdam"/>
    <s v="Mumbai"/>
    <x v="1"/>
    <n v="52"/>
    <n v="1520"/>
    <n v="94"/>
    <n v="21.6"/>
    <x v="3"/>
    <n v="23406.67"/>
    <n v="13018"/>
    <s v="Rahul"/>
    <x v="1"/>
    <n v="29.23"/>
    <n v="15.4"/>
    <n v="1.8"/>
    <s v="On Time"/>
    <s v="Medium"/>
    <s v="Low Risk"/>
    <x v="9"/>
    <n v="2025"/>
  </r>
  <r>
    <x v="232"/>
    <x v="5"/>
    <x v="3"/>
    <s v="V1976"/>
    <s v="Chennai"/>
    <s v="Mumbai"/>
    <x v="3"/>
    <n v="23.7"/>
    <n v="4022"/>
    <n v="68"/>
    <n v="15.2"/>
    <x v="0"/>
    <n v="15444.28"/>
    <n v="14502"/>
    <s v="Arun"/>
    <x v="0"/>
    <n v="169.7"/>
    <n v="3.84"/>
    <n v="1.06"/>
    <s v="Delayed"/>
    <s v="Low"/>
    <s v="Medium Risk"/>
    <x v="10"/>
    <n v="2025"/>
  </r>
  <r>
    <x v="26"/>
    <x v="38"/>
    <x v="6"/>
    <s v="V1977"/>
    <s v="Colombo"/>
    <s v="Dubai"/>
    <x v="3"/>
    <n v="76.099999999999994"/>
    <n v="2855"/>
    <n v="24"/>
    <n v="20.9"/>
    <x v="0"/>
    <n v="45814.09"/>
    <n v="18714"/>
    <s v="Chen"/>
    <x v="0"/>
    <n v="37.520000000000003"/>
    <n v="16.05"/>
    <n v="2.4500000000000002"/>
    <s v="Delayed"/>
    <s v="High"/>
    <s v="Medium Risk"/>
    <x v="1"/>
    <n v="2025"/>
  </r>
  <r>
    <x v="323"/>
    <x v="50"/>
    <x v="3"/>
    <s v="V1978"/>
    <s v="Busan"/>
    <s v="Hamburg"/>
    <x v="0"/>
    <n v="63.7"/>
    <n v="1430"/>
    <n v="51"/>
    <n v="11.6"/>
    <x v="0"/>
    <n v="43704.71"/>
    <n v="19839"/>
    <s v="John"/>
    <x v="0"/>
    <n v="22.45"/>
    <n v="30.56"/>
    <n v="2.2000000000000002"/>
    <s v="Delayed"/>
    <s v="High"/>
    <s v="Medium Risk"/>
    <x v="0"/>
    <n v="2025"/>
  </r>
  <r>
    <x v="314"/>
    <x v="21"/>
    <x v="7"/>
    <s v="V1979"/>
    <s v="Chennai"/>
    <s v="Singapore"/>
    <x v="0"/>
    <n v="46.6"/>
    <n v="2199"/>
    <n v="85"/>
    <n v="11.6"/>
    <x v="1"/>
    <n v="23518.28"/>
    <n v="19592"/>
    <s v="Arun"/>
    <x v="0"/>
    <n v="47.19"/>
    <n v="10.69"/>
    <n v="1.2"/>
    <s v="Delayed"/>
    <s v="Medium"/>
    <s v="Low Risk"/>
    <x v="7"/>
    <n v="2025"/>
  </r>
  <r>
    <x v="12"/>
    <x v="69"/>
    <x v="7"/>
    <s v="V1980"/>
    <s v="Singapore"/>
    <s v="Chennai"/>
    <x v="1"/>
    <n v="69.099999999999994"/>
    <n v="1063"/>
    <n v="82"/>
    <n v="10.199999999999999"/>
    <x v="1"/>
    <n v="36948.9"/>
    <n v="26748"/>
    <s v="Sato"/>
    <x v="0"/>
    <n v="15.38"/>
    <n v="34.76"/>
    <n v="1.38"/>
    <s v="Delayed"/>
    <s v="High"/>
    <s v="Low Risk"/>
    <x v="8"/>
    <n v="2025"/>
  </r>
  <r>
    <x v="226"/>
    <x v="65"/>
    <x v="3"/>
    <s v="V1981"/>
    <s v="Chennai"/>
    <s v="Rotterdam"/>
    <x v="0"/>
    <n v="60.1"/>
    <n v="603"/>
    <n v="96"/>
    <n v="11.9"/>
    <x v="0"/>
    <n v="41704.839999999997"/>
    <n v="15235"/>
    <s v="Ahmed"/>
    <x v="0"/>
    <n v="10.029999999999999"/>
    <n v="69.16"/>
    <n v="2.74"/>
    <s v="Delayed"/>
    <s v="High"/>
    <s v="Medium Risk"/>
    <x v="2"/>
    <n v="2025"/>
  </r>
  <r>
    <x v="215"/>
    <x v="3"/>
    <x v="0"/>
    <s v="V1982"/>
    <s v="Busan"/>
    <s v="Hamburg"/>
    <x v="0"/>
    <n v="26.4"/>
    <n v="1360"/>
    <n v="72"/>
    <n v="11.6"/>
    <x v="1"/>
    <n v="16052.58"/>
    <n v="20335"/>
    <s v="John"/>
    <x v="0"/>
    <n v="51.52"/>
    <n v="11.8"/>
    <n v="0.79"/>
    <s v="Delayed"/>
    <s v="Low"/>
    <s v="Low Risk"/>
    <x v="1"/>
    <n v="2025"/>
  </r>
  <r>
    <x v="226"/>
    <x v="32"/>
    <x v="2"/>
    <s v="V1983"/>
    <s v="Rotterdam"/>
    <s v="Mumbai"/>
    <x v="1"/>
    <n v="50.4"/>
    <n v="4594"/>
    <n v="85"/>
    <n v="16.2"/>
    <x v="0"/>
    <n v="34648.5"/>
    <n v="17086"/>
    <s v="Rahul"/>
    <x v="0"/>
    <n v="91.15"/>
    <n v="7.54"/>
    <n v="2.0299999999999998"/>
    <s v="Delayed"/>
    <s v="Medium"/>
    <s v="Medium Risk"/>
    <x v="2"/>
    <n v="2025"/>
  </r>
  <r>
    <x v="45"/>
    <x v="71"/>
    <x v="0"/>
    <s v="V1984"/>
    <s v="Singapore"/>
    <s v="Rotterdam"/>
    <x v="0"/>
    <n v="33.299999999999997"/>
    <n v="2369"/>
    <n v="83"/>
    <n v="15.6"/>
    <x v="2"/>
    <n v="22829.69"/>
    <n v="22398"/>
    <s v="Chen"/>
    <x v="0"/>
    <n v="71.14"/>
    <n v="9.64"/>
    <n v="1.02"/>
    <s v="Delayed"/>
    <s v="Low"/>
    <s v="High Risk"/>
    <x v="8"/>
    <n v="2025"/>
  </r>
  <r>
    <x v="76"/>
    <x v="4"/>
    <x v="3"/>
    <s v="V1985"/>
    <s v="Rotterdam"/>
    <s v="Mumbai"/>
    <x v="0"/>
    <n v="65.3"/>
    <n v="2103"/>
    <n v="57"/>
    <n v="21.2"/>
    <x v="3"/>
    <n v="29958.23"/>
    <n v="17442"/>
    <s v="Michael"/>
    <x v="1"/>
    <n v="32.21"/>
    <n v="14.25"/>
    <n v="1.72"/>
    <s v="On Time"/>
    <s v="High"/>
    <s v="Low Risk"/>
    <x v="0"/>
    <n v="2025"/>
  </r>
  <r>
    <x v="166"/>
    <x v="70"/>
    <x v="6"/>
    <s v="V1986"/>
    <s v="Dubai"/>
    <s v="Mumbai"/>
    <x v="3"/>
    <n v="59.4"/>
    <n v="1045"/>
    <n v="53"/>
    <n v="16"/>
    <x v="3"/>
    <n v="35710.43"/>
    <n v="11268"/>
    <s v="Chen"/>
    <x v="1"/>
    <n v="17.59"/>
    <n v="34.17"/>
    <n v="3.17"/>
    <s v="On Time"/>
    <s v="Medium"/>
    <s v="Low Risk"/>
    <x v="5"/>
    <n v="2025"/>
  </r>
  <r>
    <x v="254"/>
    <x v="9"/>
    <x v="6"/>
    <s v="V1987"/>
    <s v="Dubai"/>
    <s v="Singapore"/>
    <x v="3"/>
    <n v="46.7"/>
    <n v="3756"/>
    <n v="66"/>
    <n v="17.3"/>
    <x v="2"/>
    <n v="27554.19"/>
    <n v="16413"/>
    <s v="Rahul"/>
    <x v="0"/>
    <n v="80.430000000000007"/>
    <n v="7.34"/>
    <n v="1.68"/>
    <s v="Delayed"/>
    <s v="Medium"/>
    <s v="High Risk"/>
    <x v="2"/>
    <n v="2025"/>
  </r>
  <r>
    <x v="92"/>
    <x v="18"/>
    <x v="6"/>
    <s v="V1988"/>
    <s v="Mumbai"/>
    <s v="Busan"/>
    <x v="2"/>
    <n v="37.799999999999997"/>
    <n v="3592"/>
    <n v="85"/>
    <n v="21.9"/>
    <x v="1"/>
    <n v="18333.46"/>
    <n v="29970"/>
    <s v="Ahmed"/>
    <x v="0"/>
    <n v="95.03"/>
    <n v="5.0999999999999996"/>
    <n v="0.61"/>
    <s v="Delayed"/>
    <s v="Low"/>
    <s v="Low Risk"/>
    <x v="9"/>
    <n v="2025"/>
  </r>
  <r>
    <x v="1"/>
    <x v="41"/>
    <x v="7"/>
    <s v="V1989"/>
    <s v="Hamburg"/>
    <s v="Busan"/>
    <x v="1"/>
    <n v="30.8"/>
    <n v="4458"/>
    <n v="43"/>
    <n v="16.8"/>
    <x v="3"/>
    <n v="16929.759999999998"/>
    <n v="9007"/>
    <s v="John"/>
    <x v="1"/>
    <n v="144.74"/>
    <n v="3.8"/>
    <n v="1.88"/>
    <s v="On Time"/>
    <s v="Low"/>
    <s v="Low Risk"/>
    <x v="1"/>
    <n v="2025"/>
  </r>
  <r>
    <x v="44"/>
    <x v="21"/>
    <x v="7"/>
    <s v="V1990"/>
    <s v="Mumbai"/>
    <s v="Dubai"/>
    <x v="0"/>
    <n v="54.7"/>
    <n v="2571"/>
    <n v="54"/>
    <n v="14.8"/>
    <x v="3"/>
    <n v="33434.36"/>
    <n v="9096"/>
    <s v="Arun"/>
    <x v="1"/>
    <n v="47"/>
    <n v="13"/>
    <n v="3.68"/>
    <s v="On Time"/>
    <s v="Medium"/>
    <s v="Low Risk"/>
    <x v="5"/>
    <n v="2025"/>
  </r>
  <r>
    <x v="1"/>
    <x v="36"/>
    <x v="1"/>
    <s v="V1991"/>
    <s v="Dubai"/>
    <s v="Busan"/>
    <x v="0"/>
    <n v="68.599999999999994"/>
    <n v="4892"/>
    <n v="45"/>
    <n v="10.5"/>
    <x v="1"/>
    <n v="40097.71"/>
    <n v="15088"/>
    <s v="Rahul"/>
    <x v="0"/>
    <n v="71.31"/>
    <n v="8.1999999999999993"/>
    <n v="2.66"/>
    <s v="Delayed"/>
    <s v="High"/>
    <s v="Low Risk"/>
    <x v="1"/>
    <n v="2025"/>
  </r>
  <r>
    <x v="37"/>
    <x v="41"/>
    <x v="0"/>
    <s v="V1992"/>
    <s v="Busan"/>
    <s v="Rotterdam"/>
    <x v="3"/>
    <n v="44.1"/>
    <n v="1786"/>
    <n v="117"/>
    <n v="13"/>
    <x v="1"/>
    <n v="22497.01"/>
    <n v="19154"/>
    <s v="Rahul"/>
    <x v="0"/>
    <n v="40.5"/>
    <n v="12.6"/>
    <n v="1.17"/>
    <s v="Delayed"/>
    <s v="Medium"/>
    <s v="Low Risk"/>
    <x v="10"/>
    <n v="2025"/>
  </r>
  <r>
    <x v="98"/>
    <x v="38"/>
    <x v="3"/>
    <s v="V1993"/>
    <s v="Colombo"/>
    <s v="Singapore"/>
    <x v="0"/>
    <n v="74.400000000000006"/>
    <n v="3268"/>
    <n v="37"/>
    <n v="14.3"/>
    <x v="0"/>
    <n v="40394.120000000003"/>
    <n v="13502"/>
    <s v="Arun"/>
    <x v="0"/>
    <n v="43.92"/>
    <n v="12.36"/>
    <n v="2.99"/>
    <s v="Delayed"/>
    <s v="High"/>
    <s v="Medium Risk"/>
    <x v="6"/>
    <n v="2025"/>
  </r>
  <r>
    <x v="114"/>
    <x v="67"/>
    <x v="6"/>
    <s v="V1994"/>
    <s v="Dubai"/>
    <s v="Hamburg"/>
    <x v="3"/>
    <n v="26.2"/>
    <n v="2994"/>
    <n v="104"/>
    <n v="19.2"/>
    <x v="3"/>
    <n v="15341.28"/>
    <n v="12461"/>
    <s v="Chen"/>
    <x v="1"/>
    <n v="114.27"/>
    <n v="5.12"/>
    <n v="1.23"/>
    <s v="On Time"/>
    <s v="Low"/>
    <s v="Low Risk"/>
    <x v="11"/>
    <n v="2025"/>
  </r>
  <r>
    <x v="179"/>
    <x v="10"/>
    <x v="0"/>
    <s v="V1995"/>
    <s v="Rotterdam"/>
    <s v="Singapore"/>
    <x v="0"/>
    <n v="36"/>
    <n v="669"/>
    <n v="57"/>
    <n v="16.8"/>
    <x v="2"/>
    <n v="19555.86"/>
    <n v="27881"/>
    <s v="Michael"/>
    <x v="0"/>
    <n v="18.579999999999998"/>
    <n v="29.23"/>
    <n v="0.7"/>
    <s v="Delayed"/>
    <s v="Low"/>
    <s v="High Risk"/>
    <x v="5"/>
    <n v="2025"/>
  </r>
  <r>
    <x v="244"/>
    <x v="12"/>
    <x v="2"/>
    <s v="V1996"/>
    <s v="Hamburg"/>
    <s v="Busan"/>
    <x v="3"/>
    <n v="31.9"/>
    <n v="4316"/>
    <n v="87"/>
    <n v="12.6"/>
    <x v="3"/>
    <n v="15467.07"/>
    <n v="19934"/>
    <s v="David"/>
    <x v="1"/>
    <n v="135.30000000000001"/>
    <n v="3.58"/>
    <n v="0.78"/>
    <s v="On Time"/>
    <s v="Low"/>
    <s v="Low Risk"/>
    <x v="6"/>
    <n v="2025"/>
  </r>
  <r>
    <x v="146"/>
    <x v="10"/>
    <x v="3"/>
    <s v="V1997"/>
    <s v="Singapore"/>
    <s v="Colombo"/>
    <x v="3"/>
    <n v="68.900000000000006"/>
    <n v="4524"/>
    <n v="29"/>
    <n v="19.2"/>
    <x v="0"/>
    <n v="34328.43"/>
    <n v="28806"/>
    <s v="Chen"/>
    <x v="0"/>
    <n v="65.66"/>
    <n v="7.59"/>
    <n v="1.19"/>
    <s v="Delayed"/>
    <s v="High"/>
    <s v="Medium Risk"/>
    <x v="6"/>
    <n v="2025"/>
  </r>
  <r>
    <x v="195"/>
    <x v="44"/>
    <x v="3"/>
    <s v="V1998"/>
    <s v="Mumbai"/>
    <s v="Singapore"/>
    <x v="3"/>
    <n v="45.1"/>
    <n v="4451"/>
    <n v="43"/>
    <n v="19"/>
    <x v="3"/>
    <n v="31535.61"/>
    <n v="12255"/>
    <s v="John"/>
    <x v="1"/>
    <n v="98.69"/>
    <n v="7.09"/>
    <n v="2.57"/>
    <s v="On Time"/>
    <s v="Medium"/>
    <s v="Low Risk"/>
    <x v="2"/>
    <n v="2025"/>
  </r>
  <r>
    <x v="343"/>
    <x v="3"/>
    <x v="5"/>
    <s v="V1999"/>
    <s v="Mumbai"/>
    <s v="Chennai"/>
    <x v="3"/>
    <n v="70.7"/>
    <n v="2095"/>
    <n v="51"/>
    <n v="13.5"/>
    <x v="1"/>
    <n v="48361.55"/>
    <n v="12520"/>
    <s v="Sato"/>
    <x v="0"/>
    <n v="29.63"/>
    <n v="23.08"/>
    <n v="3.86"/>
    <s v="Delayed"/>
    <s v="High"/>
    <s v="Low Risk"/>
    <x v="8"/>
    <n v="2025"/>
  </r>
  <r>
    <x v="100"/>
    <x v="40"/>
    <x v="3"/>
    <s v="V2000"/>
    <s v="Chennai"/>
    <s v="Busan"/>
    <x v="0"/>
    <n v="55.8"/>
    <n v="4525"/>
    <n v="89"/>
    <n v="19.5"/>
    <x v="3"/>
    <n v="36467.699999999997"/>
    <n v="20860"/>
    <s v="Rahul"/>
    <x v="1"/>
    <n v="81.09"/>
    <n v="8.06"/>
    <n v="1.75"/>
    <s v="On Time"/>
    <s v="Medium"/>
    <s v="Low Risk"/>
    <x v="0"/>
    <n v="2025"/>
  </r>
  <r>
    <x v="11"/>
    <x v="32"/>
    <x v="5"/>
    <s v="V2001"/>
    <s v="Mumbai"/>
    <s v="Dubai"/>
    <x v="1"/>
    <n v="72"/>
    <n v="1319"/>
    <n v="83"/>
    <n v="21.8"/>
    <x v="3"/>
    <n v="49169.43"/>
    <n v="5186"/>
    <s v="Sato"/>
    <x v="1"/>
    <n v="18.32"/>
    <n v="37.28"/>
    <n v="9.48"/>
    <s v="On Time"/>
    <s v="High"/>
    <s v="Low Risk"/>
    <x v="2"/>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CD40F-22F6-4650-BC72-35C7AFA93537}" name="fueltype consump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6:F8" firstHeaderRow="1" firstDataRow="1" firstDataCol="1"/>
  <pivotFields count="24">
    <pivotField numFmtId="164" showAll="0"/>
    <pivotField showAll="0"/>
    <pivotField showAll="0">
      <items count="9">
        <item h="1" x="6"/>
        <item h="1" x="4"/>
        <item x="3"/>
        <item h="1" x="0"/>
        <item h="1" x="1"/>
        <item h="1" x="7"/>
        <item h="1" x="2"/>
        <item h="1" x="5"/>
        <item t="default"/>
      </items>
    </pivotField>
    <pivotField showAll="0"/>
    <pivotField showAll="0"/>
    <pivotField showAll="0"/>
    <pivotField axis="axisRow" showAll="0">
      <items count="5">
        <item h="1" x="1"/>
        <item h="1" x="0"/>
        <item x="2"/>
        <item h="1"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2"/>
    </i>
    <i t="grand">
      <x/>
    </i>
  </rowItems>
  <colItems count="1">
    <i/>
  </colItems>
  <dataFields count="1">
    <dataField name="Sum of Fuel Consumed (MT)" fld="7" baseField="0" baseItem="0"/>
  </dataFields>
  <formats count="13">
    <format dxfId="267">
      <pivotArea type="all" dataOnly="0" outline="0" fieldPosition="0"/>
    </format>
    <format dxfId="266">
      <pivotArea outline="0" collapsedLevelsAreSubtotals="1" fieldPosition="0"/>
    </format>
    <format dxfId="265">
      <pivotArea field="6" type="button" dataOnly="0" labelOnly="1" outline="0" axis="axisRow" fieldPosition="0"/>
    </format>
    <format dxfId="264">
      <pivotArea dataOnly="0" labelOnly="1" fieldPosition="0">
        <references count="1">
          <reference field="6" count="0"/>
        </references>
      </pivotArea>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dataOnly="0" labelOnly="1" fieldPosition="0">
        <references count="1">
          <reference field="6" count="0"/>
        </references>
      </pivotArea>
    </format>
    <format dxfId="258">
      <pivotArea field="6" type="button" dataOnly="0" labelOnly="1" outline="0" axis="axisRow" fieldPosition="0"/>
    </format>
    <format dxfId="257">
      <pivotArea dataOnly="0" labelOnly="1" outline="0" axis="axisValues" fieldPosition="0"/>
    </format>
    <format dxfId="256">
      <pivotArea grandRow="1" outline="0" collapsedLevelsAreSubtotals="1" fieldPosition="0"/>
    </format>
    <format dxfId="255">
      <pivotArea dataOnly="0" labelOnly="1" grandRow="1" outline="0" fieldPosition="0"/>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B00430-A1D1-41F6-852A-D80ED060790F}" name="average fu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3:J25" firstHeaderRow="1" firstDataRow="1" firstDataCol="1"/>
  <pivotFields count="24">
    <pivotField numFmtId="164" showAll="0"/>
    <pivotField showAll="0"/>
    <pivotField axis="axisRow" showAll="0">
      <items count="9">
        <item h="1" x="6"/>
        <item h="1" x="4"/>
        <item h="1" x="3"/>
        <item h="1" x="0"/>
        <item h="1" x="1"/>
        <item h="1" x="7"/>
        <item h="1" x="2"/>
        <item x="5"/>
        <item t="default"/>
      </items>
    </pivotField>
    <pivotField showAll="0"/>
    <pivotField showAll="0"/>
    <pivotField showAll="0"/>
    <pivotField showAll="0">
      <items count="5">
        <item h="1" x="1"/>
        <item h="1" x="0"/>
        <item h="1"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2">
    <i>
      <x v="7"/>
    </i>
    <i t="grand">
      <x/>
    </i>
  </rowItems>
  <colItems count="1">
    <i/>
  </colItems>
  <dataFields count="1">
    <dataField name="Average of fuel efficiency " fld="16" subtotal="average" baseField="2" baseItem="0"/>
  </dataFields>
  <formats count="10">
    <format dxfId="277">
      <pivotArea type="all" dataOnly="0" outline="0" fieldPosition="0"/>
    </format>
    <format dxfId="276">
      <pivotArea outline="0" collapsedLevelsAreSubtotals="1" fieldPosition="0"/>
    </format>
    <format dxfId="275">
      <pivotArea field="2" type="button" dataOnly="0" labelOnly="1" outline="0" axis="axisRow" fieldPosition="0"/>
    </format>
    <format dxfId="274">
      <pivotArea dataOnly="0" labelOnly="1" fieldPosition="0">
        <references count="1">
          <reference field="2" count="0"/>
        </references>
      </pivotArea>
    </format>
    <format dxfId="273">
      <pivotArea dataOnly="0" labelOnly="1" grandRow="1" outline="0" fieldPosition="0"/>
    </format>
    <format dxfId="272">
      <pivotArea dataOnly="0" labelOnly="1" outline="0" axis="axisValues" fieldPosition="0"/>
    </format>
    <format dxfId="271">
      <pivotArea field="2" type="button" dataOnly="0" labelOnly="1" outline="0" axis="axisRow" fieldPosition="0"/>
    </format>
    <format dxfId="270">
      <pivotArea dataOnly="0" labelOnly="1" outline="0" axis="axisValues" fieldPosition="0"/>
    </format>
    <format dxfId="269">
      <pivotArea grandRow="1" outline="0" collapsedLevelsAreSubtotals="1" fieldPosition="0"/>
    </format>
    <format dxfId="268">
      <pivotArea dataOnly="0" labelOnly="1" grandRow="1" outline="0" fieldPosition="0"/>
    </format>
  </formats>
  <chartFormats count="9">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 chart="5" format="15">
      <pivotArea type="data" outline="0" fieldPosition="0">
        <references count="2">
          <reference field="4294967294" count="1" selected="0">
            <x v="0"/>
          </reference>
          <reference field="2" count="1" selected="0">
            <x v="4"/>
          </reference>
        </references>
      </pivotArea>
    </chartFormat>
    <chartFormat chart="5" format="16">
      <pivotArea type="data" outline="0" fieldPosition="0">
        <references count="2">
          <reference field="4294967294" count="1" selected="0">
            <x v="0"/>
          </reference>
          <reference field="2" count="1" selected="0">
            <x v="5"/>
          </reference>
        </references>
      </pivotArea>
    </chartFormat>
    <chartFormat chart="5" format="17">
      <pivotArea type="data" outline="0" fieldPosition="0">
        <references count="2">
          <reference field="4294967294" count="1" selected="0">
            <x v="0"/>
          </reference>
          <reference field="2" count="1" selected="0">
            <x v="6"/>
          </reference>
        </references>
      </pivotArea>
    </chartFormat>
    <chartFormat chart="5"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94F73-ADBA-43F1-BA00-C71933949CE6}" name="delay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23:F25" firstHeaderRow="1" firstDataRow="1" firstDataCol="1"/>
  <pivotFields count="24">
    <pivotField numFmtId="164" showAll="0"/>
    <pivotField dataField="1" showAll="0">
      <items count="81">
        <item x="10"/>
        <item x="32"/>
        <item x="31"/>
        <item x="18"/>
        <item x="37"/>
        <item x="61"/>
        <item x="27"/>
        <item x="66"/>
        <item x="71"/>
        <item x="74"/>
        <item x="67"/>
        <item x="11"/>
        <item x="55"/>
        <item x="40"/>
        <item x="36"/>
        <item x="19"/>
        <item x="42"/>
        <item x="5"/>
        <item x="45"/>
        <item x="77"/>
        <item x="21"/>
        <item x="72"/>
        <item x="25"/>
        <item x="29"/>
        <item x="35"/>
        <item x="38"/>
        <item x="60"/>
        <item x="64"/>
        <item x="12"/>
        <item x="14"/>
        <item x="9"/>
        <item x="79"/>
        <item x="56"/>
        <item x="1"/>
        <item x="68"/>
        <item x="3"/>
        <item x="49"/>
        <item x="75"/>
        <item x="57"/>
        <item x="34"/>
        <item x="76"/>
        <item x="39"/>
        <item x="23"/>
        <item x="54"/>
        <item x="58"/>
        <item x="4"/>
        <item x="59"/>
        <item x="41"/>
        <item x="33"/>
        <item x="51"/>
        <item x="16"/>
        <item x="24"/>
        <item x="17"/>
        <item x="2"/>
        <item x="7"/>
        <item x="26"/>
        <item x="8"/>
        <item x="63"/>
        <item x="50"/>
        <item x="6"/>
        <item x="22"/>
        <item x="73"/>
        <item x="28"/>
        <item x="47"/>
        <item x="15"/>
        <item x="48"/>
        <item x="46"/>
        <item x="52"/>
        <item x="65"/>
        <item x="30"/>
        <item x="43"/>
        <item x="53"/>
        <item x="69"/>
        <item x="20"/>
        <item x="13"/>
        <item x="78"/>
        <item x="0"/>
        <item x="44"/>
        <item x="62"/>
        <item x="70"/>
        <item t="default"/>
      </items>
    </pivotField>
    <pivotField showAll="0">
      <items count="9">
        <item h="1" x="6"/>
        <item h="1" x="4"/>
        <item h="1" x="3"/>
        <item h="1" x="0"/>
        <item h="1" x="1"/>
        <item h="1" x="7"/>
        <item h="1"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s>
  <rowFields count="1">
    <field x="15"/>
  </rowFields>
  <rowItems count="2">
    <i>
      <x v="1"/>
    </i>
    <i t="grand">
      <x/>
    </i>
  </rowItems>
  <colItems count="1">
    <i/>
  </colItems>
  <dataFields count="1">
    <dataField name="Count of Ship ID" fld="1" subtotal="count" baseField="0" baseItem="0"/>
  </dataFields>
  <formats count="9">
    <format dxfId="286">
      <pivotArea type="all" dataOnly="0" outline="0" fieldPosition="0"/>
    </format>
    <format dxfId="285">
      <pivotArea outline="0" collapsedLevelsAreSubtotals="1" fieldPosition="0"/>
    </format>
    <format dxfId="284">
      <pivotArea field="15" type="button" dataOnly="0" labelOnly="1" outline="0" axis="axisRow" fieldPosition="0"/>
    </format>
    <format dxfId="283">
      <pivotArea dataOnly="0" labelOnly="1" fieldPosition="0">
        <references count="1">
          <reference field="15" count="0"/>
        </references>
      </pivotArea>
    </format>
    <format dxfId="282">
      <pivotArea dataOnly="0" labelOnly="1" grandRow="1" outline="0" fieldPosition="0"/>
    </format>
    <format dxfId="281">
      <pivotArea dataOnly="0" labelOnly="1" outline="0" axis="axisValues" fieldPosition="0"/>
    </format>
    <format dxfId="280">
      <pivotArea field="15" type="button" dataOnly="0" labelOnly="1" outline="0" axis="axisRow" fieldPosition="0"/>
    </format>
    <format dxfId="279">
      <pivotArea dataOnly="0" labelOnly="1" outline="0" axis="axisValues" fieldPosition="0"/>
    </format>
    <format dxfId="278">
      <pivotArea dataOnly="0" grandRow="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35DBA3-7F8F-45B2-949D-9A673D86EDF5}" name="weather wise fu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25" firstHeaderRow="1" firstDataRow="1" firstDataCol="1"/>
  <pivotFields count="24">
    <pivotField numFmtId="164" showAll="0"/>
    <pivotField showAll="0"/>
    <pivotField showAll="0">
      <items count="9">
        <item h="1" x="6"/>
        <item h="1" x="4"/>
        <item h="1" x="3"/>
        <item h="1" x="0"/>
        <item h="1" x="1"/>
        <item h="1" x="7"/>
        <item h="1" x="2"/>
        <item x="5"/>
        <item t="default"/>
      </items>
    </pivotField>
    <pivotField showAll="0"/>
    <pivotField showAll="0"/>
    <pivotField showAll="0"/>
    <pivotField showAll="0"/>
    <pivotField dataField="1" showAll="0"/>
    <pivotField showAll="0"/>
    <pivotField showAll="0"/>
    <pivotField showAll="0"/>
    <pivotField axis="axisRow" showAll="0">
      <items count="5">
        <item h="1" x="3"/>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v="2"/>
    </i>
    <i t="grand">
      <x/>
    </i>
  </rowItems>
  <colItems count="1">
    <i/>
  </colItems>
  <dataFields count="1">
    <dataField name="Sum of Fuel Consumed (MT)" fld="7" baseField="0" baseItem="0"/>
  </dataFields>
  <formats count="10">
    <format dxfId="296">
      <pivotArea type="all" dataOnly="0" outline="0" fieldPosition="0"/>
    </format>
    <format dxfId="295">
      <pivotArea outline="0" collapsedLevelsAreSubtotals="1" fieldPosition="0"/>
    </format>
    <format dxfId="294">
      <pivotArea field="11" type="button" dataOnly="0" labelOnly="1" outline="0" axis="axisRow" fieldPosition="0"/>
    </format>
    <format dxfId="293">
      <pivotArea dataOnly="0" labelOnly="1" fieldPosition="0">
        <references count="1">
          <reference field="11" count="0"/>
        </references>
      </pivotArea>
    </format>
    <format dxfId="292">
      <pivotArea dataOnly="0" labelOnly="1" grandRow="1" outline="0" fieldPosition="0"/>
    </format>
    <format dxfId="291">
      <pivotArea dataOnly="0" labelOnly="1" outline="0" axis="axisValues" fieldPosition="0"/>
    </format>
    <format dxfId="290">
      <pivotArea field="11" type="button" dataOnly="0" labelOnly="1" outline="0" axis="axisRow" fieldPosition="0"/>
    </format>
    <format dxfId="289">
      <pivotArea dataOnly="0" labelOnly="1" outline="0" axis="axisValues" fieldPosition="0"/>
    </format>
    <format dxfId="288">
      <pivotArea grandRow="1" outline="0" collapsedLevelsAreSubtotals="1" fieldPosition="0"/>
    </format>
    <format dxfId="287">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922658-F182-4DA0-8218-D27C59E03E2C}" name="ship wise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6:J8" firstHeaderRow="1" firstDataRow="1" firstDataCol="1"/>
  <pivotFields count="24">
    <pivotField numFmtId="164" showAll="0"/>
    <pivotField showAll="0"/>
    <pivotField axis="axisRow" showAll="0">
      <items count="9">
        <item h="1" x="6"/>
        <item h="1" x="4"/>
        <item h="1" x="3"/>
        <item h="1" x="0"/>
        <item h="1" x="1"/>
        <item h="1" x="7"/>
        <item h="1" x="2"/>
        <item x="5"/>
        <item t="default"/>
      </items>
    </pivotField>
    <pivotField showAll="0"/>
    <pivotField showAll="0"/>
    <pivotField showAll="0"/>
    <pivotField showAll="0"/>
    <pivotField showAll="0"/>
    <pivotField showAll="0"/>
    <pivotField showAll="0"/>
    <pivotField showAll="0"/>
    <pivotField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7"/>
    </i>
    <i t="grand">
      <x/>
    </i>
  </rowItems>
  <colItems count="1">
    <i/>
  </colItems>
  <dataFields count="1">
    <dataField name="Sum of Fuel Cost (USD)" fld="12" baseField="0" baseItem="0"/>
  </dataFields>
  <formats count="11">
    <format dxfId="307">
      <pivotArea type="all" dataOnly="0" outline="0" fieldPosition="0"/>
    </format>
    <format dxfId="306">
      <pivotArea outline="0" collapsedLevelsAreSubtotals="1" fieldPosition="0"/>
    </format>
    <format dxfId="305">
      <pivotArea field="2" type="button" dataOnly="0" labelOnly="1" outline="0" axis="axisRow" fieldPosition="0"/>
    </format>
    <format dxfId="304">
      <pivotArea dataOnly="0" labelOnly="1" fieldPosition="0">
        <references count="1">
          <reference field="2" count="0"/>
        </references>
      </pivotArea>
    </format>
    <format dxfId="303">
      <pivotArea dataOnly="0" labelOnly="1" grandRow="1" outline="0" fieldPosition="0"/>
    </format>
    <format dxfId="302">
      <pivotArea dataOnly="0" labelOnly="1" outline="0" axis="axisValues" fieldPosition="0"/>
    </format>
    <format dxfId="301">
      <pivotArea grandRow="1" outline="0" collapsedLevelsAreSubtotals="1" fieldPosition="0"/>
    </format>
    <format dxfId="300">
      <pivotArea dataOnly="0" labelOnly="1" grandRow="1" outline="0" fieldPosition="0"/>
    </format>
    <format dxfId="299">
      <pivotArea field="2" type="button" dataOnly="0" labelOnly="1" outline="0" axis="axisRow" fieldPosition="0"/>
    </format>
    <format dxfId="298">
      <pivotArea dataOnly="0" labelOnly="1" outline="0" axis="axisValues" fieldPosition="0"/>
    </format>
    <format dxfId="297">
      <pivotArea dataOnly="0" grandRow="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9B98F-FE0C-46F9-B63A-AC80E5258FFB}" name="monthly fuel"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6:B19" firstHeaderRow="1" firstDataRow="1" firstDataCol="1"/>
  <pivotFields count="24">
    <pivotField numFmtId="164" showAll="0"/>
    <pivotField showAll="0"/>
    <pivotField showAll="0">
      <items count="9">
        <item h="1" x="6"/>
        <item h="1" x="4"/>
        <item h="1" x="3"/>
        <item h="1" x="0"/>
        <item h="1" x="1"/>
        <item h="1" x="7"/>
        <item h="1" x="2"/>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9"/>
        <item x="5"/>
        <item x="0"/>
        <item x="2"/>
        <item x="10"/>
        <item x="1"/>
        <item x="11"/>
        <item x="6"/>
        <item x="8"/>
        <item x="7"/>
        <item x="4"/>
        <item x="3"/>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Fuel Consumed (MT)" fld="7" baseField="0" baseItem="0"/>
  </dataFields>
  <formats count="11">
    <format dxfId="318">
      <pivotArea field="22" type="button" dataOnly="0" labelOnly="1" outline="0" axis="axisRow" fieldPosition="0"/>
    </format>
    <format dxfId="317">
      <pivotArea dataOnly="0" labelOnly="1" outline="0" axis="axisValues" fieldPosition="0"/>
    </format>
    <format dxfId="316">
      <pivotArea grandRow="1" outline="0" collapsedLevelsAreSubtotals="1" fieldPosition="0"/>
    </format>
    <format dxfId="315">
      <pivotArea dataOnly="0" labelOnly="1" grandRow="1" outline="0" fieldPosition="0"/>
    </format>
    <format dxfId="314">
      <pivotArea type="all" dataOnly="0" outline="0" fieldPosition="0"/>
    </format>
    <format dxfId="313">
      <pivotArea outline="0" collapsedLevelsAreSubtotals="1" fieldPosition="0"/>
    </format>
    <format dxfId="312">
      <pivotArea grandRow="1" outline="0" collapsedLevelsAreSubtotals="1" fieldPosition="0"/>
    </format>
    <format dxfId="311">
      <pivotArea dataOnly="0" labelOnly="1" grandRow="1" outline="0" fieldPosition="0"/>
    </format>
    <format dxfId="310">
      <pivotArea field="22" type="button" dataOnly="0" labelOnly="1" outline="0" axis="axisRow" fieldPosition="0"/>
    </format>
    <format dxfId="309">
      <pivotArea dataOnly="0" labelOnly="1" outline="0" axis="axisValues" fieldPosition="0"/>
    </format>
    <format dxfId="308">
      <pivotArea dataOnly="0" fieldPosition="0">
        <references count="1">
          <reference field="22" count="0"/>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Name" xr10:uid="{E53857DA-BAC3-4CBA-B1D1-9EF19A022CF4}" sourceName="Ship Name">
  <pivotTables>
    <pivotTable tabId="5" name="monthly fuel"/>
    <pivotTable tabId="5" name="average fuel"/>
    <pivotTable tabId="5" name="delay analysis"/>
    <pivotTable tabId="5" name="ship wise cost"/>
    <pivotTable tabId="5" name="weather wise fuel"/>
  </pivotTables>
  <data>
    <tabular pivotCacheId="652521836">
      <items count="8">
        <i x="6"/>
        <i x="4"/>
        <i x="3"/>
        <i x="0"/>
        <i x="1"/>
        <i x="7"/>
        <i x="2"/>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Name" xr10:uid="{00728B1B-5F38-48E6-BFC5-D84CBE973637}" cache="Slicer_Ship_Name" caption="Ship Name"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marinefuel" displayName="tablemarinefuel" ref="A1:X1001" totalsRowShown="0" headerRowDxfId="322" headerRowCellStyle="Heading 3">
  <autoFilter ref="A1:X1001" xr:uid="{00000000-0009-0000-0100-000001000000}"/>
  <tableColumns count="24">
    <tableColumn id="1" xr3:uid="{00000000-0010-0000-0000-000001000000}" name="Date"/>
    <tableColumn id="2" xr3:uid="{00000000-0010-0000-0000-000002000000}" name="Ship ID"/>
    <tableColumn id="3" xr3:uid="{00000000-0010-0000-0000-000003000000}" name="Ship Name"/>
    <tableColumn id="4" xr3:uid="{00000000-0010-0000-0000-000004000000}" name="Voyage"/>
    <tableColumn id="5" xr3:uid="{00000000-0010-0000-0000-000005000000}" name="Departure Port"/>
    <tableColumn id="6" xr3:uid="{00000000-0010-0000-0000-000006000000}" name="Arrival Port"/>
    <tableColumn id="7" xr3:uid="{00000000-0010-0000-0000-000007000000}" name="Fuel Type"/>
    <tableColumn id="8" xr3:uid="{00000000-0010-0000-0000-000008000000}" name="Fuel Consumed (MT)"/>
    <tableColumn id="9" xr3:uid="{00000000-0010-0000-0000-000009000000}" name="Distance (NM)"/>
    <tableColumn id="10" xr3:uid="{00000000-0010-0000-0000-00000A000000}" name="Engine Hours"/>
    <tableColumn id="11" xr3:uid="{00000000-0010-0000-0000-00000B000000}" name="Avg Speed"/>
    <tableColumn id="12" xr3:uid="{00000000-0010-0000-0000-00000C000000}" name="Weather"/>
    <tableColumn id="13" xr3:uid="{00000000-0010-0000-0000-00000D000000}" name="Fuel Cost (USD)"/>
    <tableColumn id="14" xr3:uid="{00000000-0010-0000-0000-00000E000000}" name="Cargo Weight (Tons)"/>
    <tableColumn id="15" xr3:uid="{00000000-0010-0000-0000-00000F000000}" name="Captain"/>
    <tableColumn id="16" xr3:uid="{00000000-0010-0000-0000-000010000000}" name="Delay">
      <calculatedColumnFormula>IF(OR(L2="Rain",L2="Fog",L2="Storm"),"Yes","No")</calculatedColumnFormula>
    </tableColumn>
    <tableColumn id="17" xr3:uid="{00000000-0010-0000-0000-000011000000}" name="fuel efficiency ">
      <calculatedColumnFormula>ROUND(I2/H2,2)</calculatedColumnFormula>
    </tableColumn>
    <tableColumn id="18" xr3:uid="{00000000-0010-0000-0000-000012000000}" name="cost per NM">
      <calculatedColumnFormula>ROUND(M2/I2,2)</calculatedColumnFormula>
    </tableColumn>
    <tableColumn id="19" xr3:uid="{00000000-0010-0000-0000-000013000000}" name="cost per ton">
      <calculatedColumnFormula>ROUND(M2/N2,2)</calculatedColumnFormula>
    </tableColumn>
    <tableColumn id="20" xr3:uid="{00000000-0010-0000-0000-000014000000}" name="voyage status">
      <calculatedColumnFormula>IF(P2="Yes","Delayed","On Time")</calculatedColumnFormula>
    </tableColumn>
    <tableColumn id="21" xr3:uid="{00000000-0010-0000-0000-000015000000}" name="fuel category">
      <calculatedColumnFormula>IF(H2&gt;=60,"High",IF(H2&gt;=40,"Medium","Low"))</calculatedColumnFormula>
    </tableColumn>
    <tableColumn id="22" xr3:uid="{00000000-0010-0000-0000-000016000000}" name="weather risk">
      <calculatedColumnFormula>IF(L2="Storm","High Risk",IF(L2="Rain","Medium Risk","Low Risk"))</calculatedColumnFormula>
    </tableColumn>
    <tableColumn id="23" xr3:uid="{4BDC104A-EAE4-4F01-943F-ADD6391AF94B}" name="Month" dataDxfId="321">
      <calculatedColumnFormula>TEXT(A2,"mmm")</calculatedColumnFormula>
    </tableColumn>
    <tableColumn id="24" xr3:uid="{C6C6C2A9-0CFD-485A-B5E4-96BB24E7C910}" name="Year">
      <calculatedColumnFormula>YEAR(A2)</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C06E9-3A3A-460C-B409-FDBECD97598B}" name="tablemarinefuel3" displayName="tablemarinefuel3" ref="A1:X1001" totalsRowShown="0" headerRowDxfId="320" headerRowCellStyle="Heading 3">
  <autoFilter ref="A1:X1001" xr:uid="{26FC06E9-3A3A-460C-B409-FDBECD97598B}"/>
  <tableColumns count="24">
    <tableColumn id="1" xr3:uid="{EB3E3FD8-D4CF-4419-B117-3AD65E1AD9C4}" name="Date"/>
    <tableColumn id="2" xr3:uid="{FDB913A9-0186-42AE-A9BD-D4B762455F41}" name="Ship ID"/>
    <tableColumn id="3" xr3:uid="{97B38CF4-1343-44C0-A2AF-4E24F6C34156}" name="Ship Name"/>
    <tableColumn id="4" xr3:uid="{66CE001E-2625-40AD-A79A-08E9CDEA95CD}" name="Voyage"/>
    <tableColumn id="5" xr3:uid="{BDE77F63-7E60-43B7-9942-DBC46F459E14}" name="Departure Port"/>
    <tableColumn id="6" xr3:uid="{DA123113-C226-4547-9BC8-8EA2FF43D2C5}" name="Arrival Port"/>
    <tableColumn id="7" xr3:uid="{68B0F11C-6D0F-4CC8-82BA-9B989E2F76D6}" name="Fuel Type"/>
    <tableColumn id="8" xr3:uid="{700E154C-BE11-4926-8DED-8C95595E0CDF}" name="Fuel Consumed (MT)"/>
    <tableColumn id="9" xr3:uid="{2D3D887B-1AD5-45C9-967C-A6D9B1A09C58}" name="Distance (NM)"/>
    <tableColumn id="10" xr3:uid="{37FDE0B3-4852-4C8F-AE21-F0CF4AACFB9C}" name="Engine Hours"/>
    <tableColumn id="11" xr3:uid="{EBA71F95-3C4A-433B-B773-2602A938138B}" name="Avg Speed"/>
    <tableColumn id="12" xr3:uid="{77CD08CA-B81F-49A4-B6A2-7480C7342DB6}" name="Weather"/>
    <tableColumn id="13" xr3:uid="{905E982A-4A55-4DD0-979C-D7D1B143E165}" name="Fuel Cost (USD)"/>
    <tableColumn id="14" xr3:uid="{E314E2E0-5A09-4D51-A76C-0400B9E8A798}" name="Cargo Weight (Tons)"/>
    <tableColumn id="15" xr3:uid="{3F7CBB7F-CAC4-475C-BEE6-E6A3FB0DFF60}" name="Captain"/>
    <tableColumn id="16" xr3:uid="{E7E27FDA-AF07-454A-8C09-EA5AF024DB82}" name="Delay">
      <calculatedColumnFormula>IF(OR(L2="Rain",L2="Fog",L2="Storm"),"Yes","No")</calculatedColumnFormula>
    </tableColumn>
    <tableColumn id="17" xr3:uid="{4C46A19C-10E7-41B3-BD03-B532FB994618}" name="fuel efficiency ">
      <calculatedColumnFormula>ROUND(I2/H2,2)</calculatedColumnFormula>
    </tableColumn>
    <tableColumn id="18" xr3:uid="{40787F02-6B28-4462-B950-A7599787ED65}" name="cost per NM">
      <calculatedColumnFormula>ROUND(M2/I2,2)</calculatedColumnFormula>
    </tableColumn>
    <tableColumn id="19" xr3:uid="{68D128C7-F211-4ECF-81B0-1631D236E314}" name="cost per ton">
      <calculatedColumnFormula>ROUND(M2/N2,2)</calculatedColumnFormula>
    </tableColumn>
    <tableColumn id="20" xr3:uid="{DDF10DA0-C92C-4119-B87D-1D374F67DECE}" name="voyage status">
      <calculatedColumnFormula>IF(P2="Yes","Delayed","On Time")</calculatedColumnFormula>
    </tableColumn>
    <tableColumn id="21" xr3:uid="{312D0A3A-85D4-40BF-8C4A-1A645245B7B5}" name="fuel category">
      <calculatedColumnFormula>IF(H2&gt;=60,"High",IF(H2&gt;=40,"Medium","Low"))</calculatedColumnFormula>
    </tableColumn>
    <tableColumn id="22" xr3:uid="{2680E92E-A2BB-4F5A-8145-313F84204E53}" name="weather risk">
      <calculatedColumnFormula>IF(L2="Storm","High Risk",IF(L2="Rain","Medium Risk","Low Risk"))</calculatedColumnFormula>
    </tableColumn>
    <tableColumn id="23" xr3:uid="{AF084319-B3BD-4EBE-90A7-5F7C5912F620}" name="Month" dataDxfId="319">
      <calculatedColumnFormula>TEXT(A2,"mmm")</calculatedColumnFormula>
    </tableColumn>
    <tableColumn id="24" xr3:uid="{1EFBD60D-6E41-4B5B-9157-D002C3F79A2A}" name="Year">
      <calculatedColumnFormula>YEAR(A2)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zoomScale="90" workbookViewId="0">
      <selection activeCell="P8" sqref="P8"/>
    </sheetView>
  </sheetViews>
  <sheetFormatPr defaultRowHeight="14.5" x14ac:dyDescent="0.35"/>
  <cols>
    <col min="1" max="1" width="11.08984375" bestFit="1" customWidth="1"/>
    <col min="2" max="2" width="8.81640625" customWidth="1"/>
    <col min="3" max="3" width="11.7265625" customWidth="1"/>
    <col min="4" max="4" width="9.08984375" customWidth="1"/>
    <col min="5" max="5" width="15.36328125" customWidth="1"/>
    <col min="6" max="6" width="12.1796875" customWidth="1"/>
    <col min="7" max="7" width="10.7265625" customWidth="1"/>
    <col min="8" max="8" width="19.7265625" customWidth="1"/>
    <col min="9" max="9" width="14.54296875" customWidth="1"/>
    <col min="10" max="10" width="14" customWidth="1"/>
    <col min="11" max="11" width="11.6328125" customWidth="1"/>
    <col min="12" max="12" width="10.1796875" customWidth="1"/>
    <col min="13" max="13" width="15.36328125" customWidth="1"/>
    <col min="14" max="14" width="19.7265625" customWidth="1"/>
    <col min="15" max="15" width="9.26953125" customWidth="1"/>
    <col min="16" max="16" width="7.54296875" customWidth="1"/>
    <col min="17" max="17" width="6.54296875" bestFit="1" customWidth="1"/>
    <col min="18" max="19" width="13" customWidth="1"/>
    <col min="20" max="20" width="14.54296875" customWidth="1"/>
    <col min="21" max="21" width="13.7265625" customWidth="1"/>
    <col min="22" max="22" width="13.1796875" customWidth="1"/>
    <col min="25" max="25" width="10.26953125" customWidth="1"/>
  </cols>
  <sheetData>
    <row r="1" spans="1:24" ht="15" customHeight="1"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2" t="s">
        <v>21</v>
      </c>
      <c r="W1" s="1" t="s">
        <v>22</v>
      </c>
      <c r="X1" s="1" t="s">
        <v>23</v>
      </c>
    </row>
    <row r="2" spans="1:24" x14ac:dyDescent="0.35">
      <c r="A2" s="3">
        <v>45733</v>
      </c>
      <c r="B2" t="s">
        <v>24</v>
      </c>
      <c r="C2" t="s">
        <v>25</v>
      </c>
      <c r="D2" t="s">
        <v>26</v>
      </c>
      <c r="E2" t="s">
        <v>27</v>
      </c>
      <c r="F2" t="s">
        <v>28</v>
      </c>
      <c r="G2" t="s">
        <v>29</v>
      </c>
      <c r="H2">
        <v>39.5</v>
      </c>
      <c r="I2">
        <v>3970</v>
      </c>
      <c r="J2">
        <v>74</v>
      </c>
      <c r="K2">
        <v>15.1</v>
      </c>
      <c r="L2" t="s">
        <v>30</v>
      </c>
      <c r="M2">
        <v>17870.599999999999</v>
      </c>
      <c r="N2">
        <v>19856</v>
      </c>
      <c r="O2" t="s">
        <v>31</v>
      </c>
      <c r="P2" t="str">
        <f t="shared" ref="P2:P65" si="0">IF(OR(L2="Rain",L2="Fog",L2="Storm"),"Yes","No")</f>
        <v>Yes</v>
      </c>
      <c r="Q2">
        <f t="shared" ref="Q2:Q65" si="1">ROUND(I2/H2,2)</f>
        <v>100.51</v>
      </c>
      <c r="R2">
        <f t="shared" ref="R2:R65" si="2">ROUND(M2/I2,2)</f>
        <v>4.5</v>
      </c>
      <c r="S2">
        <f t="shared" ref="S2:S65" si="3">ROUND(M2/N2,2)</f>
        <v>0.9</v>
      </c>
      <c r="T2" t="str">
        <f t="shared" ref="T2:T65" si="4">IF(P2="Yes","Delayed","On Time")</f>
        <v>Delayed</v>
      </c>
      <c r="U2" t="str">
        <f t="shared" ref="U2:U65" si="5">IF(H2&gt;=60,"High",IF(H2&gt;=40,"Medium","Low"))</f>
        <v>Low</v>
      </c>
      <c r="V2" t="str">
        <f t="shared" ref="V2:V65" si="6">IF(L2="Storm","High Risk",IF(L2="Rain","Medium Risk","Low Risk"))</f>
        <v>Medium Risk</v>
      </c>
      <c r="W2" t="str">
        <f t="shared" ref="W2:W65" si="7">TEXT(A2,"mmm")</f>
        <v>Mar</v>
      </c>
      <c r="X2">
        <f>YEAR(A2)</f>
        <v>2025</v>
      </c>
    </row>
    <row r="3" spans="1:24" x14ac:dyDescent="0.35">
      <c r="A3" s="3">
        <v>45810</v>
      </c>
      <c r="B3" t="s">
        <v>33</v>
      </c>
      <c r="C3" t="s">
        <v>25</v>
      </c>
      <c r="D3" t="s">
        <v>34</v>
      </c>
      <c r="E3" t="s">
        <v>28</v>
      </c>
      <c r="F3" t="s">
        <v>27</v>
      </c>
      <c r="G3" t="s">
        <v>35</v>
      </c>
      <c r="H3">
        <v>63</v>
      </c>
      <c r="I3">
        <v>869</v>
      </c>
      <c r="J3">
        <v>52</v>
      </c>
      <c r="K3">
        <v>17.399999999999999</v>
      </c>
      <c r="L3" t="s">
        <v>30</v>
      </c>
      <c r="M3">
        <v>37907.49</v>
      </c>
      <c r="N3">
        <v>6641</v>
      </c>
      <c r="O3" t="s">
        <v>36</v>
      </c>
      <c r="P3" t="str">
        <f t="shared" si="0"/>
        <v>Yes</v>
      </c>
      <c r="Q3">
        <f t="shared" si="1"/>
        <v>13.79</v>
      </c>
      <c r="R3">
        <f t="shared" si="2"/>
        <v>43.62</v>
      </c>
      <c r="S3">
        <f t="shared" si="3"/>
        <v>5.71</v>
      </c>
      <c r="T3" t="str">
        <f t="shared" si="4"/>
        <v>Delayed</v>
      </c>
      <c r="U3" t="str">
        <f t="shared" si="5"/>
        <v>High</v>
      </c>
      <c r="V3" t="str">
        <f t="shared" si="6"/>
        <v>Medium Risk</v>
      </c>
      <c r="W3" t="str">
        <f t="shared" si="7"/>
        <v>Jun</v>
      </c>
      <c r="X3">
        <f t="shared" ref="X3:X66" si="8">YEAR(A3)</f>
        <v>2025</v>
      </c>
    </row>
    <row r="4" spans="1:24" x14ac:dyDescent="0.35">
      <c r="A4" s="3">
        <v>45773</v>
      </c>
      <c r="B4" t="s">
        <v>38</v>
      </c>
      <c r="C4" t="s">
        <v>39</v>
      </c>
      <c r="D4" t="s">
        <v>40</v>
      </c>
      <c r="E4" t="s">
        <v>41</v>
      </c>
      <c r="F4" t="s">
        <v>27</v>
      </c>
      <c r="G4" t="s">
        <v>42</v>
      </c>
      <c r="H4">
        <v>78.400000000000006</v>
      </c>
      <c r="I4">
        <v>4515</v>
      </c>
      <c r="J4">
        <v>99</v>
      </c>
      <c r="K4">
        <v>10.5</v>
      </c>
      <c r="L4" t="s">
        <v>43</v>
      </c>
      <c r="M4">
        <v>44977.43</v>
      </c>
      <c r="N4">
        <v>17249</v>
      </c>
      <c r="O4" t="s">
        <v>44</v>
      </c>
      <c r="P4" t="str">
        <f t="shared" si="0"/>
        <v>Yes</v>
      </c>
      <c r="Q4">
        <f t="shared" si="1"/>
        <v>57.59</v>
      </c>
      <c r="R4">
        <f t="shared" si="2"/>
        <v>9.9600000000000009</v>
      </c>
      <c r="S4">
        <f t="shared" si="3"/>
        <v>2.61</v>
      </c>
      <c r="T4" t="str">
        <f t="shared" si="4"/>
        <v>Delayed</v>
      </c>
      <c r="U4" t="str">
        <f t="shared" si="5"/>
        <v>High</v>
      </c>
      <c r="V4" t="str">
        <f t="shared" si="6"/>
        <v>Low Risk</v>
      </c>
      <c r="W4" t="str">
        <f t="shared" si="7"/>
        <v>Apr</v>
      </c>
      <c r="X4">
        <f t="shared" si="8"/>
        <v>2025</v>
      </c>
    </row>
    <row r="5" spans="1:24" x14ac:dyDescent="0.35">
      <c r="A5" s="3">
        <v>46001</v>
      </c>
      <c r="B5" t="s">
        <v>46</v>
      </c>
      <c r="C5" t="s">
        <v>25</v>
      </c>
      <c r="D5" t="s">
        <v>47</v>
      </c>
      <c r="E5" t="s">
        <v>27</v>
      </c>
      <c r="F5" t="s">
        <v>48</v>
      </c>
      <c r="G5" t="s">
        <v>42</v>
      </c>
      <c r="H5">
        <v>41.8</v>
      </c>
      <c r="I5">
        <v>1658</v>
      </c>
      <c r="J5">
        <v>53</v>
      </c>
      <c r="K5">
        <v>11</v>
      </c>
      <c r="L5" t="s">
        <v>49</v>
      </c>
      <c r="M5">
        <v>27960.2</v>
      </c>
      <c r="N5">
        <v>21070</v>
      </c>
      <c r="O5" t="s">
        <v>50</v>
      </c>
      <c r="P5" t="str">
        <f t="shared" si="0"/>
        <v>Yes</v>
      </c>
      <c r="Q5">
        <f t="shared" si="1"/>
        <v>39.67</v>
      </c>
      <c r="R5">
        <f t="shared" si="2"/>
        <v>16.86</v>
      </c>
      <c r="S5">
        <f t="shared" si="3"/>
        <v>1.33</v>
      </c>
      <c r="T5" t="str">
        <f t="shared" si="4"/>
        <v>Delayed</v>
      </c>
      <c r="U5" t="str">
        <f t="shared" si="5"/>
        <v>Medium</v>
      </c>
      <c r="V5" t="str">
        <f t="shared" si="6"/>
        <v>High Risk</v>
      </c>
      <c r="W5" t="str">
        <f t="shared" si="7"/>
        <v>Dec</v>
      </c>
      <c r="X5">
        <f t="shared" si="8"/>
        <v>2025</v>
      </c>
    </row>
    <row r="6" spans="1:24" x14ac:dyDescent="0.35">
      <c r="A6" s="3">
        <v>46009</v>
      </c>
      <c r="B6" t="s">
        <v>24</v>
      </c>
      <c r="C6" t="s">
        <v>52</v>
      </c>
      <c r="D6" t="s">
        <v>53</v>
      </c>
      <c r="E6" t="s">
        <v>54</v>
      </c>
      <c r="F6" t="s">
        <v>55</v>
      </c>
      <c r="G6" t="s">
        <v>35</v>
      </c>
      <c r="H6">
        <v>41.5</v>
      </c>
      <c r="I6">
        <v>4765</v>
      </c>
      <c r="J6">
        <v>68</v>
      </c>
      <c r="K6">
        <v>13.9</v>
      </c>
      <c r="L6" t="s">
        <v>30</v>
      </c>
      <c r="M6">
        <v>28336.29</v>
      </c>
      <c r="N6">
        <v>26589</v>
      </c>
      <c r="O6" t="s">
        <v>31</v>
      </c>
      <c r="P6" t="str">
        <f t="shared" si="0"/>
        <v>Yes</v>
      </c>
      <c r="Q6">
        <f t="shared" si="1"/>
        <v>114.82</v>
      </c>
      <c r="R6">
        <f t="shared" si="2"/>
        <v>5.95</v>
      </c>
      <c r="S6">
        <f t="shared" si="3"/>
        <v>1.07</v>
      </c>
      <c r="T6" t="str">
        <f t="shared" si="4"/>
        <v>Delayed</v>
      </c>
      <c r="U6" t="str">
        <f t="shared" si="5"/>
        <v>Medium</v>
      </c>
      <c r="V6" t="str">
        <f t="shared" si="6"/>
        <v>Medium Risk</v>
      </c>
      <c r="W6" t="str">
        <f t="shared" si="7"/>
        <v>Dec</v>
      </c>
      <c r="X6">
        <f t="shared" si="8"/>
        <v>2025</v>
      </c>
    </row>
    <row r="7" spans="1:24" x14ac:dyDescent="0.35">
      <c r="A7" s="3">
        <v>45980</v>
      </c>
      <c r="B7" t="s">
        <v>56</v>
      </c>
      <c r="C7" t="s">
        <v>57</v>
      </c>
      <c r="D7" t="s">
        <v>58</v>
      </c>
      <c r="E7" t="s">
        <v>54</v>
      </c>
      <c r="F7" t="s">
        <v>28</v>
      </c>
      <c r="G7" t="s">
        <v>35</v>
      </c>
      <c r="H7">
        <v>51.9</v>
      </c>
      <c r="I7">
        <v>4847</v>
      </c>
      <c r="J7">
        <v>69</v>
      </c>
      <c r="K7">
        <v>17.600000000000001</v>
      </c>
      <c r="L7" t="s">
        <v>43</v>
      </c>
      <c r="M7">
        <v>32552.799999999999</v>
      </c>
      <c r="N7">
        <v>11621</v>
      </c>
      <c r="O7" t="s">
        <v>59</v>
      </c>
      <c r="P7" t="str">
        <f t="shared" si="0"/>
        <v>Yes</v>
      </c>
      <c r="Q7">
        <f t="shared" si="1"/>
        <v>93.39</v>
      </c>
      <c r="R7">
        <f t="shared" si="2"/>
        <v>6.72</v>
      </c>
      <c r="S7">
        <f t="shared" si="3"/>
        <v>2.8</v>
      </c>
      <c r="T7" t="str">
        <f t="shared" si="4"/>
        <v>Delayed</v>
      </c>
      <c r="U7" t="str">
        <f t="shared" si="5"/>
        <v>Medium</v>
      </c>
      <c r="V7" t="str">
        <f t="shared" si="6"/>
        <v>Low Risk</v>
      </c>
      <c r="W7" t="str">
        <f t="shared" si="7"/>
        <v>Nov</v>
      </c>
      <c r="X7">
        <f t="shared" si="8"/>
        <v>2025</v>
      </c>
    </row>
    <row r="8" spans="1:24" x14ac:dyDescent="0.35">
      <c r="A8" s="3">
        <v>45766</v>
      </c>
      <c r="B8" t="s">
        <v>61</v>
      </c>
      <c r="C8" t="s">
        <v>52</v>
      </c>
      <c r="D8" t="s">
        <v>62</v>
      </c>
      <c r="E8" t="s">
        <v>63</v>
      </c>
      <c r="F8" t="s">
        <v>48</v>
      </c>
      <c r="G8" t="s">
        <v>42</v>
      </c>
      <c r="H8">
        <v>77.3</v>
      </c>
      <c r="I8">
        <v>3652</v>
      </c>
      <c r="J8">
        <v>22</v>
      </c>
      <c r="K8">
        <v>17</v>
      </c>
      <c r="L8" t="s">
        <v>43</v>
      </c>
      <c r="M8">
        <v>47055.839999999997</v>
      </c>
      <c r="N8">
        <v>22644</v>
      </c>
      <c r="O8" t="s">
        <v>44</v>
      </c>
      <c r="Q8">
        <f t="shared" si="1"/>
        <v>47.24</v>
      </c>
      <c r="R8">
        <f t="shared" si="2"/>
        <v>12.88</v>
      </c>
      <c r="S8">
        <f t="shared" si="3"/>
        <v>2.08</v>
      </c>
      <c r="T8" t="str">
        <f t="shared" si="4"/>
        <v>On Time</v>
      </c>
      <c r="U8" t="str">
        <f t="shared" si="5"/>
        <v>High</v>
      </c>
      <c r="V8" t="str">
        <f t="shared" si="6"/>
        <v>Low Risk</v>
      </c>
      <c r="W8" t="str">
        <f t="shared" si="7"/>
        <v>Apr</v>
      </c>
      <c r="X8">
        <f t="shared" si="8"/>
        <v>2025</v>
      </c>
    </row>
    <row r="9" spans="1:24" x14ac:dyDescent="0.35">
      <c r="A9" s="3">
        <v>45763</v>
      </c>
      <c r="B9" t="s">
        <v>64</v>
      </c>
      <c r="C9" t="s">
        <v>52</v>
      </c>
      <c r="D9" t="s">
        <v>65</v>
      </c>
      <c r="E9" t="s">
        <v>66</v>
      </c>
      <c r="F9" t="s">
        <v>63</v>
      </c>
      <c r="G9" t="s">
        <v>29</v>
      </c>
      <c r="H9">
        <v>68.900000000000006</v>
      </c>
      <c r="I9">
        <v>4126</v>
      </c>
      <c r="J9">
        <v>76</v>
      </c>
      <c r="K9">
        <v>20</v>
      </c>
      <c r="L9" t="s">
        <v>43</v>
      </c>
      <c r="M9">
        <v>36241.78</v>
      </c>
      <c r="N9">
        <v>8549</v>
      </c>
      <c r="O9" t="s">
        <v>67</v>
      </c>
      <c r="P9" t="str">
        <f t="shared" si="0"/>
        <v>Yes</v>
      </c>
      <c r="Q9">
        <f t="shared" si="1"/>
        <v>59.88</v>
      </c>
      <c r="R9">
        <f t="shared" si="2"/>
        <v>8.7799999999999994</v>
      </c>
      <c r="S9">
        <f t="shared" si="3"/>
        <v>4.24</v>
      </c>
      <c r="T9" t="str">
        <f t="shared" si="4"/>
        <v>Delayed</v>
      </c>
      <c r="U9" t="str">
        <f t="shared" si="5"/>
        <v>High</v>
      </c>
      <c r="V9" t="str">
        <f t="shared" si="6"/>
        <v>Low Risk</v>
      </c>
      <c r="W9" t="str">
        <f t="shared" si="7"/>
        <v>Apr</v>
      </c>
      <c r="X9">
        <f t="shared" si="8"/>
        <v>2025</v>
      </c>
    </row>
    <row r="10" spans="1:24" x14ac:dyDescent="0.35">
      <c r="A10" s="3">
        <v>45693</v>
      </c>
      <c r="B10" t="s">
        <v>68</v>
      </c>
      <c r="C10" t="s">
        <v>69</v>
      </c>
      <c r="D10" t="s">
        <v>70</v>
      </c>
      <c r="E10" t="s">
        <v>54</v>
      </c>
      <c r="F10" t="s">
        <v>27</v>
      </c>
      <c r="G10" t="s">
        <v>71</v>
      </c>
      <c r="H10">
        <v>31.3</v>
      </c>
      <c r="I10">
        <v>4996</v>
      </c>
      <c r="J10">
        <v>33</v>
      </c>
      <c r="K10">
        <v>16.600000000000001</v>
      </c>
      <c r="L10" t="s">
        <v>43</v>
      </c>
      <c r="M10">
        <v>20476.79</v>
      </c>
      <c r="N10">
        <v>6737</v>
      </c>
      <c r="O10" t="s">
        <v>31</v>
      </c>
      <c r="P10" t="str">
        <f t="shared" si="0"/>
        <v>Yes</v>
      </c>
      <c r="Q10">
        <f t="shared" si="1"/>
        <v>159.62</v>
      </c>
      <c r="R10">
        <f t="shared" si="2"/>
        <v>4.0999999999999996</v>
      </c>
      <c r="S10">
        <f t="shared" si="3"/>
        <v>3.04</v>
      </c>
      <c r="T10" t="str">
        <f t="shared" si="4"/>
        <v>Delayed</v>
      </c>
      <c r="U10" t="str">
        <f t="shared" si="5"/>
        <v>Low</v>
      </c>
      <c r="V10" t="str">
        <f t="shared" si="6"/>
        <v>Low Risk</v>
      </c>
      <c r="W10" t="str">
        <f t="shared" si="7"/>
        <v>Feb</v>
      </c>
      <c r="X10">
        <f t="shared" si="8"/>
        <v>2025</v>
      </c>
    </row>
    <row r="11" spans="1:24" x14ac:dyDescent="0.35">
      <c r="A11" s="3">
        <v>45882</v>
      </c>
      <c r="B11" t="s">
        <v>73</v>
      </c>
      <c r="C11" t="s">
        <v>57</v>
      </c>
      <c r="D11" t="s">
        <v>74</v>
      </c>
      <c r="E11" t="s">
        <v>54</v>
      </c>
      <c r="F11" t="s">
        <v>48</v>
      </c>
      <c r="G11" t="s">
        <v>71</v>
      </c>
      <c r="H11">
        <v>46</v>
      </c>
      <c r="I11">
        <v>1137</v>
      </c>
      <c r="J11">
        <v>115</v>
      </c>
      <c r="K11">
        <v>11.5</v>
      </c>
      <c r="L11" t="s">
        <v>49</v>
      </c>
      <c r="M11">
        <v>31147.41</v>
      </c>
      <c r="N11">
        <v>18177</v>
      </c>
      <c r="O11" t="s">
        <v>59</v>
      </c>
      <c r="P11" t="str">
        <f t="shared" si="0"/>
        <v>Yes</v>
      </c>
      <c r="Q11">
        <f t="shared" si="1"/>
        <v>24.72</v>
      </c>
      <c r="R11">
        <f t="shared" si="2"/>
        <v>27.39</v>
      </c>
      <c r="S11">
        <f t="shared" si="3"/>
        <v>1.71</v>
      </c>
      <c r="T11" t="str">
        <f t="shared" si="4"/>
        <v>Delayed</v>
      </c>
      <c r="U11" t="str">
        <f t="shared" si="5"/>
        <v>Medium</v>
      </c>
      <c r="V11" t="str">
        <f t="shared" si="6"/>
        <v>High Risk</v>
      </c>
      <c r="W11" t="str">
        <f t="shared" si="7"/>
        <v>Aug</v>
      </c>
      <c r="X11">
        <f t="shared" si="8"/>
        <v>2025</v>
      </c>
    </row>
    <row r="12" spans="1:24" x14ac:dyDescent="0.35">
      <c r="A12" s="3">
        <v>45951</v>
      </c>
      <c r="B12" t="s">
        <v>76</v>
      </c>
      <c r="C12" t="s">
        <v>69</v>
      </c>
      <c r="D12" t="s">
        <v>77</v>
      </c>
      <c r="E12" t="s">
        <v>55</v>
      </c>
      <c r="F12" t="s">
        <v>48</v>
      </c>
      <c r="G12" t="s">
        <v>71</v>
      </c>
      <c r="H12">
        <v>24.4</v>
      </c>
      <c r="I12">
        <v>988</v>
      </c>
      <c r="J12">
        <v>79</v>
      </c>
      <c r="K12">
        <v>20.5</v>
      </c>
      <c r="L12" t="s">
        <v>78</v>
      </c>
      <c r="M12">
        <v>12956.12</v>
      </c>
      <c r="N12">
        <v>22324</v>
      </c>
      <c r="O12" t="s">
        <v>67</v>
      </c>
      <c r="P12" t="str">
        <f t="shared" si="0"/>
        <v>No</v>
      </c>
      <c r="Q12">
        <f t="shared" si="1"/>
        <v>40.49</v>
      </c>
      <c r="R12">
        <f t="shared" si="2"/>
        <v>13.11</v>
      </c>
      <c r="S12">
        <f t="shared" si="3"/>
        <v>0.57999999999999996</v>
      </c>
      <c r="T12" t="str">
        <f t="shared" si="4"/>
        <v>On Time</v>
      </c>
      <c r="U12" t="str">
        <f t="shared" si="5"/>
        <v>Low</v>
      </c>
      <c r="V12" t="str">
        <f t="shared" si="6"/>
        <v>Low Risk</v>
      </c>
      <c r="W12" t="str">
        <f t="shared" si="7"/>
        <v>Oct</v>
      </c>
      <c r="X12">
        <f t="shared" si="8"/>
        <v>2025</v>
      </c>
    </row>
    <row r="13" spans="1:24" x14ac:dyDescent="0.35">
      <c r="A13" s="3">
        <v>45771</v>
      </c>
      <c r="B13" t="s">
        <v>80</v>
      </c>
      <c r="C13" t="s">
        <v>39</v>
      </c>
      <c r="D13" t="s">
        <v>81</v>
      </c>
      <c r="E13" t="s">
        <v>48</v>
      </c>
      <c r="F13" t="s">
        <v>41</v>
      </c>
      <c r="G13" t="s">
        <v>71</v>
      </c>
      <c r="H13">
        <v>37.200000000000003</v>
      </c>
      <c r="I13">
        <v>4128</v>
      </c>
      <c r="J13">
        <v>71</v>
      </c>
      <c r="K13">
        <v>18.5</v>
      </c>
      <c r="L13" t="s">
        <v>49</v>
      </c>
      <c r="M13">
        <v>21039.21</v>
      </c>
      <c r="N13">
        <v>6190</v>
      </c>
      <c r="O13" t="s">
        <v>44</v>
      </c>
      <c r="P13" t="str">
        <f t="shared" si="0"/>
        <v>Yes</v>
      </c>
      <c r="Q13">
        <f t="shared" si="1"/>
        <v>110.97</v>
      </c>
      <c r="R13">
        <f t="shared" si="2"/>
        <v>5.0999999999999996</v>
      </c>
      <c r="S13">
        <f t="shared" si="3"/>
        <v>3.4</v>
      </c>
      <c r="T13" t="str">
        <f t="shared" si="4"/>
        <v>Delayed</v>
      </c>
      <c r="U13" t="str">
        <f t="shared" si="5"/>
        <v>Low</v>
      </c>
      <c r="V13" t="str">
        <f t="shared" si="6"/>
        <v>High Risk</v>
      </c>
      <c r="W13" t="str">
        <f t="shared" si="7"/>
        <v>Apr</v>
      </c>
      <c r="X13">
        <f t="shared" si="8"/>
        <v>2025</v>
      </c>
    </row>
    <row r="14" spans="1:24" x14ac:dyDescent="0.35">
      <c r="A14" s="3">
        <v>45915</v>
      </c>
      <c r="B14" t="s">
        <v>82</v>
      </c>
      <c r="C14" t="s">
        <v>52</v>
      </c>
      <c r="D14" t="s">
        <v>83</v>
      </c>
      <c r="E14" t="s">
        <v>66</v>
      </c>
      <c r="F14" t="s">
        <v>63</v>
      </c>
      <c r="G14" t="s">
        <v>42</v>
      </c>
      <c r="H14">
        <v>25.6</v>
      </c>
      <c r="I14">
        <v>4240</v>
      </c>
      <c r="J14">
        <v>38</v>
      </c>
      <c r="K14">
        <v>16.7</v>
      </c>
      <c r="L14" t="s">
        <v>30</v>
      </c>
      <c r="M14">
        <v>12857.28</v>
      </c>
      <c r="N14">
        <v>26850</v>
      </c>
      <c r="O14" t="s">
        <v>84</v>
      </c>
      <c r="P14" t="str">
        <f t="shared" si="0"/>
        <v>Yes</v>
      </c>
      <c r="Q14">
        <f t="shared" si="1"/>
        <v>165.63</v>
      </c>
      <c r="R14">
        <f t="shared" si="2"/>
        <v>3.03</v>
      </c>
      <c r="S14">
        <f t="shared" si="3"/>
        <v>0.48</v>
      </c>
      <c r="T14" t="str">
        <f t="shared" si="4"/>
        <v>Delayed</v>
      </c>
      <c r="U14" t="str">
        <f t="shared" si="5"/>
        <v>Low</v>
      </c>
      <c r="V14" t="str">
        <f t="shared" si="6"/>
        <v>Medium Risk</v>
      </c>
      <c r="W14" t="str">
        <f t="shared" si="7"/>
        <v>Sep</v>
      </c>
      <c r="X14">
        <f t="shared" si="8"/>
        <v>2025</v>
      </c>
    </row>
    <row r="15" spans="1:24" x14ac:dyDescent="0.35">
      <c r="A15" s="3">
        <v>45777</v>
      </c>
      <c r="B15" t="s">
        <v>46</v>
      </c>
      <c r="C15" t="s">
        <v>57</v>
      </c>
      <c r="D15" t="s">
        <v>86</v>
      </c>
      <c r="E15" t="s">
        <v>66</v>
      </c>
      <c r="F15" t="s">
        <v>48</v>
      </c>
      <c r="G15" t="s">
        <v>71</v>
      </c>
      <c r="H15">
        <v>39.1</v>
      </c>
      <c r="I15">
        <v>4508</v>
      </c>
      <c r="J15">
        <v>24</v>
      </c>
      <c r="K15">
        <v>16.399999999999999</v>
      </c>
      <c r="L15" t="s">
        <v>30</v>
      </c>
      <c r="M15">
        <v>25018.36</v>
      </c>
      <c r="N15">
        <v>21612</v>
      </c>
      <c r="O15" t="s">
        <v>84</v>
      </c>
      <c r="P15" t="str">
        <f t="shared" si="0"/>
        <v>Yes</v>
      </c>
      <c r="Q15">
        <f t="shared" si="1"/>
        <v>115.29</v>
      </c>
      <c r="R15">
        <f t="shared" si="2"/>
        <v>5.55</v>
      </c>
      <c r="S15">
        <f t="shared" si="3"/>
        <v>1.1599999999999999</v>
      </c>
      <c r="T15" t="str">
        <f t="shared" si="4"/>
        <v>Delayed</v>
      </c>
      <c r="U15" t="str">
        <f t="shared" si="5"/>
        <v>Low</v>
      </c>
      <c r="V15" t="str">
        <f t="shared" si="6"/>
        <v>Medium Risk</v>
      </c>
      <c r="W15" t="str">
        <f t="shared" si="7"/>
        <v>Apr</v>
      </c>
      <c r="X15">
        <f t="shared" si="8"/>
        <v>2025</v>
      </c>
    </row>
    <row r="16" spans="1:24" x14ac:dyDescent="0.35">
      <c r="A16" s="3">
        <v>45737</v>
      </c>
      <c r="B16" t="s">
        <v>87</v>
      </c>
      <c r="C16" t="s">
        <v>57</v>
      </c>
      <c r="D16" t="s">
        <v>88</v>
      </c>
      <c r="E16" t="s">
        <v>28</v>
      </c>
      <c r="F16" t="s">
        <v>54</v>
      </c>
      <c r="G16" t="s">
        <v>42</v>
      </c>
      <c r="H16">
        <v>74.099999999999994</v>
      </c>
      <c r="I16">
        <v>660</v>
      </c>
      <c r="J16">
        <v>111</v>
      </c>
      <c r="K16">
        <v>12.9</v>
      </c>
      <c r="L16" t="s">
        <v>78</v>
      </c>
      <c r="M16">
        <v>48188.32</v>
      </c>
      <c r="N16">
        <v>25325</v>
      </c>
      <c r="O16" t="s">
        <v>31</v>
      </c>
      <c r="P16" t="str">
        <f t="shared" si="0"/>
        <v>No</v>
      </c>
      <c r="Q16">
        <f t="shared" si="1"/>
        <v>8.91</v>
      </c>
      <c r="R16">
        <f t="shared" si="2"/>
        <v>73.010000000000005</v>
      </c>
      <c r="S16">
        <f t="shared" si="3"/>
        <v>1.9</v>
      </c>
      <c r="T16" t="str">
        <f t="shared" si="4"/>
        <v>On Time</v>
      </c>
      <c r="U16" t="str">
        <f t="shared" si="5"/>
        <v>High</v>
      </c>
      <c r="V16" t="str">
        <f t="shared" si="6"/>
        <v>Low Risk</v>
      </c>
      <c r="W16" t="str">
        <f t="shared" si="7"/>
        <v>Mar</v>
      </c>
      <c r="X16">
        <f t="shared" si="8"/>
        <v>2025</v>
      </c>
    </row>
    <row r="17" spans="1:24" x14ac:dyDescent="0.35">
      <c r="A17" s="3">
        <v>45811</v>
      </c>
      <c r="B17" t="s">
        <v>89</v>
      </c>
      <c r="C17" t="s">
        <v>25</v>
      </c>
      <c r="D17" t="s">
        <v>90</v>
      </c>
      <c r="E17" t="s">
        <v>48</v>
      </c>
      <c r="F17" t="s">
        <v>55</v>
      </c>
      <c r="G17" t="s">
        <v>29</v>
      </c>
      <c r="H17">
        <v>71.900000000000006</v>
      </c>
      <c r="I17">
        <v>1853</v>
      </c>
      <c r="J17">
        <v>108</v>
      </c>
      <c r="K17">
        <v>10.6</v>
      </c>
      <c r="L17" t="s">
        <v>30</v>
      </c>
      <c r="M17">
        <v>44327.89</v>
      </c>
      <c r="N17">
        <v>26533</v>
      </c>
      <c r="O17" t="s">
        <v>91</v>
      </c>
      <c r="P17" t="str">
        <f t="shared" si="0"/>
        <v>Yes</v>
      </c>
      <c r="Q17">
        <f t="shared" si="1"/>
        <v>25.77</v>
      </c>
      <c r="R17">
        <f t="shared" si="2"/>
        <v>23.92</v>
      </c>
      <c r="S17">
        <f t="shared" si="3"/>
        <v>1.67</v>
      </c>
      <c r="T17" t="str">
        <f t="shared" si="4"/>
        <v>Delayed</v>
      </c>
      <c r="U17" t="str">
        <f t="shared" si="5"/>
        <v>High</v>
      </c>
      <c r="V17" t="str">
        <f t="shared" si="6"/>
        <v>Medium Risk</v>
      </c>
      <c r="W17" t="str">
        <f t="shared" si="7"/>
        <v>Jun</v>
      </c>
      <c r="X17">
        <f t="shared" si="8"/>
        <v>2025</v>
      </c>
    </row>
    <row r="18" spans="1:24" x14ac:dyDescent="0.35">
      <c r="A18" s="3">
        <v>46007</v>
      </c>
      <c r="B18" t="s">
        <v>92</v>
      </c>
      <c r="C18" t="s">
        <v>57</v>
      </c>
      <c r="D18" t="s">
        <v>93</v>
      </c>
      <c r="E18" t="s">
        <v>27</v>
      </c>
      <c r="F18" t="s">
        <v>55</v>
      </c>
      <c r="G18" t="s">
        <v>35</v>
      </c>
      <c r="H18">
        <v>71.2</v>
      </c>
      <c r="I18">
        <v>3853</v>
      </c>
      <c r="J18">
        <v>68</v>
      </c>
      <c r="K18">
        <v>11</v>
      </c>
      <c r="L18" t="s">
        <v>49</v>
      </c>
      <c r="M18">
        <v>42334.41</v>
      </c>
      <c r="N18">
        <v>19513</v>
      </c>
      <c r="O18" t="s">
        <v>91</v>
      </c>
      <c r="P18" t="str">
        <f t="shared" si="0"/>
        <v>Yes</v>
      </c>
      <c r="Q18">
        <f t="shared" si="1"/>
        <v>54.12</v>
      </c>
      <c r="R18">
        <f t="shared" si="2"/>
        <v>10.99</v>
      </c>
      <c r="S18">
        <f t="shared" si="3"/>
        <v>2.17</v>
      </c>
      <c r="T18" t="str">
        <f t="shared" si="4"/>
        <v>Delayed</v>
      </c>
      <c r="U18" t="str">
        <f t="shared" si="5"/>
        <v>High</v>
      </c>
      <c r="V18" t="str">
        <f t="shared" si="6"/>
        <v>High Risk</v>
      </c>
      <c r="W18" t="str">
        <f t="shared" si="7"/>
        <v>Dec</v>
      </c>
      <c r="X18">
        <f t="shared" si="8"/>
        <v>2025</v>
      </c>
    </row>
    <row r="19" spans="1:24" x14ac:dyDescent="0.35">
      <c r="A19" s="3">
        <v>45658</v>
      </c>
      <c r="B19" t="s">
        <v>94</v>
      </c>
      <c r="C19" t="s">
        <v>95</v>
      </c>
      <c r="D19" t="s">
        <v>96</v>
      </c>
      <c r="E19" t="s">
        <v>48</v>
      </c>
      <c r="F19" t="s">
        <v>28</v>
      </c>
      <c r="G19" t="s">
        <v>42</v>
      </c>
      <c r="H19">
        <v>52.6</v>
      </c>
      <c r="I19">
        <v>2410</v>
      </c>
      <c r="J19">
        <v>72</v>
      </c>
      <c r="K19">
        <v>21.9</v>
      </c>
      <c r="L19" t="s">
        <v>43</v>
      </c>
      <c r="M19">
        <v>31953.96</v>
      </c>
      <c r="N19">
        <v>11626</v>
      </c>
      <c r="O19" t="s">
        <v>59</v>
      </c>
      <c r="P19" t="str">
        <f t="shared" si="0"/>
        <v>Yes</v>
      </c>
      <c r="Q19">
        <f t="shared" si="1"/>
        <v>45.82</v>
      </c>
      <c r="R19">
        <f t="shared" si="2"/>
        <v>13.26</v>
      </c>
      <c r="S19">
        <f t="shared" si="3"/>
        <v>2.75</v>
      </c>
      <c r="T19" t="str">
        <f t="shared" si="4"/>
        <v>Delayed</v>
      </c>
      <c r="U19" t="str">
        <f t="shared" si="5"/>
        <v>Medium</v>
      </c>
      <c r="V19" t="str">
        <f t="shared" si="6"/>
        <v>Low Risk</v>
      </c>
      <c r="W19" t="str">
        <f t="shared" si="7"/>
        <v>Jan</v>
      </c>
      <c r="X19">
        <f t="shared" si="8"/>
        <v>2025</v>
      </c>
    </row>
    <row r="20" spans="1:24" x14ac:dyDescent="0.35">
      <c r="A20" s="3">
        <v>45762</v>
      </c>
      <c r="B20" t="s">
        <v>98</v>
      </c>
      <c r="C20" t="s">
        <v>52</v>
      </c>
      <c r="D20" t="s">
        <v>99</v>
      </c>
      <c r="E20" t="s">
        <v>55</v>
      </c>
      <c r="F20" t="s">
        <v>27</v>
      </c>
      <c r="G20" t="s">
        <v>35</v>
      </c>
      <c r="H20">
        <v>29.5</v>
      </c>
      <c r="I20">
        <v>4222</v>
      </c>
      <c r="J20">
        <v>115</v>
      </c>
      <c r="K20">
        <v>15.1</v>
      </c>
      <c r="L20" t="s">
        <v>30</v>
      </c>
      <c r="M20">
        <v>14811.28</v>
      </c>
      <c r="N20">
        <v>13366</v>
      </c>
      <c r="O20" t="s">
        <v>31</v>
      </c>
      <c r="P20" t="str">
        <f t="shared" si="0"/>
        <v>Yes</v>
      </c>
      <c r="Q20">
        <f t="shared" si="1"/>
        <v>143.12</v>
      </c>
      <c r="R20">
        <f t="shared" si="2"/>
        <v>3.51</v>
      </c>
      <c r="S20">
        <f t="shared" si="3"/>
        <v>1.1100000000000001</v>
      </c>
      <c r="T20" t="str">
        <f t="shared" si="4"/>
        <v>Delayed</v>
      </c>
      <c r="U20" t="str">
        <f t="shared" si="5"/>
        <v>Low</v>
      </c>
      <c r="V20" t="str">
        <f t="shared" si="6"/>
        <v>Medium Risk</v>
      </c>
      <c r="W20" t="str">
        <f t="shared" si="7"/>
        <v>Apr</v>
      </c>
      <c r="X20">
        <f t="shared" si="8"/>
        <v>2025</v>
      </c>
    </row>
    <row r="21" spans="1:24" x14ac:dyDescent="0.35">
      <c r="A21" s="3">
        <v>45828</v>
      </c>
      <c r="B21" t="s">
        <v>100</v>
      </c>
      <c r="C21" t="s">
        <v>52</v>
      </c>
      <c r="D21" t="s">
        <v>101</v>
      </c>
      <c r="E21" t="s">
        <v>63</v>
      </c>
      <c r="F21" t="s">
        <v>28</v>
      </c>
      <c r="G21" t="s">
        <v>71</v>
      </c>
      <c r="H21">
        <v>67.7</v>
      </c>
      <c r="I21">
        <v>1024</v>
      </c>
      <c r="J21">
        <v>81</v>
      </c>
      <c r="K21">
        <v>11.1</v>
      </c>
      <c r="L21" t="s">
        <v>30</v>
      </c>
      <c r="M21">
        <v>31721.32</v>
      </c>
      <c r="N21">
        <v>26288</v>
      </c>
      <c r="O21" t="s">
        <v>36</v>
      </c>
      <c r="P21" t="str">
        <f t="shared" si="0"/>
        <v>Yes</v>
      </c>
      <c r="Q21">
        <f t="shared" si="1"/>
        <v>15.13</v>
      </c>
      <c r="R21">
        <f t="shared" si="2"/>
        <v>30.98</v>
      </c>
      <c r="S21">
        <f t="shared" si="3"/>
        <v>1.21</v>
      </c>
      <c r="T21" t="str">
        <f t="shared" si="4"/>
        <v>Delayed</v>
      </c>
      <c r="U21" t="str">
        <f t="shared" si="5"/>
        <v>High</v>
      </c>
      <c r="V21" t="str">
        <f t="shared" si="6"/>
        <v>Medium Risk</v>
      </c>
      <c r="W21" t="str">
        <f t="shared" si="7"/>
        <v>Jun</v>
      </c>
      <c r="X21">
        <f t="shared" si="8"/>
        <v>2025</v>
      </c>
    </row>
    <row r="22" spans="1:24" x14ac:dyDescent="0.35">
      <c r="A22" s="3">
        <v>46020</v>
      </c>
      <c r="B22" t="s">
        <v>102</v>
      </c>
      <c r="C22" t="s">
        <v>39</v>
      </c>
      <c r="D22" t="s">
        <v>103</v>
      </c>
      <c r="E22" t="s">
        <v>63</v>
      </c>
      <c r="F22" t="s">
        <v>41</v>
      </c>
      <c r="G22" t="s">
        <v>35</v>
      </c>
      <c r="H22">
        <v>74.099999999999994</v>
      </c>
      <c r="I22">
        <v>957</v>
      </c>
      <c r="J22">
        <v>92</v>
      </c>
      <c r="K22">
        <v>22</v>
      </c>
      <c r="L22" t="s">
        <v>78</v>
      </c>
      <c r="M22">
        <v>48622.42</v>
      </c>
      <c r="N22">
        <v>21128</v>
      </c>
      <c r="O22" t="s">
        <v>50</v>
      </c>
      <c r="P22" t="str">
        <f t="shared" si="0"/>
        <v>No</v>
      </c>
      <c r="Q22">
        <f t="shared" si="1"/>
        <v>12.91</v>
      </c>
      <c r="R22">
        <f t="shared" si="2"/>
        <v>50.81</v>
      </c>
      <c r="S22">
        <f t="shared" si="3"/>
        <v>2.2999999999999998</v>
      </c>
      <c r="T22" t="str">
        <f t="shared" si="4"/>
        <v>On Time</v>
      </c>
      <c r="U22" t="str">
        <f t="shared" si="5"/>
        <v>High</v>
      </c>
      <c r="V22" t="str">
        <f t="shared" si="6"/>
        <v>Low Risk</v>
      </c>
      <c r="W22" t="str">
        <f t="shared" si="7"/>
        <v>Dec</v>
      </c>
      <c r="X22">
        <f t="shared" si="8"/>
        <v>2025</v>
      </c>
    </row>
    <row r="23" spans="1:24" x14ac:dyDescent="0.35">
      <c r="A23" s="3">
        <v>45899</v>
      </c>
      <c r="B23" t="s">
        <v>104</v>
      </c>
      <c r="C23" t="s">
        <v>57</v>
      </c>
      <c r="D23" t="s">
        <v>105</v>
      </c>
      <c r="E23" t="s">
        <v>28</v>
      </c>
      <c r="F23" t="s">
        <v>63</v>
      </c>
      <c r="G23" t="s">
        <v>71</v>
      </c>
      <c r="H23">
        <v>33.799999999999997</v>
      </c>
      <c r="I23">
        <v>4817</v>
      </c>
      <c r="J23">
        <v>103</v>
      </c>
      <c r="K23">
        <v>14.5</v>
      </c>
      <c r="L23" t="s">
        <v>43</v>
      </c>
      <c r="M23">
        <v>22345.46</v>
      </c>
      <c r="N23">
        <v>27814</v>
      </c>
      <c r="O23" t="s">
        <v>50</v>
      </c>
      <c r="P23" t="str">
        <f t="shared" si="0"/>
        <v>Yes</v>
      </c>
      <c r="Q23">
        <f t="shared" si="1"/>
        <v>142.51</v>
      </c>
      <c r="R23">
        <f t="shared" si="2"/>
        <v>4.6399999999999997</v>
      </c>
      <c r="S23">
        <f t="shared" si="3"/>
        <v>0.8</v>
      </c>
      <c r="T23" t="str">
        <f t="shared" si="4"/>
        <v>Delayed</v>
      </c>
      <c r="U23" t="str">
        <f t="shared" si="5"/>
        <v>Low</v>
      </c>
      <c r="V23" t="str">
        <f t="shared" si="6"/>
        <v>Low Risk</v>
      </c>
      <c r="W23" t="str">
        <f t="shared" si="7"/>
        <v>Aug</v>
      </c>
      <c r="X23">
        <f t="shared" si="8"/>
        <v>2025</v>
      </c>
    </row>
    <row r="24" spans="1:24" x14ac:dyDescent="0.35">
      <c r="A24" s="3">
        <v>45732</v>
      </c>
      <c r="B24" t="s">
        <v>106</v>
      </c>
      <c r="C24" t="s">
        <v>95</v>
      </c>
      <c r="D24" t="s">
        <v>107</v>
      </c>
      <c r="E24" t="s">
        <v>41</v>
      </c>
      <c r="F24" t="s">
        <v>66</v>
      </c>
      <c r="G24" t="s">
        <v>29</v>
      </c>
      <c r="H24">
        <v>73</v>
      </c>
      <c r="I24">
        <v>4647</v>
      </c>
      <c r="J24">
        <v>22</v>
      </c>
      <c r="K24">
        <v>14.1</v>
      </c>
      <c r="L24" t="s">
        <v>30</v>
      </c>
      <c r="M24">
        <v>46677.34</v>
      </c>
      <c r="N24">
        <v>23579</v>
      </c>
      <c r="O24" t="s">
        <v>50</v>
      </c>
      <c r="P24" t="str">
        <f t="shared" si="0"/>
        <v>Yes</v>
      </c>
      <c r="Q24">
        <f t="shared" si="1"/>
        <v>63.66</v>
      </c>
      <c r="R24">
        <f t="shared" si="2"/>
        <v>10.039999999999999</v>
      </c>
      <c r="S24">
        <f t="shared" si="3"/>
        <v>1.98</v>
      </c>
      <c r="T24" t="str">
        <f t="shared" si="4"/>
        <v>Delayed</v>
      </c>
      <c r="U24" t="str">
        <f t="shared" si="5"/>
        <v>High</v>
      </c>
      <c r="V24" t="str">
        <f t="shared" si="6"/>
        <v>Medium Risk</v>
      </c>
      <c r="W24" t="str">
        <f t="shared" si="7"/>
        <v>Mar</v>
      </c>
      <c r="X24">
        <f t="shared" si="8"/>
        <v>2025</v>
      </c>
    </row>
    <row r="25" spans="1:24" x14ac:dyDescent="0.35">
      <c r="A25" s="3">
        <v>45871</v>
      </c>
      <c r="B25" t="s">
        <v>108</v>
      </c>
      <c r="C25" t="s">
        <v>109</v>
      </c>
      <c r="D25" t="s">
        <v>110</v>
      </c>
      <c r="E25" t="s">
        <v>66</v>
      </c>
      <c r="F25" t="s">
        <v>28</v>
      </c>
      <c r="G25" t="s">
        <v>29</v>
      </c>
      <c r="H25">
        <v>43.2</v>
      </c>
      <c r="I25">
        <v>792</v>
      </c>
      <c r="J25">
        <v>45</v>
      </c>
      <c r="K25">
        <v>13.1</v>
      </c>
      <c r="L25" t="s">
        <v>30</v>
      </c>
      <c r="M25">
        <v>24599.38</v>
      </c>
      <c r="N25">
        <v>7575</v>
      </c>
      <c r="O25" t="s">
        <v>36</v>
      </c>
      <c r="P25" t="str">
        <f t="shared" si="0"/>
        <v>Yes</v>
      </c>
      <c r="Q25">
        <f t="shared" si="1"/>
        <v>18.329999999999998</v>
      </c>
      <c r="R25">
        <f t="shared" si="2"/>
        <v>31.06</v>
      </c>
      <c r="S25">
        <f t="shared" si="3"/>
        <v>3.25</v>
      </c>
      <c r="T25" t="str">
        <f t="shared" si="4"/>
        <v>Delayed</v>
      </c>
      <c r="U25" t="str">
        <f t="shared" si="5"/>
        <v>Medium</v>
      </c>
      <c r="V25" t="str">
        <f t="shared" si="6"/>
        <v>Medium Risk</v>
      </c>
      <c r="W25" t="str">
        <f t="shared" si="7"/>
        <v>Aug</v>
      </c>
      <c r="X25">
        <f t="shared" si="8"/>
        <v>2025</v>
      </c>
    </row>
    <row r="26" spans="1:24" x14ac:dyDescent="0.35">
      <c r="A26" s="3">
        <v>46009</v>
      </c>
      <c r="B26" t="s">
        <v>111</v>
      </c>
      <c r="C26" t="s">
        <v>39</v>
      </c>
      <c r="D26" t="s">
        <v>112</v>
      </c>
      <c r="E26" t="s">
        <v>54</v>
      </c>
      <c r="F26" t="s">
        <v>41</v>
      </c>
      <c r="G26" t="s">
        <v>71</v>
      </c>
      <c r="H26">
        <v>31.4</v>
      </c>
      <c r="I26">
        <v>3989</v>
      </c>
      <c r="J26">
        <v>105</v>
      </c>
      <c r="K26">
        <v>10.8</v>
      </c>
      <c r="L26" t="s">
        <v>30</v>
      </c>
      <c r="M26">
        <v>16128.65</v>
      </c>
      <c r="N26">
        <v>17097</v>
      </c>
      <c r="O26" t="s">
        <v>67</v>
      </c>
      <c r="P26" t="str">
        <f t="shared" si="0"/>
        <v>Yes</v>
      </c>
      <c r="Q26">
        <f t="shared" si="1"/>
        <v>127.04</v>
      </c>
      <c r="R26">
        <f t="shared" si="2"/>
        <v>4.04</v>
      </c>
      <c r="S26">
        <f t="shared" si="3"/>
        <v>0.94</v>
      </c>
      <c r="T26" t="str">
        <f t="shared" si="4"/>
        <v>Delayed</v>
      </c>
      <c r="U26" t="str">
        <f t="shared" si="5"/>
        <v>Low</v>
      </c>
      <c r="V26" t="str">
        <f t="shared" si="6"/>
        <v>Medium Risk</v>
      </c>
      <c r="W26" t="str">
        <f t="shared" si="7"/>
        <v>Dec</v>
      </c>
      <c r="X26">
        <f t="shared" si="8"/>
        <v>2025</v>
      </c>
    </row>
    <row r="27" spans="1:24" x14ac:dyDescent="0.35">
      <c r="A27" s="3">
        <v>45708</v>
      </c>
      <c r="B27" t="s">
        <v>113</v>
      </c>
      <c r="C27" t="s">
        <v>25</v>
      </c>
      <c r="D27" t="s">
        <v>114</v>
      </c>
      <c r="E27" t="s">
        <v>66</v>
      </c>
      <c r="F27" t="s">
        <v>55</v>
      </c>
      <c r="G27" t="s">
        <v>42</v>
      </c>
      <c r="H27">
        <v>45</v>
      </c>
      <c r="I27">
        <v>907</v>
      </c>
      <c r="J27">
        <v>43</v>
      </c>
      <c r="K27">
        <v>16.899999999999999</v>
      </c>
      <c r="L27" t="s">
        <v>49</v>
      </c>
      <c r="M27">
        <v>31335.279999999999</v>
      </c>
      <c r="N27">
        <v>16219</v>
      </c>
      <c r="O27" t="s">
        <v>67</v>
      </c>
      <c r="P27" t="str">
        <f t="shared" si="0"/>
        <v>Yes</v>
      </c>
      <c r="Q27">
        <f t="shared" si="1"/>
        <v>20.16</v>
      </c>
      <c r="R27">
        <f t="shared" si="2"/>
        <v>34.549999999999997</v>
      </c>
      <c r="S27">
        <f t="shared" si="3"/>
        <v>1.93</v>
      </c>
      <c r="T27" t="str">
        <f t="shared" si="4"/>
        <v>Delayed</v>
      </c>
      <c r="U27" t="str">
        <f t="shared" si="5"/>
        <v>Medium</v>
      </c>
      <c r="V27" t="str">
        <f t="shared" si="6"/>
        <v>High Risk</v>
      </c>
      <c r="W27" t="str">
        <f t="shared" si="7"/>
        <v>Feb</v>
      </c>
      <c r="X27">
        <f t="shared" si="8"/>
        <v>2025</v>
      </c>
    </row>
    <row r="28" spans="1:24" x14ac:dyDescent="0.35">
      <c r="A28" s="3">
        <v>45722</v>
      </c>
      <c r="B28" t="s">
        <v>115</v>
      </c>
      <c r="C28" t="s">
        <v>52</v>
      </c>
      <c r="D28" t="s">
        <v>116</v>
      </c>
      <c r="E28" t="s">
        <v>66</v>
      </c>
      <c r="F28" t="s">
        <v>55</v>
      </c>
      <c r="G28" t="s">
        <v>29</v>
      </c>
      <c r="H28">
        <v>23.1</v>
      </c>
      <c r="I28">
        <v>1410</v>
      </c>
      <c r="J28">
        <v>43</v>
      </c>
      <c r="K28">
        <v>11.3</v>
      </c>
      <c r="L28" t="s">
        <v>49</v>
      </c>
      <c r="M28">
        <v>12743.47</v>
      </c>
      <c r="N28">
        <v>27653</v>
      </c>
      <c r="O28" t="s">
        <v>31</v>
      </c>
      <c r="P28" t="str">
        <f t="shared" si="0"/>
        <v>Yes</v>
      </c>
      <c r="Q28">
        <f t="shared" si="1"/>
        <v>61.04</v>
      </c>
      <c r="R28">
        <f t="shared" si="2"/>
        <v>9.0399999999999991</v>
      </c>
      <c r="S28">
        <f t="shared" si="3"/>
        <v>0.46</v>
      </c>
      <c r="T28" t="str">
        <f t="shared" si="4"/>
        <v>Delayed</v>
      </c>
      <c r="U28" t="str">
        <f t="shared" si="5"/>
        <v>Low</v>
      </c>
      <c r="V28" t="str">
        <f t="shared" si="6"/>
        <v>High Risk</v>
      </c>
      <c r="W28" t="str">
        <f t="shared" si="7"/>
        <v>Mar</v>
      </c>
      <c r="X28">
        <f t="shared" si="8"/>
        <v>2025</v>
      </c>
    </row>
    <row r="29" spans="1:24" x14ac:dyDescent="0.35">
      <c r="A29" s="3">
        <v>45820</v>
      </c>
      <c r="B29" t="s">
        <v>100</v>
      </c>
      <c r="C29" t="s">
        <v>109</v>
      </c>
      <c r="D29" t="s">
        <v>117</v>
      </c>
      <c r="E29" t="s">
        <v>66</v>
      </c>
      <c r="F29" t="s">
        <v>28</v>
      </c>
      <c r="G29" t="s">
        <v>29</v>
      </c>
      <c r="H29">
        <v>45.9</v>
      </c>
      <c r="I29">
        <v>1703</v>
      </c>
      <c r="J29">
        <v>104</v>
      </c>
      <c r="K29">
        <v>22</v>
      </c>
      <c r="L29" t="s">
        <v>78</v>
      </c>
      <c r="M29">
        <v>21870.09</v>
      </c>
      <c r="N29">
        <v>9185</v>
      </c>
      <c r="O29" t="s">
        <v>31</v>
      </c>
      <c r="P29" t="str">
        <f t="shared" si="0"/>
        <v>No</v>
      </c>
      <c r="Q29">
        <f t="shared" si="1"/>
        <v>37.1</v>
      </c>
      <c r="R29">
        <f t="shared" si="2"/>
        <v>12.84</v>
      </c>
      <c r="S29">
        <f t="shared" si="3"/>
        <v>2.38</v>
      </c>
      <c r="T29" t="str">
        <f t="shared" si="4"/>
        <v>On Time</v>
      </c>
      <c r="U29" t="str">
        <f t="shared" si="5"/>
        <v>Medium</v>
      </c>
      <c r="V29" t="str">
        <f t="shared" si="6"/>
        <v>Low Risk</v>
      </c>
      <c r="W29" t="str">
        <f t="shared" si="7"/>
        <v>Jun</v>
      </c>
      <c r="X29">
        <f t="shared" si="8"/>
        <v>2025</v>
      </c>
    </row>
    <row r="30" spans="1:24" x14ac:dyDescent="0.35">
      <c r="A30" s="3">
        <v>45676</v>
      </c>
      <c r="B30" t="s">
        <v>118</v>
      </c>
      <c r="C30" t="s">
        <v>109</v>
      </c>
      <c r="D30" t="s">
        <v>119</v>
      </c>
      <c r="E30" t="s">
        <v>27</v>
      </c>
      <c r="F30" t="s">
        <v>54</v>
      </c>
      <c r="G30" t="s">
        <v>71</v>
      </c>
      <c r="H30">
        <v>54.8</v>
      </c>
      <c r="I30">
        <v>2388</v>
      </c>
      <c r="J30">
        <v>70</v>
      </c>
      <c r="K30">
        <v>13.9</v>
      </c>
      <c r="L30" t="s">
        <v>43</v>
      </c>
      <c r="M30">
        <v>30431.15</v>
      </c>
      <c r="N30">
        <v>14979</v>
      </c>
      <c r="O30" t="s">
        <v>67</v>
      </c>
      <c r="P30" t="str">
        <f t="shared" si="0"/>
        <v>Yes</v>
      </c>
      <c r="Q30">
        <f t="shared" si="1"/>
        <v>43.58</v>
      </c>
      <c r="R30">
        <f t="shared" si="2"/>
        <v>12.74</v>
      </c>
      <c r="S30">
        <f t="shared" si="3"/>
        <v>2.0299999999999998</v>
      </c>
      <c r="T30" t="str">
        <f t="shared" si="4"/>
        <v>Delayed</v>
      </c>
      <c r="U30" t="str">
        <f t="shared" si="5"/>
        <v>Medium</v>
      </c>
      <c r="V30" t="str">
        <f t="shared" si="6"/>
        <v>Low Risk</v>
      </c>
      <c r="W30" t="str">
        <f t="shared" si="7"/>
        <v>Jan</v>
      </c>
      <c r="X30">
        <f t="shared" si="8"/>
        <v>2025</v>
      </c>
    </row>
    <row r="31" spans="1:24" x14ac:dyDescent="0.35">
      <c r="A31" s="3">
        <v>45717</v>
      </c>
      <c r="B31" t="s">
        <v>120</v>
      </c>
      <c r="C31" t="s">
        <v>109</v>
      </c>
      <c r="D31" t="s">
        <v>121</v>
      </c>
      <c r="E31" t="s">
        <v>41</v>
      </c>
      <c r="F31" t="s">
        <v>54</v>
      </c>
      <c r="G31" t="s">
        <v>29</v>
      </c>
      <c r="H31">
        <v>43.8</v>
      </c>
      <c r="I31">
        <v>2060</v>
      </c>
      <c r="J31">
        <v>54</v>
      </c>
      <c r="K31">
        <v>14.4</v>
      </c>
      <c r="L31" t="s">
        <v>30</v>
      </c>
      <c r="M31">
        <v>21864.77</v>
      </c>
      <c r="N31">
        <v>5760</v>
      </c>
      <c r="O31" t="s">
        <v>84</v>
      </c>
      <c r="P31" t="str">
        <f t="shared" si="0"/>
        <v>Yes</v>
      </c>
      <c r="Q31">
        <f t="shared" si="1"/>
        <v>47.03</v>
      </c>
      <c r="R31">
        <f t="shared" si="2"/>
        <v>10.61</v>
      </c>
      <c r="S31">
        <f t="shared" si="3"/>
        <v>3.8</v>
      </c>
      <c r="T31" t="str">
        <f t="shared" si="4"/>
        <v>Delayed</v>
      </c>
      <c r="U31" t="str">
        <f t="shared" si="5"/>
        <v>Medium</v>
      </c>
      <c r="V31" t="str">
        <f t="shared" si="6"/>
        <v>Medium Risk</v>
      </c>
      <c r="W31" t="str">
        <f t="shared" si="7"/>
        <v>Mar</v>
      </c>
      <c r="X31">
        <f t="shared" si="8"/>
        <v>2025</v>
      </c>
    </row>
    <row r="32" spans="1:24" x14ac:dyDescent="0.35">
      <c r="A32" s="3">
        <v>45980</v>
      </c>
      <c r="B32" t="s">
        <v>106</v>
      </c>
      <c r="C32" t="s">
        <v>109</v>
      </c>
      <c r="D32" t="s">
        <v>122</v>
      </c>
      <c r="E32" t="s">
        <v>54</v>
      </c>
      <c r="F32" t="s">
        <v>41</v>
      </c>
      <c r="G32" t="s">
        <v>71</v>
      </c>
      <c r="H32">
        <v>75.400000000000006</v>
      </c>
      <c r="I32">
        <v>3371</v>
      </c>
      <c r="J32">
        <v>95</v>
      </c>
      <c r="K32">
        <v>21.8</v>
      </c>
      <c r="L32" t="s">
        <v>43</v>
      </c>
      <c r="M32">
        <v>47336.1</v>
      </c>
      <c r="N32">
        <v>24957</v>
      </c>
      <c r="O32" t="s">
        <v>36</v>
      </c>
      <c r="P32" t="str">
        <f t="shared" si="0"/>
        <v>Yes</v>
      </c>
      <c r="Q32">
        <f t="shared" si="1"/>
        <v>44.71</v>
      </c>
      <c r="R32">
        <f t="shared" si="2"/>
        <v>14.04</v>
      </c>
      <c r="S32">
        <f t="shared" si="3"/>
        <v>1.9</v>
      </c>
      <c r="T32" t="str">
        <f t="shared" si="4"/>
        <v>Delayed</v>
      </c>
      <c r="U32" t="str">
        <f t="shared" si="5"/>
        <v>High</v>
      </c>
      <c r="V32" t="str">
        <f t="shared" si="6"/>
        <v>Low Risk</v>
      </c>
      <c r="W32" t="str">
        <f t="shared" si="7"/>
        <v>Nov</v>
      </c>
      <c r="X32">
        <f t="shared" si="8"/>
        <v>2025</v>
      </c>
    </row>
    <row r="33" spans="1:24" x14ac:dyDescent="0.35">
      <c r="A33" s="3">
        <v>46016</v>
      </c>
      <c r="B33" t="s">
        <v>123</v>
      </c>
      <c r="C33" t="s">
        <v>95</v>
      </c>
      <c r="D33" t="s">
        <v>124</v>
      </c>
      <c r="E33" t="s">
        <v>55</v>
      </c>
      <c r="F33" t="s">
        <v>28</v>
      </c>
      <c r="G33" t="s">
        <v>29</v>
      </c>
      <c r="H33">
        <v>55.1</v>
      </c>
      <c r="I33">
        <v>4954</v>
      </c>
      <c r="J33">
        <v>60</v>
      </c>
      <c r="K33">
        <v>12.1</v>
      </c>
      <c r="L33" t="s">
        <v>30</v>
      </c>
      <c r="M33">
        <v>32882.28</v>
      </c>
      <c r="N33">
        <v>27860</v>
      </c>
      <c r="O33" t="s">
        <v>44</v>
      </c>
      <c r="P33" t="str">
        <f t="shared" si="0"/>
        <v>Yes</v>
      </c>
      <c r="Q33">
        <f t="shared" si="1"/>
        <v>89.91</v>
      </c>
      <c r="R33">
        <f t="shared" si="2"/>
        <v>6.64</v>
      </c>
      <c r="S33">
        <f t="shared" si="3"/>
        <v>1.18</v>
      </c>
      <c r="T33" t="str">
        <f t="shared" si="4"/>
        <v>Delayed</v>
      </c>
      <c r="U33" t="str">
        <f t="shared" si="5"/>
        <v>Medium</v>
      </c>
      <c r="V33" t="str">
        <f t="shared" si="6"/>
        <v>Medium Risk</v>
      </c>
      <c r="W33" t="str">
        <f t="shared" si="7"/>
        <v>Dec</v>
      </c>
      <c r="X33">
        <f t="shared" si="8"/>
        <v>2025</v>
      </c>
    </row>
    <row r="34" spans="1:24" x14ac:dyDescent="0.35">
      <c r="A34" s="3">
        <v>45756</v>
      </c>
      <c r="B34" t="s">
        <v>125</v>
      </c>
      <c r="C34" t="s">
        <v>57</v>
      </c>
      <c r="D34" t="s">
        <v>126</v>
      </c>
      <c r="E34" t="s">
        <v>27</v>
      </c>
      <c r="F34" t="s">
        <v>28</v>
      </c>
      <c r="G34" t="s">
        <v>42</v>
      </c>
      <c r="H34">
        <v>33.5</v>
      </c>
      <c r="I34">
        <v>2940</v>
      </c>
      <c r="J34">
        <v>110</v>
      </c>
      <c r="K34">
        <v>10.4</v>
      </c>
      <c r="L34" t="s">
        <v>49</v>
      </c>
      <c r="M34">
        <v>16857.36</v>
      </c>
      <c r="N34">
        <v>11123</v>
      </c>
      <c r="O34" t="s">
        <v>50</v>
      </c>
      <c r="P34" t="str">
        <f t="shared" si="0"/>
        <v>Yes</v>
      </c>
      <c r="Q34">
        <f t="shared" si="1"/>
        <v>87.76</v>
      </c>
      <c r="R34">
        <f t="shared" si="2"/>
        <v>5.73</v>
      </c>
      <c r="S34">
        <f t="shared" si="3"/>
        <v>1.52</v>
      </c>
      <c r="T34" t="str">
        <f t="shared" si="4"/>
        <v>Delayed</v>
      </c>
      <c r="U34" t="str">
        <f t="shared" si="5"/>
        <v>Low</v>
      </c>
      <c r="V34" t="str">
        <f t="shared" si="6"/>
        <v>High Risk</v>
      </c>
      <c r="W34" t="str">
        <f t="shared" si="7"/>
        <v>Apr</v>
      </c>
      <c r="X34">
        <f t="shared" si="8"/>
        <v>2025</v>
      </c>
    </row>
    <row r="35" spans="1:24" x14ac:dyDescent="0.35">
      <c r="A35" s="3">
        <v>45764</v>
      </c>
      <c r="B35" t="s">
        <v>127</v>
      </c>
      <c r="C35" t="s">
        <v>52</v>
      </c>
      <c r="D35" t="s">
        <v>128</v>
      </c>
      <c r="E35" t="s">
        <v>54</v>
      </c>
      <c r="F35" t="s">
        <v>55</v>
      </c>
      <c r="G35" t="s">
        <v>29</v>
      </c>
      <c r="H35">
        <v>51.2</v>
      </c>
      <c r="I35">
        <v>986</v>
      </c>
      <c r="J35">
        <v>88</v>
      </c>
      <c r="K35">
        <v>18.7</v>
      </c>
      <c r="L35" t="s">
        <v>30</v>
      </c>
      <c r="M35">
        <v>31511.06</v>
      </c>
      <c r="N35">
        <v>14930</v>
      </c>
      <c r="O35" t="s">
        <v>84</v>
      </c>
      <c r="P35" t="str">
        <f t="shared" si="0"/>
        <v>Yes</v>
      </c>
      <c r="Q35">
        <f t="shared" si="1"/>
        <v>19.260000000000002</v>
      </c>
      <c r="R35">
        <f t="shared" si="2"/>
        <v>31.96</v>
      </c>
      <c r="S35">
        <f t="shared" si="3"/>
        <v>2.11</v>
      </c>
      <c r="T35" t="str">
        <f t="shared" si="4"/>
        <v>Delayed</v>
      </c>
      <c r="U35" t="str">
        <f t="shared" si="5"/>
        <v>Medium</v>
      </c>
      <c r="V35" t="str">
        <f t="shared" si="6"/>
        <v>Medium Risk</v>
      </c>
      <c r="W35" t="str">
        <f t="shared" si="7"/>
        <v>Apr</v>
      </c>
      <c r="X35">
        <f t="shared" si="8"/>
        <v>2025</v>
      </c>
    </row>
    <row r="36" spans="1:24" x14ac:dyDescent="0.35">
      <c r="A36" s="3">
        <v>45750</v>
      </c>
      <c r="B36" t="s">
        <v>129</v>
      </c>
      <c r="C36" t="s">
        <v>130</v>
      </c>
      <c r="D36" t="s">
        <v>131</v>
      </c>
      <c r="E36" t="s">
        <v>28</v>
      </c>
      <c r="F36" t="s">
        <v>27</v>
      </c>
      <c r="G36" t="s">
        <v>42</v>
      </c>
      <c r="H36">
        <v>62.3</v>
      </c>
      <c r="I36">
        <v>1437</v>
      </c>
      <c r="J36">
        <v>97</v>
      </c>
      <c r="K36">
        <v>17.3</v>
      </c>
      <c r="L36" t="s">
        <v>78</v>
      </c>
      <c r="M36">
        <v>30497.23</v>
      </c>
      <c r="N36">
        <v>7769</v>
      </c>
      <c r="O36" t="s">
        <v>36</v>
      </c>
      <c r="P36" t="str">
        <f t="shared" si="0"/>
        <v>No</v>
      </c>
      <c r="Q36">
        <f t="shared" si="1"/>
        <v>23.07</v>
      </c>
      <c r="R36">
        <f t="shared" si="2"/>
        <v>21.22</v>
      </c>
      <c r="S36">
        <f t="shared" si="3"/>
        <v>3.93</v>
      </c>
      <c r="T36" t="str">
        <f t="shared" si="4"/>
        <v>On Time</v>
      </c>
      <c r="U36" t="str">
        <f t="shared" si="5"/>
        <v>High</v>
      </c>
      <c r="V36" t="str">
        <f t="shared" si="6"/>
        <v>Low Risk</v>
      </c>
      <c r="W36" t="str">
        <f t="shared" si="7"/>
        <v>Apr</v>
      </c>
      <c r="X36">
        <f t="shared" si="8"/>
        <v>2025</v>
      </c>
    </row>
    <row r="37" spans="1:24" x14ac:dyDescent="0.35">
      <c r="A37" s="3">
        <v>45725</v>
      </c>
      <c r="B37" t="s">
        <v>104</v>
      </c>
      <c r="C37" t="s">
        <v>52</v>
      </c>
      <c r="D37" t="s">
        <v>132</v>
      </c>
      <c r="E37" t="s">
        <v>54</v>
      </c>
      <c r="F37" t="s">
        <v>48</v>
      </c>
      <c r="G37" t="s">
        <v>42</v>
      </c>
      <c r="H37">
        <v>41.7</v>
      </c>
      <c r="I37">
        <v>4485</v>
      </c>
      <c r="J37">
        <v>42</v>
      </c>
      <c r="K37">
        <v>11.9</v>
      </c>
      <c r="L37" t="s">
        <v>49</v>
      </c>
      <c r="M37">
        <v>19504.669999999998</v>
      </c>
      <c r="N37">
        <v>20533</v>
      </c>
      <c r="O37" t="s">
        <v>50</v>
      </c>
      <c r="P37" t="str">
        <f t="shared" si="0"/>
        <v>Yes</v>
      </c>
      <c r="Q37">
        <f t="shared" si="1"/>
        <v>107.55</v>
      </c>
      <c r="R37">
        <f t="shared" si="2"/>
        <v>4.3499999999999996</v>
      </c>
      <c r="S37">
        <f t="shared" si="3"/>
        <v>0.95</v>
      </c>
      <c r="T37" t="str">
        <f t="shared" si="4"/>
        <v>Delayed</v>
      </c>
      <c r="U37" t="str">
        <f t="shared" si="5"/>
        <v>Medium</v>
      </c>
      <c r="V37" t="str">
        <f t="shared" si="6"/>
        <v>High Risk</v>
      </c>
      <c r="W37" t="str">
        <f t="shared" si="7"/>
        <v>Mar</v>
      </c>
      <c r="X37">
        <f t="shared" si="8"/>
        <v>2025</v>
      </c>
    </row>
    <row r="38" spans="1:24" x14ac:dyDescent="0.35">
      <c r="A38" s="3">
        <v>45723</v>
      </c>
      <c r="B38" t="s">
        <v>133</v>
      </c>
      <c r="C38" t="s">
        <v>25</v>
      </c>
      <c r="D38" t="s">
        <v>134</v>
      </c>
      <c r="E38" t="s">
        <v>41</v>
      </c>
      <c r="F38" t="s">
        <v>54</v>
      </c>
      <c r="G38" t="s">
        <v>42</v>
      </c>
      <c r="H38">
        <v>23.3</v>
      </c>
      <c r="I38">
        <v>3630</v>
      </c>
      <c r="J38">
        <v>105</v>
      </c>
      <c r="K38">
        <v>17.2</v>
      </c>
      <c r="L38" t="s">
        <v>30</v>
      </c>
      <c r="M38">
        <v>11368.15</v>
      </c>
      <c r="N38">
        <v>22520</v>
      </c>
      <c r="O38" t="s">
        <v>31</v>
      </c>
      <c r="P38" t="str">
        <f t="shared" si="0"/>
        <v>Yes</v>
      </c>
      <c r="Q38">
        <f t="shared" si="1"/>
        <v>155.79</v>
      </c>
      <c r="R38">
        <f t="shared" si="2"/>
        <v>3.13</v>
      </c>
      <c r="S38">
        <f t="shared" si="3"/>
        <v>0.5</v>
      </c>
      <c r="T38" t="str">
        <f t="shared" si="4"/>
        <v>Delayed</v>
      </c>
      <c r="U38" t="str">
        <f t="shared" si="5"/>
        <v>Low</v>
      </c>
      <c r="V38" t="str">
        <f t="shared" si="6"/>
        <v>Medium Risk</v>
      </c>
      <c r="W38" t="str">
        <f t="shared" si="7"/>
        <v>Mar</v>
      </c>
      <c r="X38">
        <f t="shared" si="8"/>
        <v>2025</v>
      </c>
    </row>
    <row r="39" spans="1:24" x14ac:dyDescent="0.35">
      <c r="A39" s="3">
        <v>45996</v>
      </c>
      <c r="B39" t="s">
        <v>76</v>
      </c>
      <c r="C39" t="s">
        <v>52</v>
      </c>
      <c r="D39" t="s">
        <v>135</v>
      </c>
      <c r="E39" t="s">
        <v>27</v>
      </c>
      <c r="F39" t="s">
        <v>55</v>
      </c>
      <c r="G39" t="s">
        <v>71</v>
      </c>
      <c r="H39">
        <v>40</v>
      </c>
      <c r="I39">
        <v>1663</v>
      </c>
      <c r="J39">
        <v>64</v>
      </c>
      <c r="K39">
        <v>11.3</v>
      </c>
      <c r="L39" t="s">
        <v>30</v>
      </c>
      <c r="M39">
        <v>26741.360000000001</v>
      </c>
      <c r="N39">
        <v>18020</v>
      </c>
      <c r="O39" t="s">
        <v>44</v>
      </c>
      <c r="P39" t="str">
        <f t="shared" si="0"/>
        <v>Yes</v>
      </c>
      <c r="Q39">
        <f t="shared" si="1"/>
        <v>41.58</v>
      </c>
      <c r="R39">
        <f t="shared" si="2"/>
        <v>16.079999999999998</v>
      </c>
      <c r="S39">
        <f t="shared" si="3"/>
        <v>1.48</v>
      </c>
      <c r="T39" t="str">
        <f t="shared" si="4"/>
        <v>Delayed</v>
      </c>
      <c r="U39" t="str">
        <f t="shared" si="5"/>
        <v>Medium</v>
      </c>
      <c r="V39" t="str">
        <f t="shared" si="6"/>
        <v>Medium Risk</v>
      </c>
      <c r="W39" t="str">
        <f t="shared" si="7"/>
        <v>Dec</v>
      </c>
      <c r="X39">
        <f t="shared" si="8"/>
        <v>2025</v>
      </c>
    </row>
    <row r="40" spans="1:24" x14ac:dyDescent="0.35">
      <c r="A40" s="3">
        <v>45980</v>
      </c>
      <c r="B40" t="s">
        <v>136</v>
      </c>
      <c r="C40" t="s">
        <v>57</v>
      </c>
      <c r="D40" t="s">
        <v>137</v>
      </c>
      <c r="E40" t="s">
        <v>54</v>
      </c>
      <c r="F40" t="s">
        <v>28</v>
      </c>
      <c r="G40" t="s">
        <v>42</v>
      </c>
      <c r="H40">
        <v>55</v>
      </c>
      <c r="I40">
        <v>1685</v>
      </c>
      <c r="J40">
        <v>81</v>
      </c>
      <c r="K40">
        <v>18.2</v>
      </c>
      <c r="L40" t="s">
        <v>78</v>
      </c>
      <c r="M40">
        <v>26464.17</v>
      </c>
      <c r="N40">
        <v>17168</v>
      </c>
      <c r="O40" t="s">
        <v>36</v>
      </c>
      <c r="P40" t="str">
        <f t="shared" si="0"/>
        <v>No</v>
      </c>
      <c r="Q40">
        <f t="shared" si="1"/>
        <v>30.64</v>
      </c>
      <c r="R40">
        <f t="shared" si="2"/>
        <v>15.71</v>
      </c>
      <c r="S40">
        <f t="shared" si="3"/>
        <v>1.54</v>
      </c>
      <c r="T40" t="str">
        <f t="shared" si="4"/>
        <v>On Time</v>
      </c>
      <c r="U40" t="str">
        <f t="shared" si="5"/>
        <v>Medium</v>
      </c>
      <c r="V40" t="str">
        <f t="shared" si="6"/>
        <v>Low Risk</v>
      </c>
      <c r="W40" t="str">
        <f t="shared" si="7"/>
        <v>Nov</v>
      </c>
      <c r="X40">
        <f t="shared" si="8"/>
        <v>2025</v>
      </c>
    </row>
    <row r="41" spans="1:24" x14ac:dyDescent="0.35">
      <c r="A41" s="3">
        <v>45697</v>
      </c>
      <c r="B41" t="s">
        <v>123</v>
      </c>
      <c r="C41" t="s">
        <v>109</v>
      </c>
      <c r="D41" t="s">
        <v>138</v>
      </c>
      <c r="E41" t="s">
        <v>41</v>
      </c>
      <c r="F41" t="s">
        <v>63</v>
      </c>
      <c r="G41" t="s">
        <v>35</v>
      </c>
      <c r="H41">
        <v>54.5</v>
      </c>
      <c r="I41">
        <v>2198</v>
      </c>
      <c r="J41">
        <v>90</v>
      </c>
      <c r="K41">
        <v>17.100000000000001</v>
      </c>
      <c r="L41" t="s">
        <v>43</v>
      </c>
      <c r="M41">
        <v>27516.6</v>
      </c>
      <c r="N41">
        <v>26869</v>
      </c>
      <c r="O41" t="s">
        <v>91</v>
      </c>
      <c r="P41" t="str">
        <f t="shared" si="0"/>
        <v>Yes</v>
      </c>
      <c r="Q41">
        <f t="shared" si="1"/>
        <v>40.33</v>
      </c>
      <c r="R41">
        <f t="shared" si="2"/>
        <v>12.52</v>
      </c>
      <c r="S41">
        <f t="shared" si="3"/>
        <v>1.02</v>
      </c>
      <c r="T41" t="str">
        <f t="shared" si="4"/>
        <v>Delayed</v>
      </c>
      <c r="U41" t="str">
        <f t="shared" si="5"/>
        <v>Medium</v>
      </c>
      <c r="V41" t="str">
        <f t="shared" si="6"/>
        <v>Low Risk</v>
      </c>
      <c r="W41" t="str">
        <f t="shared" si="7"/>
        <v>Feb</v>
      </c>
      <c r="X41">
        <f t="shared" si="8"/>
        <v>2025</v>
      </c>
    </row>
    <row r="42" spans="1:24" x14ac:dyDescent="0.35">
      <c r="A42" s="3">
        <v>45798</v>
      </c>
      <c r="B42" t="s">
        <v>139</v>
      </c>
      <c r="C42" t="s">
        <v>52</v>
      </c>
      <c r="D42" t="s">
        <v>140</v>
      </c>
      <c r="E42" t="s">
        <v>28</v>
      </c>
      <c r="F42" t="s">
        <v>41</v>
      </c>
      <c r="G42" t="s">
        <v>42</v>
      </c>
      <c r="H42">
        <v>53.8</v>
      </c>
      <c r="I42">
        <v>2268</v>
      </c>
      <c r="J42">
        <v>63</v>
      </c>
      <c r="K42">
        <v>19.600000000000001</v>
      </c>
      <c r="L42" t="s">
        <v>49</v>
      </c>
      <c r="M42">
        <v>35701.83</v>
      </c>
      <c r="N42">
        <v>8349</v>
      </c>
      <c r="O42" t="s">
        <v>31</v>
      </c>
      <c r="P42" t="str">
        <f t="shared" si="0"/>
        <v>Yes</v>
      </c>
      <c r="Q42">
        <f t="shared" si="1"/>
        <v>42.16</v>
      </c>
      <c r="R42">
        <f t="shared" si="2"/>
        <v>15.74</v>
      </c>
      <c r="S42">
        <f t="shared" si="3"/>
        <v>4.28</v>
      </c>
      <c r="T42" t="str">
        <f t="shared" si="4"/>
        <v>Delayed</v>
      </c>
      <c r="U42" t="str">
        <f t="shared" si="5"/>
        <v>Medium</v>
      </c>
      <c r="V42" t="str">
        <f t="shared" si="6"/>
        <v>High Risk</v>
      </c>
      <c r="W42" t="str">
        <f t="shared" si="7"/>
        <v>May</v>
      </c>
      <c r="X42">
        <f t="shared" si="8"/>
        <v>2025</v>
      </c>
    </row>
    <row r="43" spans="1:24" x14ac:dyDescent="0.35">
      <c r="A43" s="3">
        <v>45843</v>
      </c>
      <c r="B43" t="s">
        <v>142</v>
      </c>
      <c r="C43" t="s">
        <v>39</v>
      </c>
      <c r="D43" t="s">
        <v>143</v>
      </c>
      <c r="E43" t="s">
        <v>54</v>
      </c>
      <c r="F43" t="s">
        <v>63</v>
      </c>
      <c r="G43" t="s">
        <v>42</v>
      </c>
      <c r="H43">
        <v>29.3</v>
      </c>
      <c r="I43">
        <v>3926</v>
      </c>
      <c r="J43">
        <v>98</v>
      </c>
      <c r="K43">
        <v>20.8</v>
      </c>
      <c r="L43" t="s">
        <v>43</v>
      </c>
      <c r="M43">
        <v>16029.66</v>
      </c>
      <c r="N43">
        <v>13811</v>
      </c>
      <c r="O43" t="s">
        <v>67</v>
      </c>
      <c r="P43" t="str">
        <f t="shared" si="0"/>
        <v>Yes</v>
      </c>
      <c r="Q43">
        <f t="shared" si="1"/>
        <v>133.99</v>
      </c>
      <c r="R43">
        <f t="shared" si="2"/>
        <v>4.08</v>
      </c>
      <c r="S43">
        <f t="shared" si="3"/>
        <v>1.1599999999999999</v>
      </c>
      <c r="T43" t="str">
        <f t="shared" si="4"/>
        <v>Delayed</v>
      </c>
      <c r="U43" t="str">
        <f t="shared" si="5"/>
        <v>Low</v>
      </c>
      <c r="V43" t="str">
        <f t="shared" si="6"/>
        <v>Low Risk</v>
      </c>
      <c r="W43" t="str">
        <f t="shared" si="7"/>
        <v>Jul</v>
      </c>
      <c r="X43">
        <f t="shared" si="8"/>
        <v>2025</v>
      </c>
    </row>
    <row r="44" spans="1:24" x14ac:dyDescent="0.35">
      <c r="A44" s="3">
        <v>45675</v>
      </c>
      <c r="B44" t="s">
        <v>80</v>
      </c>
      <c r="C44" t="s">
        <v>130</v>
      </c>
      <c r="D44" t="s">
        <v>145</v>
      </c>
      <c r="E44" t="s">
        <v>28</v>
      </c>
      <c r="F44" t="s">
        <v>54</v>
      </c>
      <c r="G44" t="s">
        <v>29</v>
      </c>
      <c r="H44">
        <v>47.5</v>
      </c>
      <c r="I44">
        <v>1683</v>
      </c>
      <c r="J44">
        <v>81</v>
      </c>
      <c r="K44">
        <v>18.899999999999999</v>
      </c>
      <c r="L44" t="s">
        <v>43</v>
      </c>
      <c r="M44">
        <v>32873.129999999997</v>
      </c>
      <c r="N44">
        <v>14195</v>
      </c>
      <c r="O44" t="s">
        <v>59</v>
      </c>
      <c r="P44" t="str">
        <f t="shared" si="0"/>
        <v>Yes</v>
      </c>
      <c r="Q44">
        <f t="shared" si="1"/>
        <v>35.43</v>
      </c>
      <c r="R44">
        <f t="shared" si="2"/>
        <v>19.53</v>
      </c>
      <c r="S44">
        <f t="shared" si="3"/>
        <v>2.3199999999999998</v>
      </c>
      <c r="T44" t="str">
        <f t="shared" si="4"/>
        <v>Delayed</v>
      </c>
      <c r="U44" t="str">
        <f t="shared" si="5"/>
        <v>Medium</v>
      </c>
      <c r="V44" t="str">
        <f t="shared" si="6"/>
        <v>Low Risk</v>
      </c>
      <c r="W44" t="str">
        <f t="shared" si="7"/>
        <v>Jan</v>
      </c>
      <c r="X44">
        <f t="shared" si="8"/>
        <v>2025</v>
      </c>
    </row>
    <row r="45" spans="1:24" x14ac:dyDescent="0.35">
      <c r="A45" s="3">
        <v>45721</v>
      </c>
      <c r="B45" t="s">
        <v>146</v>
      </c>
      <c r="C45" t="s">
        <v>109</v>
      </c>
      <c r="D45" t="s">
        <v>147</v>
      </c>
      <c r="E45" t="s">
        <v>54</v>
      </c>
      <c r="F45" t="s">
        <v>48</v>
      </c>
      <c r="G45" t="s">
        <v>35</v>
      </c>
      <c r="H45">
        <v>71.400000000000006</v>
      </c>
      <c r="I45">
        <v>2869</v>
      </c>
      <c r="J45">
        <v>58</v>
      </c>
      <c r="K45">
        <v>18.7</v>
      </c>
      <c r="L45" t="s">
        <v>78</v>
      </c>
      <c r="M45">
        <v>32245.05</v>
      </c>
      <c r="N45">
        <v>10555</v>
      </c>
      <c r="O45" t="s">
        <v>36</v>
      </c>
      <c r="P45" t="str">
        <f t="shared" si="0"/>
        <v>No</v>
      </c>
      <c r="Q45">
        <f t="shared" si="1"/>
        <v>40.18</v>
      </c>
      <c r="R45">
        <f t="shared" si="2"/>
        <v>11.24</v>
      </c>
      <c r="S45">
        <f t="shared" si="3"/>
        <v>3.05</v>
      </c>
      <c r="T45" t="str">
        <f t="shared" si="4"/>
        <v>On Time</v>
      </c>
      <c r="U45" t="str">
        <f t="shared" si="5"/>
        <v>High</v>
      </c>
      <c r="V45" t="str">
        <f t="shared" si="6"/>
        <v>Low Risk</v>
      </c>
      <c r="W45" t="str">
        <f t="shared" si="7"/>
        <v>Mar</v>
      </c>
      <c r="X45">
        <f t="shared" si="8"/>
        <v>2025</v>
      </c>
    </row>
    <row r="46" spans="1:24" x14ac:dyDescent="0.35">
      <c r="A46" s="3">
        <v>45954</v>
      </c>
      <c r="B46" t="s">
        <v>148</v>
      </c>
      <c r="C46" t="s">
        <v>25</v>
      </c>
      <c r="D46" t="s">
        <v>149</v>
      </c>
      <c r="E46" t="s">
        <v>27</v>
      </c>
      <c r="F46" t="s">
        <v>48</v>
      </c>
      <c r="G46" t="s">
        <v>35</v>
      </c>
      <c r="H46">
        <v>35.200000000000003</v>
      </c>
      <c r="I46">
        <v>1005</v>
      </c>
      <c r="J46">
        <v>69</v>
      </c>
      <c r="K46">
        <v>19.2</v>
      </c>
      <c r="L46" t="s">
        <v>43</v>
      </c>
      <c r="M46">
        <v>20646.32</v>
      </c>
      <c r="N46">
        <v>25774</v>
      </c>
      <c r="O46" t="s">
        <v>31</v>
      </c>
      <c r="P46" t="str">
        <f t="shared" si="0"/>
        <v>Yes</v>
      </c>
      <c r="Q46">
        <f t="shared" si="1"/>
        <v>28.55</v>
      </c>
      <c r="R46">
        <f t="shared" si="2"/>
        <v>20.54</v>
      </c>
      <c r="S46">
        <f t="shared" si="3"/>
        <v>0.8</v>
      </c>
      <c r="T46" t="str">
        <f t="shared" si="4"/>
        <v>Delayed</v>
      </c>
      <c r="U46" t="str">
        <f t="shared" si="5"/>
        <v>Low</v>
      </c>
      <c r="V46" t="str">
        <f t="shared" si="6"/>
        <v>Low Risk</v>
      </c>
      <c r="W46" t="str">
        <f t="shared" si="7"/>
        <v>Oct</v>
      </c>
      <c r="X46">
        <f t="shared" si="8"/>
        <v>2025</v>
      </c>
    </row>
    <row r="47" spans="1:24" x14ac:dyDescent="0.35">
      <c r="A47" s="3">
        <v>45800</v>
      </c>
      <c r="B47" t="s">
        <v>150</v>
      </c>
      <c r="C47" t="s">
        <v>52</v>
      </c>
      <c r="D47" t="s">
        <v>151</v>
      </c>
      <c r="E47" t="s">
        <v>55</v>
      </c>
      <c r="F47" t="s">
        <v>28</v>
      </c>
      <c r="G47" t="s">
        <v>29</v>
      </c>
      <c r="H47">
        <v>27.5</v>
      </c>
      <c r="I47">
        <v>1948</v>
      </c>
      <c r="J47">
        <v>33</v>
      </c>
      <c r="K47">
        <v>17.5</v>
      </c>
      <c r="L47" t="s">
        <v>43</v>
      </c>
      <c r="M47">
        <v>16439.95</v>
      </c>
      <c r="N47">
        <v>5624</v>
      </c>
      <c r="O47" t="s">
        <v>36</v>
      </c>
      <c r="P47" t="str">
        <f t="shared" si="0"/>
        <v>Yes</v>
      </c>
      <c r="Q47">
        <f t="shared" si="1"/>
        <v>70.84</v>
      </c>
      <c r="R47">
        <f t="shared" si="2"/>
        <v>8.44</v>
      </c>
      <c r="S47">
        <f t="shared" si="3"/>
        <v>2.92</v>
      </c>
      <c r="T47" t="str">
        <f t="shared" si="4"/>
        <v>Delayed</v>
      </c>
      <c r="U47" t="str">
        <f t="shared" si="5"/>
        <v>Low</v>
      </c>
      <c r="V47" t="str">
        <f t="shared" si="6"/>
        <v>Low Risk</v>
      </c>
      <c r="W47" t="str">
        <f t="shared" si="7"/>
        <v>May</v>
      </c>
      <c r="X47">
        <f t="shared" si="8"/>
        <v>2025</v>
      </c>
    </row>
    <row r="48" spans="1:24" x14ac:dyDescent="0.35">
      <c r="A48" s="3">
        <v>45807</v>
      </c>
      <c r="B48" t="s">
        <v>152</v>
      </c>
      <c r="C48" t="s">
        <v>25</v>
      </c>
      <c r="D48" t="s">
        <v>153</v>
      </c>
      <c r="E48" t="s">
        <v>27</v>
      </c>
      <c r="F48" t="s">
        <v>63</v>
      </c>
      <c r="G48" t="s">
        <v>71</v>
      </c>
      <c r="H48">
        <v>72.3</v>
      </c>
      <c r="I48">
        <v>2463</v>
      </c>
      <c r="J48">
        <v>89</v>
      </c>
      <c r="K48">
        <v>21.7</v>
      </c>
      <c r="L48" t="s">
        <v>30</v>
      </c>
      <c r="M48">
        <v>39523.65</v>
      </c>
      <c r="N48">
        <v>26992</v>
      </c>
      <c r="O48" t="s">
        <v>50</v>
      </c>
      <c r="P48" t="str">
        <f t="shared" si="0"/>
        <v>Yes</v>
      </c>
      <c r="Q48">
        <f t="shared" si="1"/>
        <v>34.07</v>
      </c>
      <c r="R48">
        <f t="shared" si="2"/>
        <v>16.05</v>
      </c>
      <c r="S48">
        <f t="shared" si="3"/>
        <v>1.46</v>
      </c>
      <c r="T48" t="str">
        <f t="shared" si="4"/>
        <v>Delayed</v>
      </c>
      <c r="U48" t="str">
        <f t="shared" si="5"/>
        <v>High</v>
      </c>
      <c r="V48" t="str">
        <f t="shared" si="6"/>
        <v>Medium Risk</v>
      </c>
      <c r="W48" t="str">
        <f t="shared" si="7"/>
        <v>May</v>
      </c>
      <c r="X48">
        <f t="shared" si="8"/>
        <v>2025</v>
      </c>
    </row>
    <row r="49" spans="1:24" x14ac:dyDescent="0.35">
      <c r="A49" s="3">
        <v>45711</v>
      </c>
      <c r="B49" t="s">
        <v>154</v>
      </c>
      <c r="C49" t="s">
        <v>130</v>
      </c>
      <c r="D49" t="s">
        <v>155</v>
      </c>
      <c r="E49" t="s">
        <v>27</v>
      </c>
      <c r="F49" t="s">
        <v>41</v>
      </c>
      <c r="G49" t="s">
        <v>71</v>
      </c>
      <c r="H49">
        <v>34.6</v>
      </c>
      <c r="I49">
        <v>2609</v>
      </c>
      <c r="J49">
        <v>77</v>
      </c>
      <c r="K49">
        <v>17.5</v>
      </c>
      <c r="L49" t="s">
        <v>30</v>
      </c>
      <c r="M49">
        <v>19389.93</v>
      </c>
      <c r="N49">
        <v>5098</v>
      </c>
      <c r="O49" t="s">
        <v>91</v>
      </c>
      <c r="P49" t="str">
        <f t="shared" si="0"/>
        <v>Yes</v>
      </c>
      <c r="Q49">
        <f t="shared" si="1"/>
        <v>75.400000000000006</v>
      </c>
      <c r="R49">
        <f t="shared" si="2"/>
        <v>7.43</v>
      </c>
      <c r="S49">
        <f t="shared" si="3"/>
        <v>3.8</v>
      </c>
      <c r="T49" t="str">
        <f t="shared" si="4"/>
        <v>Delayed</v>
      </c>
      <c r="U49" t="str">
        <f t="shared" si="5"/>
        <v>Low</v>
      </c>
      <c r="V49" t="str">
        <f t="shared" si="6"/>
        <v>Medium Risk</v>
      </c>
      <c r="W49" t="str">
        <f t="shared" si="7"/>
        <v>Feb</v>
      </c>
      <c r="X49">
        <f t="shared" si="8"/>
        <v>2025</v>
      </c>
    </row>
    <row r="50" spans="1:24" x14ac:dyDescent="0.35">
      <c r="A50" s="3">
        <v>45930</v>
      </c>
      <c r="B50" t="s">
        <v>87</v>
      </c>
      <c r="C50" t="s">
        <v>52</v>
      </c>
      <c r="D50" t="s">
        <v>156</v>
      </c>
      <c r="E50" t="s">
        <v>66</v>
      </c>
      <c r="F50" t="s">
        <v>48</v>
      </c>
      <c r="G50" t="s">
        <v>29</v>
      </c>
      <c r="H50">
        <v>61.8</v>
      </c>
      <c r="I50">
        <v>4897</v>
      </c>
      <c r="J50">
        <v>30</v>
      </c>
      <c r="K50">
        <v>17</v>
      </c>
      <c r="L50" t="s">
        <v>49</v>
      </c>
      <c r="M50">
        <v>30034.99</v>
      </c>
      <c r="N50">
        <v>11033</v>
      </c>
      <c r="O50" t="s">
        <v>36</v>
      </c>
      <c r="P50" t="str">
        <f t="shared" si="0"/>
        <v>Yes</v>
      </c>
      <c r="Q50">
        <f t="shared" si="1"/>
        <v>79.239999999999995</v>
      </c>
      <c r="R50">
        <f t="shared" si="2"/>
        <v>6.13</v>
      </c>
      <c r="S50">
        <f t="shared" si="3"/>
        <v>2.72</v>
      </c>
      <c r="T50" t="str">
        <f t="shared" si="4"/>
        <v>Delayed</v>
      </c>
      <c r="U50" t="str">
        <f t="shared" si="5"/>
        <v>High</v>
      </c>
      <c r="V50" t="str">
        <f t="shared" si="6"/>
        <v>High Risk</v>
      </c>
      <c r="W50" t="str">
        <f t="shared" si="7"/>
        <v>Sep</v>
      </c>
      <c r="X50">
        <f t="shared" si="8"/>
        <v>2025</v>
      </c>
    </row>
    <row r="51" spans="1:24" x14ac:dyDescent="0.35">
      <c r="A51" s="3">
        <v>45790</v>
      </c>
      <c r="B51" t="s">
        <v>157</v>
      </c>
      <c r="C51" t="s">
        <v>39</v>
      </c>
      <c r="D51" t="s">
        <v>158</v>
      </c>
      <c r="E51" t="s">
        <v>41</v>
      </c>
      <c r="F51" t="s">
        <v>48</v>
      </c>
      <c r="G51" t="s">
        <v>29</v>
      </c>
      <c r="H51">
        <v>75.400000000000006</v>
      </c>
      <c r="I51">
        <v>1557</v>
      </c>
      <c r="J51">
        <v>68</v>
      </c>
      <c r="K51">
        <v>11.6</v>
      </c>
      <c r="L51" t="s">
        <v>78</v>
      </c>
      <c r="M51">
        <v>51400.92</v>
      </c>
      <c r="N51">
        <v>24297</v>
      </c>
      <c r="O51" t="s">
        <v>50</v>
      </c>
      <c r="P51" t="str">
        <f t="shared" si="0"/>
        <v>No</v>
      </c>
      <c r="Q51">
        <f t="shared" si="1"/>
        <v>20.65</v>
      </c>
      <c r="R51">
        <f t="shared" si="2"/>
        <v>33.01</v>
      </c>
      <c r="S51">
        <f t="shared" si="3"/>
        <v>2.12</v>
      </c>
      <c r="T51" t="str">
        <f t="shared" si="4"/>
        <v>On Time</v>
      </c>
      <c r="U51" t="str">
        <f t="shared" si="5"/>
        <v>High</v>
      </c>
      <c r="V51" t="str">
        <f t="shared" si="6"/>
        <v>Low Risk</v>
      </c>
      <c r="W51" t="str">
        <f t="shared" si="7"/>
        <v>May</v>
      </c>
      <c r="X51">
        <f t="shared" si="8"/>
        <v>2025</v>
      </c>
    </row>
    <row r="52" spans="1:24" x14ac:dyDescent="0.35">
      <c r="A52" s="3">
        <v>45971</v>
      </c>
      <c r="B52" t="s">
        <v>159</v>
      </c>
      <c r="C52" t="s">
        <v>109</v>
      </c>
      <c r="D52" t="s">
        <v>160</v>
      </c>
      <c r="E52" t="s">
        <v>48</v>
      </c>
      <c r="F52" t="s">
        <v>27</v>
      </c>
      <c r="G52" t="s">
        <v>42</v>
      </c>
      <c r="H52">
        <v>27.3</v>
      </c>
      <c r="I52">
        <v>4567</v>
      </c>
      <c r="J52">
        <v>38</v>
      </c>
      <c r="K52">
        <v>16.600000000000001</v>
      </c>
      <c r="L52" t="s">
        <v>43</v>
      </c>
      <c r="M52">
        <v>12297.66</v>
      </c>
      <c r="N52">
        <v>9946</v>
      </c>
      <c r="O52" t="s">
        <v>84</v>
      </c>
      <c r="P52" t="str">
        <f t="shared" si="0"/>
        <v>Yes</v>
      </c>
      <c r="Q52">
        <f t="shared" si="1"/>
        <v>167.29</v>
      </c>
      <c r="R52">
        <f t="shared" si="2"/>
        <v>2.69</v>
      </c>
      <c r="S52">
        <f t="shared" si="3"/>
        <v>1.24</v>
      </c>
      <c r="T52" t="str">
        <f t="shared" si="4"/>
        <v>Delayed</v>
      </c>
      <c r="U52" t="str">
        <f t="shared" si="5"/>
        <v>Low</v>
      </c>
      <c r="V52" t="str">
        <f t="shared" si="6"/>
        <v>Low Risk</v>
      </c>
      <c r="W52" t="str">
        <f t="shared" si="7"/>
        <v>Nov</v>
      </c>
      <c r="X52">
        <f t="shared" si="8"/>
        <v>2025</v>
      </c>
    </row>
    <row r="53" spans="1:24" x14ac:dyDescent="0.35">
      <c r="A53" s="3">
        <v>45824</v>
      </c>
      <c r="B53" t="s">
        <v>100</v>
      </c>
      <c r="C53" t="s">
        <v>130</v>
      </c>
      <c r="D53" t="s">
        <v>161</v>
      </c>
      <c r="E53" t="s">
        <v>63</v>
      </c>
      <c r="F53" t="s">
        <v>55</v>
      </c>
      <c r="G53" t="s">
        <v>29</v>
      </c>
      <c r="H53">
        <v>76.8</v>
      </c>
      <c r="I53">
        <v>4301</v>
      </c>
      <c r="J53">
        <v>110</v>
      </c>
      <c r="K53">
        <v>21.3</v>
      </c>
      <c r="L53" t="s">
        <v>78</v>
      </c>
      <c r="M53">
        <v>38894.03</v>
      </c>
      <c r="N53">
        <v>16511</v>
      </c>
      <c r="O53" t="s">
        <v>84</v>
      </c>
      <c r="P53" t="str">
        <f t="shared" si="0"/>
        <v>No</v>
      </c>
      <c r="Q53">
        <f t="shared" si="1"/>
        <v>56</v>
      </c>
      <c r="R53">
        <f t="shared" si="2"/>
        <v>9.0399999999999991</v>
      </c>
      <c r="S53">
        <f t="shared" si="3"/>
        <v>2.36</v>
      </c>
      <c r="T53" t="str">
        <f t="shared" si="4"/>
        <v>On Time</v>
      </c>
      <c r="U53" t="str">
        <f t="shared" si="5"/>
        <v>High</v>
      </c>
      <c r="V53" t="str">
        <f t="shared" si="6"/>
        <v>Low Risk</v>
      </c>
      <c r="W53" t="str">
        <f t="shared" si="7"/>
        <v>Jun</v>
      </c>
      <c r="X53">
        <f t="shared" si="8"/>
        <v>2025</v>
      </c>
    </row>
    <row r="54" spans="1:24" x14ac:dyDescent="0.35">
      <c r="A54" s="3">
        <v>45948</v>
      </c>
      <c r="B54" t="s">
        <v>162</v>
      </c>
      <c r="C54" t="s">
        <v>57</v>
      </c>
      <c r="D54" t="s">
        <v>163</v>
      </c>
      <c r="E54" t="s">
        <v>27</v>
      </c>
      <c r="F54" t="s">
        <v>54</v>
      </c>
      <c r="G54" t="s">
        <v>42</v>
      </c>
      <c r="H54">
        <v>69.900000000000006</v>
      </c>
      <c r="I54">
        <v>638</v>
      </c>
      <c r="J54">
        <v>78</v>
      </c>
      <c r="K54">
        <v>20.100000000000001</v>
      </c>
      <c r="L54" t="s">
        <v>30</v>
      </c>
      <c r="M54">
        <v>39331.599999999999</v>
      </c>
      <c r="N54">
        <v>28761</v>
      </c>
      <c r="O54" t="s">
        <v>31</v>
      </c>
      <c r="P54" t="str">
        <f t="shared" si="0"/>
        <v>Yes</v>
      </c>
      <c r="Q54">
        <f t="shared" si="1"/>
        <v>9.1300000000000008</v>
      </c>
      <c r="R54">
        <f t="shared" si="2"/>
        <v>61.65</v>
      </c>
      <c r="S54">
        <f t="shared" si="3"/>
        <v>1.37</v>
      </c>
      <c r="T54" t="str">
        <f t="shared" si="4"/>
        <v>Delayed</v>
      </c>
      <c r="U54" t="str">
        <f t="shared" si="5"/>
        <v>High</v>
      </c>
      <c r="V54" t="str">
        <f t="shared" si="6"/>
        <v>Medium Risk</v>
      </c>
      <c r="W54" t="str">
        <f t="shared" si="7"/>
        <v>Oct</v>
      </c>
      <c r="X54">
        <f t="shared" si="8"/>
        <v>2025</v>
      </c>
    </row>
    <row r="55" spans="1:24" x14ac:dyDescent="0.35">
      <c r="A55" s="3">
        <v>45951</v>
      </c>
      <c r="B55" t="s">
        <v>38</v>
      </c>
      <c r="C55" t="s">
        <v>57</v>
      </c>
      <c r="D55" t="s">
        <v>164</v>
      </c>
      <c r="E55" t="s">
        <v>66</v>
      </c>
      <c r="F55" t="s">
        <v>27</v>
      </c>
      <c r="G55" t="s">
        <v>42</v>
      </c>
      <c r="H55">
        <v>53.5</v>
      </c>
      <c r="I55">
        <v>3000</v>
      </c>
      <c r="J55">
        <v>102</v>
      </c>
      <c r="K55">
        <v>15.2</v>
      </c>
      <c r="L55" t="s">
        <v>30</v>
      </c>
      <c r="M55">
        <v>36726.57</v>
      </c>
      <c r="N55">
        <v>24016</v>
      </c>
      <c r="O55" t="s">
        <v>67</v>
      </c>
      <c r="P55" t="str">
        <f t="shared" si="0"/>
        <v>Yes</v>
      </c>
      <c r="Q55">
        <f t="shared" si="1"/>
        <v>56.07</v>
      </c>
      <c r="R55">
        <f t="shared" si="2"/>
        <v>12.24</v>
      </c>
      <c r="S55">
        <f t="shared" si="3"/>
        <v>1.53</v>
      </c>
      <c r="T55" t="str">
        <f t="shared" si="4"/>
        <v>Delayed</v>
      </c>
      <c r="U55" t="str">
        <f t="shared" si="5"/>
        <v>Medium</v>
      </c>
      <c r="V55" t="str">
        <f t="shared" si="6"/>
        <v>Medium Risk</v>
      </c>
      <c r="W55" t="str">
        <f t="shared" si="7"/>
        <v>Oct</v>
      </c>
      <c r="X55">
        <f t="shared" si="8"/>
        <v>2025</v>
      </c>
    </row>
    <row r="56" spans="1:24" x14ac:dyDescent="0.35">
      <c r="A56" s="3">
        <v>45690</v>
      </c>
      <c r="B56" t="s">
        <v>165</v>
      </c>
      <c r="C56" t="s">
        <v>39</v>
      </c>
      <c r="D56" t="s">
        <v>166</v>
      </c>
      <c r="E56" t="s">
        <v>28</v>
      </c>
      <c r="F56" t="s">
        <v>54</v>
      </c>
      <c r="G56" t="s">
        <v>35</v>
      </c>
      <c r="H56">
        <v>66.900000000000006</v>
      </c>
      <c r="I56">
        <v>1455</v>
      </c>
      <c r="J56">
        <v>76</v>
      </c>
      <c r="K56">
        <v>17.5</v>
      </c>
      <c r="L56" t="s">
        <v>30</v>
      </c>
      <c r="M56">
        <v>45528.95</v>
      </c>
      <c r="N56">
        <v>29225</v>
      </c>
      <c r="O56" t="s">
        <v>67</v>
      </c>
      <c r="P56" t="str">
        <f t="shared" si="0"/>
        <v>Yes</v>
      </c>
      <c r="Q56">
        <f t="shared" si="1"/>
        <v>21.75</v>
      </c>
      <c r="R56">
        <f t="shared" si="2"/>
        <v>31.29</v>
      </c>
      <c r="S56">
        <f t="shared" si="3"/>
        <v>1.56</v>
      </c>
      <c r="T56" t="str">
        <f t="shared" si="4"/>
        <v>Delayed</v>
      </c>
      <c r="U56" t="str">
        <f t="shared" si="5"/>
        <v>High</v>
      </c>
      <c r="V56" t="str">
        <f t="shared" si="6"/>
        <v>Medium Risk</v>
      </c>
      <c r="W56" t="str">
        <f t="shared" si="7"/>
        <v>Feb</v>
      </c>
      <c r="X56">
        <f t="shared" si="8"/>
        <v>2025</v>
      </c>
    </row>
    <row r="57" spans="1:24" x14ac:dyDescent="0.35">
      <c r="A57" s="3">
        <v>45823</v>
      </c>
      <c r="B57" t="s">
        <v>167</v>
      </c>
      <c r="C57" t="s">
        <v>130</v>
      </c>
      <c r="D57" t="s">
        <v>168</v>
      </c>
      <c r="E57" t="s">
        <v>28</v>
      </c>
      <c r="F57" t="s">
        <v>55</v>
      </c>
      <c r="G57" t="s">
        <v>42</v>
      </c>
      <c r="H57">
        <v>75.5</v>
      </c>
      <c r="I57">
        <v>2441</v>
      </c>
      <c r="J57">
        <v>107</v>
      </c>
      <c r="K57">
        <v>11.9</v>
      </c>
      <c r="L57" t="s">
        <v>30</v>
      </c>
      <c r="M57">
        <v>49055.82</v>
      </c>
      <c r="N57">
        <v>8497</v>
      </c>
      <c r="O57" t="s">
        <v>31</v>
      </c>
      <c r="P57" t="str">
        <f t="shared" si="0"/>
        <v>Yes</v>
      </c>
      <c r="Q57">
        <f t="shared" si="1"/>
        <v>32.33</v>
      </c>
      <c r="R57">
        <f t="shared" si="2"/>
        <v>20.100000000000001</v>
      </c>
      <c r="S57">
        <f t="shared" si="3"/>
        <v>5.77</v>
      </c>
      <c r="T57" t="str">
        <f t="shared" si="4"/>
        <v>Delayed</v>
      </c>
      <c r="U57" t="str">
        <f t="shared" si="5"/>
        <v>High</v>
      </c>
      <c r="V57" t="str">
        <f t="shared" si="6"/>
        <v>Medium Risk</v>
      </c>
      <c r="W57" t="str">
        <f t="shared" si="7"/>
        <v>Jun</v>
      </c>
      <c r="X57">
        <f t="shared" si="8"/>
        <v>2025</v>
      </c>
    </row>
    <row r="58" spans="1:24" x14ac:dyDescent="0.35">
      <c r="A58" s="3">
        <v>45957</v>
      </c>
      <c r="B58" t="s">
        <v>106</v>
      </c>
      <c r="C58" t="s">
        <v>69</v>
      </c>
      <c r="D58" t="s">
        <v>169</v>
      </c>
      <c r="E58" t="s">
        <v>41</v>
      </c>
      <c r="F58" t="s">
        <v>48</v>
      </c>
      <c r="G58" t="s">
        <v>42</v>
      </c>
      <c r="H58">
        <v>53.5</v>
      </c>
      <c r="I58">
        <v>1194</v>
      </c>
      <c r="J58">
        <v>47</v>
      </c>
      <c r="K58">
        <v>11.2</v>
      </c>
      <c r="L58" t="s">
        <v>43</v>
      </c>
      <c r="M58">
        <v>32040.9</v>
      </c>
      <c r="N58">
        <v>7391</v>
      </c>
      <c r="O58" t="s">
        <v>91</v>
      </c>
      <c r="P58" t="str">
        <f t="shared" si="0"/>
        <v>Yes</v>
      </c>
      <c r="Q58">
        <f t="shared" si="1"/>
        <v>22.32</v>
      </c>
      <c r="R58">
        <f t="shared" si="2"/>
        <v>26.83</v>
      </c>
      <c r="S58">
        <f t="shared" si="3"/>
        <v>4.34</v>
      </c>
      <c r="T58" t="str">
        <f t="shared" si="4"/>
        <v>Delayed</v>
      </c>
      <c r="U58" t="str">
        <f t="shared" si="5"/>
        <v>Medium</v>
      </c>
      <c r="V58" t="str">
        <f t="shared" si="6"/>
        <v>Low Risk</v>
      </c>
      <c r="W58" t="str">
        <f t="shared" si="7"/>
        <v>Oct</v>
      </c>
      <c r="X58">
        <f t="shared" si="8"/>
        <v>2025</v>
      </c>
    </row>
    <row r="59" spans="1:24" x14ac:dyDescent="0.35">
      <c r="A59" s="3">
        <v>45939</v>
      </c>
      <c r="B59" t="s">
        <v>120</v>
      </c>
      <c r="C59" t="s">
        <v>69</v>
      </c>
      <c r="D59" t="s">
        <v>170</v>
      </c>
      <c r="E59" t="s">
        <v>27</v>
      </c>
      <c r="F59" t="s">
        <v>28</v>
      </c>
      <c r="G59" t="s">
        <v>29</v>
      </c>
      <c r="H59">
        <v>67.5</v>
      </c>
      <c r="I59">
        <v>2672</v>
      </c>
      <c r="J59">
        <v>101</v>
      </c>
      <c r="K59">
        <v>11.5</v>
      </c>
      <c r="L59" t="s">
        <v>78</v>
      </c>
      <c r="M59">
        <v>43742</v>
      </c>
      <c r="N59">
        <v>14109</v>
      </c>
      <c r="O59" t="s">
        <v>50</v>
      </c>
      <c r="P59" t="str">
        <f t="shared" si="0"/>
        <v>No</v>
      </c>
      <c r="Q59">
        <f t="shared" si="1"/>
        <v>39.590000000000003</v>
      </c>
      <c r="R59">
        <f t="shared" si="2"/>
        <v>16.37</v>
      </c>
      <c r="S59">
        <f t="shared" si="3"/>
        <v>3.1</v>
      </c>
      <c r="T59" t="str">
        <f t="shared" si="4"/>
        <v>On Time</v>
      </c>
      <c r="U59" t="str">
        <f t="shared" si="5"/>
        <v>High</v>
      </c>
      <c r="V59" t="str">
        <f t="shared" si="6"/>
        <v>Low Risk</v>
      </c>
      <c r="W59" t="str">
        <f t="shared" si="7"/>
        <v>Oct</v>
      </c>
      <c r="X59">
        <f t="shared" si="8"/>
        <v>2025</v>
      </c>
    </row>
    <row r="60" spans="1:24" x14ac:dyDescent="0.35">
      <c r="A60" s="3">
        <v>45674</v>
      </c>
      <c r="B60" t="s">
        <v>171</v>
      </c>
      <c r="C60" t="s">
        <v>130</v>
      </c>
      <c r="D60" t="s">
        <v>172</v>
      </c>
      <c r="E60" t="s">
        <v>41</v>
      </c>
      <c r="F60" t="s">
        <v>55</v>
      </c>
      <c r="G60" t="s">
        <v>29</v>
      </c>
      <c r="H60">
        <v>75.7</v>
      </c>
      <c r="I60">
        <v>4144</v>
      </c>
      <c r="J60">
        <v>107</v>
      </c>
      <c r="K60">
        <v>18.399999999999999</v>
      </c>
      <c r="L60" t="s">
        <v>43</v>
      </c>
      <c r="M60">
        <v>42163.21</v>
      </c>
      <c r="N60">
        <v>12959</v>
      </c>
      <c r="O60" t="s">
        <v>91</v>
      </c>
      <c r="P60" t="str">
        <f t="shared" si="0"/>
        <v>Yes</v>
      </c>
      <c r="Q60">
        <f t="shared" si="1"/>
        <v>54.74</v>
      </c>
      <c r="R60">
        <f t="shared" si="2"/>
        <v>10.17</v>
      </c>
      <c r="S60">
        <f t="shared" si="3"/>
        <v>3.25</v>
      </c>
      <c r="T60" t="str">
        <f t="shared" si="4"/>
        <v>Delayed</v>
      </c>
      <c r="U60" t="str">
        <f t="shared" si="5"/>
        <v>High</v>
      </c>
      <c r="V60" t="str">
        <f t="shared" si="6"/>
        <v>Low Risk</v>
      </c>
      <c r="W60" t="str">
        <f t="shared" si="7"/>
        <v>Jan</v>
      </c>
      <c r="X60">
        <f t="shared" si="8"/>
        <v>2025</v>
      </c>
    </row>
    <row r="61" spans="1:24" x14ac:dyDescent="0.35">
      <c r="A61" s="3">
        <v>45968</v>
      </c>
      <c r="B61" t="s">
        <v>173</v>
      </c>
      <c r="C61" t="s">
        <v>69</v>
      </c>
      <c r="D61" t="s">
        <v>174</v>
      </c>
      <c r="E61" t="s">
        <v>28</v>
      </c>
      <c r="F61" t="s">
        <v>66</v>
      </c>
      <c r="G61" t="s">
        <v>29</v>
      </c>
      <c r="H61">
        <v>78.900000000000006</v>
      </c>
      <c r="I61">
        <v>4249</v>
      </c>
      <c r="J61">
        <v>110</v>
      </c>
      <c r="K61">
        <v>16.2</v>
      </c>
      <c r="L61" t="s">
        <v>49</v>
      </c>
      <c r="M61">
        <v>45711.33</v>
      </c>
      <c r="N61">
        <v>25782</v>
      </c>
      <c r="O61" t="s">
        <v>31</v>
      </c>
      <c r="P61" t="str">
        <f t="shared" si="0"/>
        <v>Yes</v>
      </c>
      <c r="Q61">
        <f t="shared" si="1"/>
        <v>53.85</v>
      </c>
      <c r="R61">
        <f t="shared" si="2"/>
        <v>10.76</v>
      </c>
      <c r="S61">
        <f t="shared" si="3"/>
        <v>1.77</v>
      </c>
      <c r="T61" t="str">
        <f t="shared" si="4"/>
        <v>Delayed</v>
      </c>
      <c r="U61" t="str">
        <f t="shared" si="5"/>
        <v>High</v>
      </c>
      <c r="V61" t="str">
        <f t="shared" si="6"/>
        <v>High Risk</v>
      </c>
      <c r="W61" t="str">
        <f t="shared" si="7"/>
        <v>Nov</v>
      </c>
      <c r="X61">
        <f t="shared" si="8"/>
        <v>2025</v>
      </c>
    </row>
    <row r="62" spans="1:24" x14ac:dyDescent="0.35">
      <c r="A62" s="3">
        <v>45718</v>
      </c>
      <c r="B62" t="s">
        <v>159</v>
      </c>
      <c r="C62" t="s">
        <v>130</v>
      </c>
      <c r="D62" t="s">
        <v>175</v>
      </c>
      <c r="E62" t="s">
        <v>27</v>
      </c>
      <c r="F62" t="s">
        <v>54</v>
      </c>
      <c r="G62" t="s">
        <v>35</v>
      </c>
      <c r="H62">
        <v>24.4</v>
      </c>
      <c r="I62">
        <v>4044</v>
      </c>
      <c r="J62">
        <v>105</v>
      </c>
      <c r="K62">
        <v>13</v>
      </c>
      <c r="L62" t="s">
        <v>49</v>
      </c>
      <c r="M62">
        <v>13122.97</v>
      </c>
      <c r="N62">
        <v>14863</v>
      </c>
      <c r="O62" t="s">
        <v>31</v>
      </c>
      <c r="P62" t="str">
        <f t="shared" si="0"/>
        <v>Yes</v>
      </c>
      <c r="Q62">
        <f t="shared" si="1"/>
        <v>165.74</v>
      </c>
      <c r="R62">
        <f t="shared" si="2"/>
        <v>3.25</v>
      </c>
      <c r="S62">
        <f t="shared" si="3"/>
        <v>0.88</v>
      </c>
      <c r="T62" t="str">
        <f t="shared" si="4"/>
        <v>Delayed</v>
      </c>
      <c r="U62" t="str">
        <f t="shared" si="5"/>
        <v>Low</v>
      </c>
      <c r="V62" t="str">
        <f t="shared" si="6"/>
        <v>High Risk</v>
      </c>
      <c r="W62" t="str">
        <f t="shared" si="7"/>
        <v>Mar</v>
      </c>
      <c r="X62">
        <f t="shared" si="8"/>
        <v>2025</v>
      </c>
    </row>
    <row r="63" spans="1:24" x14ac:dyDescent="0.35">
      <c r="A63" s="3">
        <v>45939</v>
      </c>
      <c r="B63" t="s">
        <v>104</v>
      </c>
      <c r="C63" t="s">
        <v>95</v>
      </c>
      <c r="D63" t="s">
        <v>176</v>
      </c>
      <c r="E63" t="s">
        <v>28</v>
      </c>
      <c r="F63" t="s">
        <v>48</v>
      </c>
      <c r="G63" t="s">
        <v>35</v>
      </c>
      <c r="H63">
        <v>68</v>
      </c>
      <c r="I63">
        <v>4730</v>
      </c>
      <c r="J63">
        <v>37</v>
      </c>
      <c r="K63">
        <v>19.2</v>
      </c>
      <c r="L63" t="s">
        <v>78</v>
      </c>
      <c r="M63">
        <v>38360.449999999997</v>
      </c>
      <c r="N63">
        <v>16325</v>
      </c>
      <c r="O63" t="s">
        <v>36</v>
      </c>
      <c r="P63" t="str">
        <f t="shared" si="0"/>
        <v>No</v>
      </c>
      <c r="Q63">
        <f t="shared" si="1"/>
        <v>69.56</v>
      </c>
      <c r="R63">
        <f t="shared" si="2"/>
        <v>8.11</v>
      </c>
      <c r="S63">
        <f t="shared" si="3"/>
        <v>2.35</v>
      </c>
      <c r="T63" t="str">
        <f t="shared" si="4"/>
        <v>On Time</v>
      </c>
      <c r="U63" t="str">
        <f t="shared" si="5"/>
        <v>High</v>
      </c>
      <c r="V63" t="str">
        <f t="shared" si="6"/>
        <v>Low Risk</v>
      </c>
      <c r="W63" t="str">
        <f t="shared" si="7"/>
        <v>Oct</v>
      </c>
      <c r="X63">
        <f t="shared" si="8"/>
        <v>2025</v>
      </c>
    </row>
    <row r="64" spans="1:24" x14ac:dyDescent="0.35">
      <c r="A64" s="3">
        <v>45905</v>
      </c>
      <c r="B64" t="s">
        <v>142</v>
      </c>
      <c r="C64" t="s">
        <v>39</v>
      </c>
      <c r="D64" t="s">
        <v>177</v>
      </c>
      <c r="E64" t="s">
        <v>41</v>
      </c>
      <c r="F64" t="s">
        <v>28</v>
      </c>
      <c r="G64" t="s">
        <v>35</v>
      </c>
      <c r="H64">
        <v>27.4</v>
      </c>
      <c r="I64">
        <v>1863</v>
      </c>
      <c r="J64">
        <v>82</v>
      </c>
      <c r="K64">
        <v>15.5</v>
      </c>
      <c r="L64" t="s">
        <v>43</v>
      </c>
      <c r="M64">
        <v>17407.599999999999</v>
      </c>
      <c r="N64">
        <v>11140</v>
      </c>
      <c r="O64" t="s">
        <v>67</v>
      </c>
      <c r="P64" t="str">
        <f t="shared" si="0"/>
        <v>Yes</v>
      </c>
      <c r="Q64">
        <f t="shared" si="1"/>
        <v>67.989999999999995</v>
      </c>
      <c r="R64">
        <f t="shared" si="2"/>
        <v>9.34</v>
      </c>
      <c r="S64">
        <f t="shared" si="3"/>
        <v>1.56</v>
      </c>
      <c r="T64" t="str">
        <f t="shared" si="4"/>
        <v>Delayed</v>
      </c>
      <c r="U64" t="str">
        <f t="shared" si="5"/>
        <v>Low</v>
      </c>
      <c r="V64" t="str">
        <f t="shared" si="6"/>
        <v>Low Risk</v>
      </c>
      <c r="W64" t="str">
        <f t="shared" si="7"/>
        <v>Sep</v>
      </c>
      <c r="X64">
        <f t="shared" si="8"/>
        <v>2025</v>
      </c>
    </row>
    <row r="65" spans="1:24" x14ac:dyDescent="0.35">
      <c r="A65" s="3">
        <v>45966</v>
      </c>
      <c r="B65" t="s">
        <v>94</v>
      </c>
      <c r="C65" t="s">
        <v>25</v>
      </c>
      <c r="D65" t="s">
        <v>178</v>
      </c>
      <c r="E65" t="s">
        <v>55</v>
      </c>
      <c r="F65" t="s">
        <v>66</v>
      </c>
      <c r="G65" t="s">
        <v>35</v>
      </c>
      <c r="H65">
        <v>20.7</v>
      </c>
      <c r="I65">
        <v>2529</v>
      </c>
      <c r="J65">
        <v>93</v>
      </c>
      <c r="K65">
        <v>16.7</v>
      </c>
      <c r="L65" t="s">
        <v>49</v>
      </c>
      <c r="M65">
        <v>11755.14</v>
      </c>
      <c r="N65">
        <v>20199</v>
      </c>
      <c r="O65" t="s">
        <v>84</v>
      </c>
      <c r="P65" t="str">
        <f t="shared" si="0"/>
        <v>Yes</v>
      </c>
      <c r="Q65">
        <f t="shared" si="1"/>
        <v>122.17</v>
      </c>
      <c r="R65">
        <f t="shared" si="2"/>
        <v>4.6500000000000004</v>
      </c>
      <c r="S65">
        <f t="shared" si="3"/>
        <v>0.57999999999999996</v>
      </c>
      <c r="T65" t="str">
        <f t="shared" si="4"/>
        <v>Delayed</v>
      </c>
      <c r="U65" t="str">
        <f t="shared" si="5"/>
        <v>Low</v>
      </c>
      <c r="V65" t="str">
        <f t="shared" si="6"/>
        <v>High Risk</v>
      </c>
      <c r="W65" t="str">
        <f t="shared" si="7"/>
        <v>Nov</v>
      </c>
      <c r="X65">
        <f t="shared" si="8"/>
        <v>2025</v>
      </c>
    </row>
    <row r="66" spans="1:24" x14ac:dyDescent="0.35">
      <c r="A66" s="3">
        <v>45875</v>
      </c>
      <c r="B66" t="s">
        <v>46</v>
      </c>
      <c r="C66" t="s">
        <v>25</v>
      </c>
      <c r="D66" t="s">
        <v>179</v>
      </c>
      <c r="E66" t="s">
        <v>55</v>
      </c>
      <c r="F66" t="s">
        <v>66</v>
      </c>
      <c r="G66" t="s">
        <v>42</v>
      </c>
      <c r="H66">
        <v>79</v>
      </c>
      <c r="I66">
        <v>4695</v>
      </c>
      <c r="J66">
        <v>87</v>
      </c>
      <c r="K66">
        <v>16.600000000000001</v>
      </c>
      <c r="L66" t="s">
        <v>49</v>
      </c>
      <c r="M66">
        <v>39252.370000000003</v>
      </c>
      <c r="N66">
        <v>20424</v>
      </c>
      <c r="O66" t="s">
        <v>67</v>
      </c>
      <c r="P66" t="str">
        <f t="shared" ref="P66:P129" si="9">IF(OR(L66="Rain",L66="Fog",L66="Storm"),"Yes","No")</f>
        <v>Yes</v>
      </c>
      <c r="Q66">
        <f t="shared" ref="Q66:Q129" si="10">ROUND(I66/H66,2)</f>
        <v>59.43</v>
      </c>
      <c r="R66">
        <f t="shared" ref="R66:R129" si="11">ROUND(M66/I66,2)</f>
        <v>8.36</v>
      </c>
      <c r="S66">
        <f t="shared" ref="S66:S129" si="12">ROUND(M66/N66,2)</f>
        <v>1.92</v>
      </c>
      <c r="T66" t="str">
        <f t="shared" ref="T66:T129" si="13">IF(P66="Yes","Delayed","On Time")</f>
        <v>Delayed</v>
      </c>
      <c r="U66" t="str">
        <f t="shared" ref="U66:U129" si="14">IF(H66&gt;=60,"High",IF(H66&gt;=40,"Medium","Low"))</f>
        <v>High</v>
      </c>
      <c r="V66" t="str">
        <f t="shared" ref="V66:V129" si="15">IF(L66="Storm","High Risk",IF(L66="Rain","Medium Risk","Low Risk"))</f>
        <v>High Risk</v>
      </c>
      <c r="W66" t="str">
        <f t="shared" ref="W66:W129" si="16">TEXT(A66,"mmm")</f>
        <v>Aug</v>
      </c>
      <c r="X66">
        <f t="shared" si="8"/>
        <v>2025</v>
      </c>
    </row>
    <row r="67" spans="1:24" x14ac:dyDescent="0.35">
      <c r="A67" s="3">
        <v>45878</v>
      </c>
      <c r="B67" t="s">
        <v>87</v>
      </c>
      <c r="C67" t="s">
        <v>25</v>
      </c>
      <c r="D67" t="s">
        <v>180</v>
      </c>
      <c r="E67" t="s">
        <v>48</v>
      </c>
      <c r="F67" t="s">
        <v>41</v>
      </c>
      <c r="G67" t="s">
        <v>29</v>
      </c>
      <c r="H67">
        <v>73</v>
      </c>
      <c r="I67">
        <v>2935</v>
      </c>
      <c r="J67">
        <v>101</v>
      </c>
      <c r="K67">
        <v>20.8</v>
      </c>
      <c r="L67" t="s">
        <v>78</v>
      </c>
      <c r="M67">
        <v>35872.19</v>
      </c>
      <c r="N67">
        <v>21173</v>
      </c>
      <c r="O67" t="s">
        <v>31</v>
      </c>
      <c r="P67" t="str">
        <f t="shared" si="9"/>
        <v>No</v>
      </c>
      <c r="Q67">
        <f t="shared" si="10"/>
        <v>40.21</v>
      </c>
      <c r="R67">
        <f t="shared" si="11"/>
        <v>12.22</v>
      </c>
      <c r="S67">
        <f t="shared" si="12"/>
        <v>1.69</v>
      </c>
      <c r="T67" t="str">
        <f t="shared" si="13"/>
        <v>On Time</v>
      </c>
      <c r="U67" t="str">
        <f t="shared" si="14"/>
        <v>High</v>
      </c>
      <c r="V67" t="str">
        <f t="shared" si="15"/>
        <v>Low Risk</v>
      </c>
      <c r="W67" t="str">
        <f t="shared" si="16"/>
        <v>Aug</v>
      </c>
      <c r="X67">
        <f t="shared" ref="X67:X130" si="17">YEAR(A67)</f>
        <v>2025</v>
      </c>
    </row>
    <row r="68" spans="1:24" x14ac:dyDescent="0.35">
      <c r="A68" s="3">
        <v>45912</v>
      </c>
      <c r="B68" t="s">
        <v>120</v>
      </c>
      <c r="C68" t="s">
        <v>95</v>
      </c>
      <c r="D68" t="s">
        <v>181</v>
      </c>
      <c r="E68" t="s">
        <v>63</v>
      </c>
      <c r="F68" t="s">
        <v>48</v>
      </c>
      <c r="G68" t="s">
        <v>42</v>
      </c>
      <c r="H68">
        <v>67.099999999999994</v>
      </c>
      <c r="I68">
        <v>2246</v>
      </c>
      <c r="J68">
        <v>47</v>
      </c>
      <c r="K68">
        <v>13.1</v>
      </c>
      <c r="L68" t="s">
        <v>43</v>
      </c>
      <c r="M68">
        <v>44748.58</v>
      </c>
      <c r="N68">
        <v>25583</v>
      </c>
      <c r="O68" t="s">
        <v>91</v>
      </c>
      <c r="P68" t="str">
        <f t="shared" si="9"/>
        <v>Yes</v>
      </c>
      <c r="Q68">
        <f t="shared" si="10"/>
        <v>33.47</v>
      </c>
      <c r="R68">
        <f t="shared" si="11"/>
        <v>19.920000000000002</v>
      </c>
      <c r="S68">
        <f t="shared" si="12"/>
        <v>1.75</v>
      </c>
      <c r="T68" t="str">
        <f t="shared" si="13"/>
        <v>Delayed</v>
      </c>
      <c r="U68" t="str">
        <f t="shared" si="14"/>
        <v>High</v>
      </c>
      <c r="V68" t="str">
        <f t="shared" si="15"/>
        <v>Low Risk</v>
      </c>
      <c r="W68" t="str">
        <f t="shared" si="16"/>
        <v>Sep</v>
      </c>
      <c r="X68">
        <f t="shared" si="17"/>
        <v>2025</v>
      </c>
    </row>
    <row r="69" spans="1:24" x14ac:dyDescent="0.35">
      <c r="A69" s="3">
        <v>45863</v>
      </c>
      <c r="B69" t="s">
        <v>136</v>
      </c>
      <c r="C69" t="s">
        <v>130</v>
      </c>
      <c r="D69" t="s">
        <v>182</v>
      </c>
      <c r="E69" t="s">
        <v>48</v>
      </c>
      <c r="F69" t="s">
        <v>41</v>
      </c>
      <c r="G69" t="s">
        <v>42</v>
      </c>
      <c r="H69">
        <v>72.099999999999994</v>
      </c>
      <c r="I69">
        <v>1665</v>
      </c>
      <c r="J69">
        <v>116</v>
      </c>
      <c r="K69">
        <v>21.6</v>
      </c>
      <c r="L69" t="s">
        <v>49</v>
      </c>
      <c r="M69">
        <v>38873.68</v>
      </c>
      <c r="N69">
        <v>10160</v>
      </c>
      <c r="O69" t="s">
        <v>36</v>
      </c>
      <c r="P69" t="str">
        <f t="shared" si="9"/>
        <v>Yes</v>
      </c>
      <c r="Q69">
        <f t="shared" si="10"/>
        <v>23.09</v>
      </c>
      <c r="R69">
        <f t="shared" si="11"/>
        <v>23.35</v>
      </c>
      <c r="S69">
        <f t="shared" si="12"/>
        <v>3.83</v>
      </c>
      <c r="T69" t="str">
        <f t="shared" si="13"/>
        <v>Delayed</v>
      </c>
      <c r="U69" t="str">
        <f t="shared" si="14"/>
        <v>High</v>
      </c>
      <c r="V69" t="str">
        <f t="shared" si="15"/>
        <v>High Risk</v>
      </c>
      <c r="W69" t="str">
        <f t="shared" si="16"/>
        <v>Jul</v>
      </c>
      <c r="X69">
        <f t="shared" si="17"/>
        <v>2025</v>
      </c>
    </row>
    <row r="70" spans="1:24" x14ac:dyDescent="0.35">
      <c r="A70" s="3">
        <v>45998</v>
      </c>
      <c r="B70" t="s">
        <v>148</v>
      </c>
      <c r="C70" t="s">
        <v>39</v>
      </c>
      <c r="D70" t="s">
        <v>183</v>
      </c>
      <c r="E70" t="s">
        <v>55</v>
      </c>
      <c r="F70" t="s">
        <v>48</v>
      </c>
      <c r="G70" t="s">
        <v>42</v>
      </c>
      <c r="H70">
        <v>57.4</v>
      </c>
      <c r="I70">
        <v>3510</v>
      </c>
      <c r="J70">
        <v>107</v>
      </c>
      <c r="K70">
        <v>20.5</v>
      </c>
      <c r="L70" t="s">
        <v>78</v>
      </c>
      <c r="M70">
        <v>29394.45</v>
      </c>
      <c r="N70">
        <v>10267</v>
      </c>
      <c r="O70" t="s">
        <v>67</v>
      </c>
      <c r="P70" t="str">
        <f t="shared" si="9"/>
        <v>No</v>
      </c>
      <c r="Q70">
        <f t="shared" si="10"/>
        <v>61.15</v>
      </c>
      <c r="R70">
        <f t="shared" si="11"/>
        <v>8.3699999999999992</v>
      </c>
      <c r="S70">
        <f t="shared" si="12"/>
        <v>2.86</v>
      </c>
      <c r="T70" t="str">
        <f t="shared" si="13"/>
        <v>On Time</v>
      </c>
      <c r="U70" t="str">
        <f t="shared" si="14"/>
        <v>Medium</v>
      </c>
      <c r="V70" t="str">
        <f t="shared" si="15"/>
        <v>Low Risk</v>
      </c>
      <c r="W70" t="str">
        <f t="shared" si="16"/>
        <v>Dec</v>
      </c>
      <c r="X70">
        <f t="shared" si="17"/>
        <v>2025</v>
      </c>
    </row>
    <row r="71" spans="1:24" x14ac:dyDescent="0.35">
      <c r="A71" s="3">
        <v>45987</v>
      </c>
      <c r="B71" t="s">
        <v>142</v>
      </c>
      <c r="C71" t="s">
        <v>130</v>
      </c>
      <c r="D71" t="s">
        <v>184</v>
      </c>
      <c r="E71" t="s">
        <v>63</v>
      </c>
      <c r="F71" t="s">
        <v>27</v>
      </c>
      <c r="G71" t="s">
        <v>42</v>
      </c>
      <c r="H71">
        <v>62.1</v>
      </c>
      <c r="I71">
        <v>2888</v>
      </c>
      <c r="J71">
        <v>118</v>
      </c>
      <c r="K71">
        <v>11.6</v>
      </c>
      <c r="L71" t="s">
        <v>30</v>
      </c>
      <c r="M71">
        <v>30783.81</v>
      </c>
      <c r="N71">
        <v>25809</v>
      </c>
      <c r="O71" t="s">
        <v>36</v>
      </c>
      <c r="P71" t="str">
        <f t="shared" si="9"/>
        <v>Yes</v>
      </c>
      <c r="Q71">
        <f t="shared" si="10"/>
        <v>46.51</v>
      </c>
      <c r="R71">
        <f t="shared" si="11"/>
        <v>10.66</v>
      </c>
      <c r="S71">
        <f t="shared" si="12"/>
        <v>1.19</v>
      </c>
      <c r="T71" t="str">
        <f t="shared" si="13"/>
        <v>Delayed</v>
      </c>
      <c r="U71" t="str">
        <f t="shared" si="14"/>
        <v>High</v>
      </c>
      <c r="V71" t="str">
        <f t="shared" si="15"/>
        <v>Medium Risk</v>
      </c>
      <c r="W71" t="str">
        <f t="shared" si="16"/>
        <v>Nov</v>
      </c>
      <c r="X71">
        <f t="shared" si="17"/>
        <v>2025</v>
      </c>
    </row>
    <row r="72" spans="1:24" x14ac:dyDescent="0.35">
      <c r="A72" s="3">
        <v>46013</v>
      </c>
      <c r="B72" t="s">
        <v>185</v>
      </c>
      <c r="C72" t="s">
        <v>52</v>
      </c>
      <c r="D72" t="s">
        <v>186</v>
      </c>
      <c r="E72" t="s">
        <v>54</v>
      </c>
      <c r="F72" t="s">
        <v>63</v>
      </c>
      <c r="G72" t="s">
        <v>42</v>
      </c>
      <c r="H72">
        <v>52.5</v>
      </c>
      <c r="I72">
        <v>4819</v>
      </c>
      <c r="J72">
        <v>34</v>
      </c>
      <c r="K72">
        <v>21.5</v>
      </c>
      <c r="L72" t="s">
        <v>78</v>
      </c>
      <c r="M72">
        <v>26688.53</v>
      </c>
      <c r="N72">
        <v>17727</v>
      </c>
      <c r="O72" t="s">
        <v>59</v>
      </c>
      <c r="P72" t="str">
        <f t="shared" si="9"/>
        <v>No</v>
      </c>
      <c r="Q72">
        <f t="shared" si="10"/>
        <v>91.79</v>
      </c>
      <c r="R72">
        <f t="shared" si="11"/>
        <v>5.54</v>
      </c>
      <c r="S72">
        <f t="shared" si="12"/>
        <v>1.51</v>
      </c>
      <c r="T72" t="str">
        <f t="shared" si="13"/>
        <v>On Time</v>
      </c>
      <c r="U72" t="str">
        <f t="shared" si="14"/>
        <v>Medium</v>
      </c>
      <c r="V72" t="str">
        <f t="shared" si="15"/>
        <v>Low Risk</v>
      </c>
      <c r="W72" t="str">
        <f t="shared" si="16"/>
        <v>Dec</v>
      </c>
      <c r="X72">
        <f t="shared" si="17"/>
        <v>2025</v>
      </c>
    </row>
    <row r="73" spans="1:24" x14ac:dyDescent="0.35">
      <c r="A73" s="3">
        <v>45796</v>
      </c>
      <c r="B73" t="s">
        <v>113</v>
      </c>
      <c r="C73" t="s">
        <v>109</v>
      </c>
      <c r="D73" t="s">
        <v>187</v>
      </c>
      <c r="E73" t="s">
        <v>27</v>
      </c>
      <c r="F73" t="s">
        <v>55</v>
      </c>
      <c r="G73" t="s">
        <v>71</v>
      </c>
      <c r="H73">
        <v>31.6</v>
      </c>
      <c r="I73">
        <v>2874</v>
      </c>
      <c r="J73">
        <v>52</v>
      </c>
      <c r="K73">
        <v>21.5</v>
      </c>
      <c r="L73" t="s">
        <v>49</v>
      </c>
      <c r="M73">
        <v>18010.18</v>
      </c>
      <c r="N73">
        <v>18925</v>
      </c>
      <c r="O73" t="s">
        <v>59</v>
      </c>
      <c r="P73" t="str">
        <f t="shared" si="9"/>
        <v>Yes</v>
      </c>
      <c r="Q73">
        <f t="shared" si="10"/>
        <v>90.95</v>
      </c>
      <c r="R73">
        <f t="shared" si="11"/>
        <v>6.27</v>
      </c>
      <c r="S73">
        <f t="shared" si="12"/>
        <v>0.95</v>
      </c>
      <c r="T73" t="str">
        <f t="shared" si="13"/>
        <v>Delayed</v>
      </c>
      <c r="U73" t="str">
        <f t="shared" si="14"/>
        <v>Low</v>
      </c>
      <c r="V73" t="str">
        <f t="shared" si="15"/>
        <v>High Risk</v>
      </c>
      <c r="W73" t="str">
        <f t="shared" si="16"/>
        <v>May</v>
      </c>
      <c r="X73">
        <f t="shared" si="17"/>
        <v>2025</v>
      </c>
    </row>
    <row r="74" spans="1:24" x14ac:dyDescent="0.35">
      <c r="A74" s="3">
        <v>45775</v>
      </c>
      <c r="B74" t="s">
        <v>188</v>
      </c>
      <c r="C74" t="s">
        <v>39</v>
      </c>
      <c r="D74" t="s">
        <v>189</v>
      </c>
      <c r="E74" t="s">
        <v>66</v>
      </c>
      <c r="F74" t="s">
        <v>48</v>
      </c>
      <c r="G74" t="s">
        <v>29</v>
      </c>
      <c r="H74">
        <v>22.7</v>
      </c>
      <c r="I74">
        <v>3665</v>
      </c>
      <c r="J74">
        <v>25</v>
      </c>
      <c r="K74">
        <v>14.5</v>
      </c>
      <c r="L74" t="s">
        <v>30</v>
      </c>
      <c r="M74">
        <v>12739.52</v>
      </c>
      <c r="N74">
        <v>13604</v>
      </c>
      <c r="O74" t="s">
        <v>91</v>
      </c>
      <c r="P74" t="str">
        <f t="shared" si="9"/>
        <v>Yes</v>
      </c>
      <c r="Q74">
        <f t="shared" si="10"/>
        <v>161.44999999999999</v>
      </c>
      <c r="R74">
        <f t="shared" si="11"/>
        <v>3.48</v>
      </c>
      <c r="S74">
        <f t="shared" si="12"/>
        <v>0.94</v>
      </c>
      <c r="T74" t="str">
        <f t="shared" si="13"/>
        <v>Delayed</v>
      </c>
      <c r="U74" t="str">
        <f t="shared" si="14"/>
        <v>Low</v>
      </c>
      <c r="V74" t="str">
        <f t="shared" si="15"/>
        <v>Medium Risk</v>
      </c>
      <c r="W74" t="str">
        <f t="shared" si="16"/>
        <v>Apr</v>
      </c>
      <c r="X74">
        <f t="shared" si="17"/>
        <v>2025</v>
      </c>
    </row>
    <row r="75" spans="1:24" x14ac:dyDescent="0.35">
      <c r="A75" s="3">
        <v>45784</v>
      </c>
      <c r="B75" t="s">
        <v>190</v>
      </c>
      <c r="C75" t="s">
        <v>52</v>
      </c>
      <c r="D75" t="s">
        <v>191</v>
      </c>
      <c r="E75" t="s">
        <v>41</v>
      </c>
      <c r="F75" t="s">
        <v>66</v>
      </c>
      <c r="G75" t="s">
        <v>42</v>
      </c>
      <c r="H75">
        <v>44.1</v>
      </c>
      <c r="I75">
        <v>2971</v>
      </c>
      <c r="J75">
        <v>80</v>
      </c>
      <c r="K75">
        <v>15.4</v>
      </c>
      <c r="L75" t="s">
        <v>30</v>
      </c>
      <c r="M75">
        <v>24438.97</v>
      </c>
      <c r="N75">
        <v>10352</v>
      </c>
      <c r="O75" t="s">
        <v>44</v>
      </c>
      <c r="P75" t="str">
        <f t="shared" si="9"/>
        <v>Yes</v>
      </c>
      <c r="Q75">
        <f t="shared" si="10"/>
        <v>67.37</v>
      </c>
      <c r="R75">
        <f t="shared" si="11"/>
        <v>8.23</v>
      </c>
      <c r="S75">
        <f t="shared" si="12"/>
        <v>2.36</v>
      </c>
      <c r="T75" t="str">
        <f t="shared" si="13"/>
        <v>Delayed</v>
      </c>
      <c r="U75" t="str">
        <f t="shared" si="14"/>
        <v>Medium</v>
      </c>
      <c r="V75" t="str">
        <f t="shared" si="15"/>
        <v>Medium Risk</v>
      </c>
      <c r="W75" t="str">
        <f t="shared" si="16"/>
        <v>May</v>
      </c>
      <c r="X75">
        <f t="shared" si="17"/>
        <v>2025</v>
      </c>
    </row>
    <row r="76" spans="1:24" x14ac:dyDescent="0.35">
      <c r="A76" s="3">
        <v>46001</v>
      </c>
      <c r="B76" t="s">
        <v>146</v>
      </c>
      <c r="C76" t="s">
        <v>52</v>
      </c>
      <c r="D76" t="s">
        <v>192</v>
      </c>
      <c r="E76" t="s">
        <v>27</v>
      </c>
      <c r="F76" t="s">
        <v>41</v>
      </c>
      <c r="G76" t="s">
        <v>42</v>
      </c>
      <c r="H76">
        <v>47.7</v>
      </c>
      <c r="I76">
        <v>3794</v>
      </c>
      <c r="J76">
        <v>55</v>
      </c>
      <c r="K76">
        <v>20</v>
      </c>
      <c r="L76" t="s">
        <v>43</v>
      </c>
      <c r="M76">
        <v>28934.98</v>
      </c>
      <c r="N76">
        <v>16654</v>
      </c>
      <c r="O76" t="s">
        <v>31</v>
      </c>
      <c r="P76" t="str">
        <f t="shared" si="9"/>
        <v>Yes</v>
      </c>
      <c r="Q76">
        <f t="shared" si="10"/>
        <v>79.540000000000006</v>
      </c>
      <c r="R76">
        <f t="shared" si="11"/>
        <v>7.63</v>
      </c>
      <c r="S76">
        <f t="shared" si="12"/>
        <v>1.74</v>
      </c>
      <c r="T76" t="str">
        <f t="shared" si="13"/>
        <v>Delayed</v>
      </c>
      <c r="U76" t="str">
        <f t="shared" si="14"/>
        <v>Medium</v>
      </c>
      <c r="V76" t="str">
        <f t="shared" si="15"/>
        <v>Low Risk</v>
      </c>
      <c r="W76" t="str">
        <f t="shared" si="16"/>
        <v>Dec</v>
      </c>
      <c r="X76">
        <f t="shared" si="17"/>
        <v>2025</v>
      </c>
    </row>
    <row r="77" spans="1:24" x14ac:dyDescent="0.35">
      <c r="A77" s="3">
        <v>45717</v>
      </c>
      <c r="B77" t="s">
        <v>193</v>
      </c>
      <c r="C77" t="s">
        <v>130</v>
      </c>
      <c r="D77" t="s">
        <v>194</v>
      </c>
      <c r="E77" t="s">
        <v>63</v>
      </c>
      <c r="F77" t="s">
        <v>66</v>
      </c>
      <c r="G77" t="s">
        <v>71</v>
      </c>
      <c r="H77">
        <v>26.8</v>
      </c>
      <c r="I77">
        <v>1636</v>
      </c>
      <c r="J77">
        <v>20</v>
      </c>
      <c r="K77">
        <v>15.6</v>
      </c>
      <c r="L77" t="s">
        <v>78</v>
      </c>
      <c r="M77">
        <v>17832.39</v>
      </c>
      <c r="N77">
        <v>6578</v>
      </c>
      <c r="O77" t="s">
        <v>84</v>
      </c>
      <c r="P77" t="str">
        <f t="shared" si="9"/>
        <v>No</v>
      </c>
      <c r="Q77">
        <f t="shared" si="10"/>
        <v>61.04</v>
      </c>
      <c r="R77">
        <f t="shared" si="11"/>
        <v>10.9</v>
      </c>
      <c r="S77">
        <f t="shared" si="12"/>
        <v>2.71</v>
      </c>
      <c r="T77" t="str">
        <f t="shared" si="13"/>
        <v>On Time</v>
      </c>
      <c r="U77" t="str">
        <f t="shared" si="14"/>
        <v>Low</v>
      </c>
      <c r="V77" t="str">
        <f t="shared" si="15"/>
        <v>Low Risk</v>
      </c>
      <c r="W77" t="str">
        <f t="shared" si="16"/>
        <v>Mar</v>
      </c>
      <c r="X77">
        <f t="shared" si="17"/>
        <v>2025</v>
      </c>
    </row>
    <row r="78" spans="1:24" x14ac:dyDescent="0.35">
      <c r="A78" s="3">
        <v>45725</v>
      </c>
      <c r="B78" t="s">
        <v>195</v>
      </c>
      <c r="C78" t="s">
        <v>52</v>
      </c>
      <c r="D78" t="s">
        <v>196</v>
      </c>
      <c r="E78" t="s">
        <v>27</v>
      </c>
      <c r="F78" t="s">
        <v>41</v>
      </c>
      <c r="G78" t="s">
        <v>35</v>
      </c>
      <c r="H78">
        <v>32.700000000000003</v>
      </c>
      <c r="I78">
        <v>1490</v>
      </c>
      <c r="J78">
        <v>114</v>
      </c>
      <c r="K78">
        <v>13.9</v>
      </c>
      <c r="L78" t="s">
        <v>49</v>
      </c>
      <c r="M78">
        <v>15524.99</v>
      </c>
      <c r="N78">
        <v>27425</v>
      </c>
      <c r="O78" t="s">
        <v>50</v>
      </c>
      <c r="P78" t="str">
        <f t="shared" si="9"/>
        <v>Yes</v>
      </c>
      <c r="Q78">
        <f t="shared" si="10"/>
        <v>45.57</v>
      </c>
      <c r="R78">
        <f t="shared" si="11"/>
        <v>10.42</v>
      </c>
      <c r="S78">
        <f t="shared" si="12"/>
        <v>0.56999999999999995</v>
      </c>
      <c r="T78" t="str">
        <f t="shared" si="13"/>
        <v>Delayed</v>
      </c>
      <c r="U78" t="str">
        <f t="shared" si="14"/>
        <v>Low</v>
      </c>
      <c r="V78" t="str">
        <f t="shared" si="15"/>
        <v>High Risk</v>
      </c>
      <c r="W78" t="str">
        <f t="shared" si="16"/>
        <v>Mar</v>
      </c>
      <c r="X78">
        <f t="shared" si="17"/>
        <v>2025</v>
      </c>
    </row>
    <row r="79" spans="1:24" x14ac:dyDescent="0.35">
      <c r="A79" s="3">
        <v>45918</v>
      </c>
      <c r="B79" t="s">
        <v>127</v>
      </c>
      <c r="C79" t="s">
        <v>130</v>
      </c>
      <c r="D79" t="s">
        <v>197</v>
      </c>
      <c r="E79" t="s">
        <v>48</v>
      </c>
      <c r="F79" t="s">
        <v>54</v>
      </c>
      <c r="G79" t="s">
        <v>29</v>
      </c>
      <c r="H79">
        <v>52.2</v>
      </c>
      <c r="I79">
        <v>3811</v>
      </c>
      <c r="J79">
        <v>104</v>
      </c>
      <c r="K79">
        <v>14.8</v>
      </c>
      <c r="L79" t="s">
        <v>30</v>
      </c>
      <c r="M79">
        <v>28924.01</v>
      </c>
      <c r="N79">
        <v>20530</v>
      </c>
      <c r="O79" t="s">
        <v>91</v>
      </c>
      <c r="P79" t="str">
        <f t="shared" si="9"/>
        <v>Yes</v>
      </c>
      <c r="Q79">
        <f t="shared" si="10"/>
        <v>73.010000000000005</v>
      </c>
      <c r="R79">
        <f t="shared" si="11"/>
        <v>7.59</v>
      </c>
      <c r="S79">
        <f t="shared" si="12"/>
        <v>1.41</v>
      </c>
      <c r="T79" t="str">
        <f t="shared" si="13"/>
        <v>Delayed</v>
      </c>
      <c r="U79" t="str">
        <f t="shared" si="14"/>
        <v>Medium</v>
      </c>
      <c r="V79" t="str">
        <f t="shared" si="15"/>
        <v>Medium Risk</v>
      </c>
      <c r="W79" t="str">
        <f t="shared" si="16"/>
        <v>Sep</v>
      </c>
      <c r="X79">
        <f t="shared" si="17"/>
        <v>2025</v>
      </c>
    </row>
    <row r="80" spans="1:24" x14ac:dyDescent="0.35">
      <c r="A80" s="3">
        <v>45981</v>
      </c>
      <c r="B80" t="s">
        <v>111</v>
      </c>
      <c r="C80" t="s">
        <v>52</v>
      </c>
      <c r="D80" t="s">
        <v>198</v>
      </c>
      <c r="E80" t="s">
        <v>54</v>
      </c>
      <c r="F80" t="s">
        <v>27</v>
      </c>
      <c r="G80" t="s">
        <v>29</v>
      </c>
      <c r="H80">
        <v>66.900000000000006</v>
      </c>
      <c r="I80">
        <v>567</v>
      </c>
      <c r="J80">
        <v>32</v>
      </c>
      <c r="K80">
        <v>11.7</v>
      </c>
      <c r="L80" t="s">
        <v>30</v>
      </c>
      <c r="M80">
        <v>33180.86</v>
      </c>
      <c r="N80">
        <v>29802</v>
      </c>
      <c r="O80" t="s">
        <v>67</v>
      </c>
      <c r="P80" t="str">
        <f t="shared" si="9"/>
        <v>Yes</v>
      </c>
      <c r="Q80">
        <f t="shared" si="10"/>
        <v>8.48</v>
      </c>
      <c r="R80">
        <f t="shared" si="11"/>
        <v>58.52</v>
      </c>
      <c r="S80">
        <f t="shared" si="12"/>
        <v>1.1100000000000001</v>
      </c>
      <c r="T80" t="str">
        <f t="shared" si="13"/>
        <v>Delayed</v>
      </c>
      <c r="U80" t="str">
        <f t="shared" si="14"/>
        <v>High</v>
      </c>
      <c r="V80" t="str">
        <f t="shared" si="15"/>
        <v>Medium Risk</v>
      </c>
      <c r="W80" t="str">
        <f t="shared" si="16"/>
        <v>Nov</v>
      </c>
      <c r="X80">
        <f t="shared" si="17"/>
        <v>2025</v>
      </c>
    </row>
    <row r="81" spans="1:24" x14ac:dyDescent="0.35">
      <c r="A81" s="3">
        <v>45670</v>
      </c>
      <c r="B81" t="s">
        <v>199</v>
      </c>
      <c r="C81" t="s">
        <v>52</v>
      </c>
      <c r="D81" t="s">
        <v>200</v>
      </c>
      <c r="E81" t="s">
        <v>54</v>
      </c>
      <c r="F81" t="s">
        <v>48</v>
      </c>
      <c r="G81" t="s">
        <v>29</v>
      </c>
      <c r="H81">
        <v>32.6</v>
      </c>
      <c r="I81">
        <v>2569</v>
      </c>
      <c r="J81">
        <v>56</v>
      </c>
      <c r="K81">
        <v>15</v>
      </c>
      <c r="L81" t="s">
        <v>43</v>
      </c>
      <c r="M81">
        <v>22164.35</v>
      </c>
      <c r="N81">
        <v>28434</v>
      </c>
      <c r="O81" t="s">
        <v>67</v>
      </c>
      <c r="P81" t="str">
        <f t="shared" si="9"/>
        <v>Yes</v>
      </c>
      <c r="Q81">
        <f t="shared" si="10"/>
        <v>78.8</v>
      </c>
      <c r="R81">
        <f t="shared" si="11"/>
        <v>8.6300000000000008</v>
      </c>
      <c r="S81">
        <f t="shared" si="12"/>
        <v>0.78</v>
      </c>
      <c r="T81" t="str">
        <f t="shared" si="13"/>
        <v>Delayed</v>
      </c>
      <c r="U81" t="str">
        <f t="shared" si="14"/>
        <v>Low</v>
      </c>
      <c r="V81" t="str">
        <f t="shared" si="15"/>
        <v>Low Risk</v>
      </c>
      <c r="W81" t="str">
        <f t="shared" si="16"/>
        <v>Jan</v>
      </c>
      <c r="X81">
        <f t="shared" si="17"/>
        <v>2025</v>
      </c>
    </row>
    <row r="82" spans="1:24" x14ac:dyDescent="0.35">
      <c r="A82" s="3">
        <v>45968</v>
      </c>
      <c r="B82" t="s">
        <v>201</v>
      </c>
      <c r="C82" t="s">
        <v>69</v>
      </c>
      <c r="D82" t="s">
        <v>202</v>
      </c>
      <c r="E82" t="s">
        <v>55</v>
      </c>
      <c r="F82" t="s">
        <v>66</v>
      </c>
      <c r="G82" t="s">
        <v>42</v>
      </c>
      <c r="H82">
        <v>48.2</v>
      </c>
      <c r="I82">
        <v>2514</v>
      </c>
      <c r="J82">
        <v>69</v>
      </c>
      <c r="K82">
        <v>21.5</v>
      </c>
      <c r="L82" t="s">
        <v>30</v>
      </c>
      <c r="M82">
        <v>24470.52</v>
      </c>
      <c r="N82">
        <v>18756</v>
      </c>
      <c r="O82" t="s">
        <v>91</v>
      </c>
      <c r="P82" t="str">
        <f t="shared" si="9"/>
        <v>Yes</v>
      </c>
      <c r="Q82">
        <f t="shared" si="10"/>
        <v>52.16</v>
      </c>
      <c r="R82">
        <f t="shared" si="11"/>
        <v>9.73</v>
      </c>
      <c r="S82">
        <f t="shared" si="12"/>
        <v>1.3</v>
      </c>
      <c r="T82" t="str">
        <f t="shared" si="13"/>
        <v>Delayed</v>
      </c>
      <c r="U82" t="str">
        <f t="shared" si="14"/>
        <v>Medium</v>
      </c>
      <c r="V82" t="str">
        <f t="shared" si="15"/>
        <v>Medium Risk</v>
      </c>
      <c r="W82" t="str">
        <f t="shared" si="16"/>
        <v>Nov</v>
      </c>
      <c r="X82">
        <f t="shared" si="17"/>
        <v>2025</v>
      </c>
    </row>
    <row r="83" spans="1:24" x14ac:dyDescent="0.35">
      <c r="A83" s="3">
        <v>45795</v>
      </c>
      <c r="B83" t="s">
        <v>203</v>
      </c>
      <c r="C83" t="s">
        <v>39</v>
      </c>
      <c r="D83" t="s">
        <v>204</v>
      </c>
      <c r="E83" t="s">
        <v>66</v>
      </c>
      <c r="F83" t="s">
        <v>41</v>
      </c>
      <c r="G83" t="s">
        <v>35</v>
      </c>
      <c r="H83">
        <v>31.8</v>
      </c>
      <c r="I83">
        <v>2945</v>
      </c>
      <c r="J83">
        <v>30</v>
      </c>
      <c r="K83">
        <v>20.6</v>
      </c>
      <c r="L83" t="s">
        <v>30</v>
      </c>
      <c r="M83">
        <v>21700.84</v>
      </c>
      <c r="N83">
        <v>26073</v>
      </c>
      <c r="O83" t="s">
        <v>44</v>
      </c>
      <c r="P83" t="str">
        <f t="shared" si="9"/>
        <v>Yes</v>
      </c>
      <c r="Q83">
        <f t="shared" si="10"/>
        <v>92.61</v>
      </c>
      <c r="R83">
        <f t="shared" si="11"/>
        <v>7.37</v>
      </c>
      <c r="S83">
        <f t="shared" si="12"/>
        <v>0.83</v>
      </c>
      <c r="T83" t="str">
        <f t="shared" si="13"/>
        <v>Delayed</v>
      </c>
      <c r="U83" t="str">
        <f t="shared" si="14"/>
        <v>Low</v>
      </c>
      <c r="V83" t="str">
        <f t="shared" si="15"/>
        <v>Medium Risk</v>
      </c>
      <c r="W83" t="str">
        <f t="shared" si="16"/>
        <v>May</v>
      </c>
      <c r="X83">
        <f t="shared" si="17"/>
        <v>2025</v>
      </c>
    </row>
    <row r="84" spans="1:24" x14ac:dyDescent="0.35">
      <c r="A84" s="3">
        <v>45718</v>
      </c>
      <c r="B84" t="s">
        <v>64</v>
      </c>
      <c r="C84" t="s">
        <v>109</v>
      </c>
      <c r="D84" t="s">
        <v>205</v>
      </c>
      <c r="E84" t="s">
        <v>66</v>
      </c>
      <c r="F84" t="s">
        <v>63</v>
      </c>
      <c r="G84" t="s">
        <v>42</v>
      </c>
      <c r="H84">
        <v>31</v>
      </c>
      <c r="I84">
        <v>2983</v>
      </c>
      <c r="J84">
        <v>106</v>
      </c>
      <c r="K84">
        <v>10.199999999999999</v>
      </c>
      <c r="L84" t="s">
        <v>30</v>
      </c>
      <c r="M84">
        <v>21195.93</v>
      </c>
      <c r="N84">
        <v>5886</v>
      </c>
      <c r="O84" t="s">
        <v>31</v>
      </c>
      <c r="P84" t="str">
        <f t="shared" si="9"/>
        <v>Yes</v>
      </c>
      <c r="Q84">
        <f t="shared" si="10"/>
        <v>96.23</v>
      </c>
      <c r="R84">
        <f t="shared" si="11"/>
        <v>7.11</v>
      </c>
      <c r="S84">
        <f t="shared" si="12"/>
        <v>3.6</v>
      </c>
      <c r="T84" t="str">
        <f t="shared" si="13"/>
        <v>Delayed</v>
      </c>
      <c r="U84" t="str">
        <f t="shared" si="14"/>
        <v>Low</v>
      </c>
      <c r="V84" t="str">
        <f t="shared" si="15"/>
        <v>Medium Risk</v>
      </c>
      <c r="W84" t="str">
        <f t="shared" si="16"/>
        <v>Mar</v>
      </c>
      <c r="X84">
        <f t="shared" si="17"/>
        <v>2025</v>
      </c>
    </row>
    <row r="85" spans="1:24" x14ac:dyDescent="0.35">
      <c r="A85" s="3">
        <v>45832</v>
      </c>
      <c r="B85" t="s">
        <v>167</v>
      </c>
      <c r="C85" t="s">
        <v>39</v>
      </c>
      <c r="D85" t="s">
        <v>206</v>
      </c>
      <c r="E85" t="s">
        <v>27</v>
      </c>
      <c r="F85" t="s">
        <v>54</v>
      </c>
      <c r="G85" t="s">
        <v>35</v>
      </c>
      <c r="H85">
        <v>73</v>
      </c>
      <c r="I85">
        <v>3878</v>
      </c>
      <c r="J85">
        <v>80</v>
      </c>
      <c r="K85">
        <v>12.7</v>
      </c>
      <c r="L85" t="s">
        <v>43</v>
      </c>
      <c r="M85">
        <v>33449.480000000003</v>
      </c>
      <c r="N85">
        <v>8329</v>
      </c>
      <c r="O85" t="s">
        <v>50</v>
      </c>
      <c r="P85" t="str">
        <f t="shared" si="9"/>
        <v>Yes</v>
      </c>
      <c r="Q85">
        <f t="shared" si="10"/>
        <v>53.12</v>
      </c>
      <c r="R85">
        <f t="shared" si="11"/>
        <v>8.6300000000000008</v>
      </c>
      <c r="S85">
        <f t="shared" si="12"/>
        <v>4.0199999999999996</v>
      </c>
      <c r="T85" t="str">
        <f t="shared" si="13"/>
        <v>Delayed</v>
      </c>
      <c r="U85" t="str">
        <f t="shared" si="14"/>
        <v>High</v>
      </c>
      <c r="V85" t="str">
        <f t="shared" si="15"/>
        <v>Low Risk</v>
      </c>
      <c r="W85" t="str">
        <f t="shared" si="16"/>
        <v>Jun</v>
      </c>
      <c r="X85">
        <f t="shared" si="17"/>
        <v>2025</v>
      </c>
    </row>
    <row r="86" spans="1:24" x14ac:dyDescent="0.35">
      <c r="A86" s="3">
        <v>45876</v>
      </c>
      <c r="B86" t="s">
        <v>207</v>
      </c>
      <c r="C86" t="s">
        <v>39</v>
      </c>
      <c r="D86" t="s">
        <v>208</v>
      </c>
      <c r="E86" t="s">
        <v>55</v>
      </c>
      <c r="F86" t="s">
        <v>28</v>
      </c>
      <c r="G86" t="s">
        <v>42</v>
      </c>
      <c r="H86">
        <v>68.400000000000006</v>
      </c>
      <c r="I86">
        <v>668</v>
      </c>
      <c r="J86">
        <v>112</v>
      </c>
      <c r="K86">
        <v>14</v>
      </c>
      <c r="L86" t="s">
        <v>30</v>
      </c>
      <c r="M86">
        <v>46099.89</v>
      </c>
      <c r="N86">
        <v>13750</v>
      </c>
      <c r="O86" t="s">
        <v>91</v>
      </c>
      <c r="P86" t="str">
        <f t="shared" si="9"/>
        <v>Yes</v>
      </c>
      <c r="Q86">
        <f t="shared" si="10"/>
        <v>9.77</v>
      </c>
      <c r="R86">
        <f t="shared" si="11"/>
        <v>69.010000000000005</v>
      </c>
      <c r="S86">
        <f t="shared" si="12"/>
        <v>3.35</v>
      </c>
      <c r="T86" t="str">
        <f t="shared" si="13"/>
        <v>Delayed</v>
      </c>
      <c r="U86" t="str">
        <f t="shared" si="14"/>
        <v>High</v>
      </c>
      <c r="V86" t="str">
        <f t="shared" si="15"/>
        <v>Medium Risk</v>
      </c>
      <c r="W86" t="str">
        <f t="shared" si="16"/>
        <v>Aug</v>
      </c>
      <c r="X86">
        <f t="shared" si="17"/>
        <v>2025</v>
      </c>
    </row>
    <row r="87" spans="1:24" x14ac:dyDescent="0.35">
      <c r="A87" s="3">
        <v>45858</v>
      </c>
      <c r="B87" t="s">
        <v>108</v>
      </c>
      <c r="C87" t="s">
        <v>57</v>
      </c>
      <c r="D87" t="s">
        <v>209</v>
      </c>
      <c r="E87" t="s">
        <v>27</v>
      </c>
      <c r="F87" t="s">
        <v>28</v>
      </c>
      <c r="G87" t="s">
        <v>42</v>
      </c>
      <c r="H87">
        <v>55.7</v>
      </c>
      <c r="I87">
        <v>1550</v>
      </c>
      <c r="J87">
        <v>102</v>
      </c>
      <c r="K87">
        <v>14.4</v>
      </c>
      <c r="L87" t="s">
        <v>43</v>
      </c>
      <c r="M87">
        <v>25597.46</v>
      </c>
      <c r="N87">
        <v>5140</v>
      </c>
      <c r="O87" t="s">
        <v>50</v>
      </c>
      <c r="P87" t="str">
        <f t="shared" si="9"/>
        <v>Yes</v>
      </c>
      <c r="Q87">
        <f t="shared" si="10"/>
        <v>27.83</v>
      </c>
      <c r="R87">
        <f t="shared" si="11"/>
        <v>16.510000000000002</v>
      </c>
      <c r="S87">
        <f t="shared" si="12"/>
        <v>4.9800000000000004</v>
      </c>
      <c r="T87" t="str">
        <f t="shared" si="13"/>
        <v>Delayed</v>
      </c>
      <c r="U87" t="str">
        <f t="shared" si="14"/>
        <v>Medium</v>
      </c>
      <c r="V87" t="str">
        <f t="shared" si="15"/>
        <v>Low Risk</v>
      </c>
      <c r="W87" t="str">
        <f t="shared" si="16"/>
        <v>Jul</v>
      </c>
      <c r="X87">
        <f t="shared" si="17"/>
        <v>2025</v>
      </c>
    </row>
    <row r="88" spans="1:24" x14ac:dyDescent="0.35">
      <c r="A88" s="3">
        <v>45729</v>
      </c>
      <c r="B88" t="s">
        <v>210</v>
      </c>
      <c r="C88" t="s">
        <v>130</v>
      </c>
      <c r="D88" t="s">
        <v>211</v>
      </c>
      <c r="E88" t="s">
        <v>55</v>
      </c>
      <c r="F88" t="s">
        <v>63</v>
      </c>
      <c r="G88" t="s">
        <v>71</v>
      </c>
      <c r="H88">
        <v>51.2</v>
      </c>
      <c r="I88">
        <v>2055</v>
      </c>
      <c r="J88">
        <v>38</v>
      </c>
      <c r="K88">
        <v>17.600000000000001</v>
      </c>
      <c r="L88" t="s">
        <v>78</v>
      </c>
      <c r="M88">
        <v>33017.129999999997</v>
      </c>
      <c r="N88">
        <v>26447</v>
      </c>
      <c r="O88" t="s">
        <v>67</v>
      </c>
      <c r="P88" t="str">
        <f t="shared" si="9"/>
        <v>No</v>
      </c>
      <c r="Q88">
        <f t="shared" si="10"/>
        <v>40.14</v>
      </c>
      <c r="R88">
        <f t="shared" si="11"/>
        <v>16.07</v>
      </c>
      <c r="S88">
        <f t="shared" si="12"/>
        <v>1.25</v>
      </c>
      <c r="T88" t="str">
        <f t="shared" si="13"/>
        <v>On Time</v>
      </c>
      <c r="U88" t="str">
        <f t="shared" si="14"/>
        <v>Medium</v>
      </c>
      <c r="V88" t="str">
        <f t="shared" si="15"/>
        <v>Low Risk</v>
      </c>
      <c r="W88" t="str">
        <f t="shared" si="16"/>
        <v>Mar</v>
      </c>
      <c r="X88">
        <f t="shared" si="17"/>
        <v>2025</v>
      </c>
    </row>
    <row r="89" spans="1:24" x14ac:dyDescent="0.35">
      <c r="A89" s="3">
        <v>45764</v>
      </c>
      <c r="B89" t="s">
        <v>129</v>
      </c>
      <c r="C89" t="s">
        <v>52</v>
      </c>
      <c r="D89" t="s">
        <v>212</v>
      </c>
      <c r="E89" t="s">
        <v>54</v>
      </c>
      <c r="F89" t="s">
        <v>27</v>
      </c>
      <c r="G89" t="s">
        <v>29</v>
      </c>
      <c r="H89">
        <v>43.8</v>
      </c>
      <c r="I89">
        <v>3190</v>
      </c>
      <c r="J89">
        <v>25</v>
      </c>
      <c r="K89">
        <v>19.8</v>
      </c>
      <c r="L89" t="s">
        <v>78</v>
      </c>
      <c r="M89">
        <v>24750.080000000002</v>
      </c>
      <c r="N89">
        <v>13850</v>
      </c>
      <c r="O89" t="s">
        <v>67</v>
      </c>
      <c r="P89" t="str">
        <f t="shared" si="9"/>
        <v>No</v>
      </c>
      <c r="Q89">
        <f t="shared" si="10"/>
        <v>72.83</v>
      </c>
      <c r="R89">
        <f t="shared" si="11"/>
        <v>7.76</v>
      </c>
      <c r="S89">
        <f t="shared" si="12"/>
        <v>1.79</v>
      </c>
      <c r="T89" t="str">
        <f t="shared" si="13"/>
        <v>On Time</v>
      </c>
      <c r="U89" t="str">
        <f t="shared" si="14"/>
        <v>Medium</v>
      </c>
      <c r="V89" t="str">
        <f t="shared" si="15"/>
        <v>Low Risk</v>
      </c>
      <c r="W89" t="str">
        <f t="shared" si="16"/>
        <v>Apr</v>
      </c>
      <c r="X89">
        <f t="shared" si="17"/>
        <v>2025</v>
      </c>
    </row>
    <row r="90" spans="1:24" x14ac:dyDescent="0.35">
      <c r="A90" s="3">
        <v>45741</v>
      </c>
      <c r="B90" t="s">
        <v>73</v>
      </c>
      <c r="C90" t="s">
        <v>95</v>
      </c>
      <c r="D90" t="s">
        <v>213</v>
      </c>
      <c r="E90" t="s">
        <v>27</v>
      </c>
      <c r="F90" t="s">
        <v>28</v>
      </c>
      <c r="G90" t="s">
        <v>29</v>
      </c>
      <c r="H90">
        <v>52.1</v>
      </c>
      <c r="I90">
        <v>2689</v>
      </c>
      <c r="J90">
        <v>86</v>
      </c>
      <c r="K90">
        <v>11.8</v>
      </c>
      <c r="L90" t="s">
        <v>30</v>
      </c>
      <c r="M90">
        <v>28605.11</v>
      </c>
      <c r="N90">
        <v>13924</v>
      </c>
      <c r="O90" t="s">
        <v>31</v>
      </c>
      <c r="P90" t="str">
        <f t="shared" si="9"/>
        <v>Yes</v>
      </c>
      <c r="Q90">
        <f t="shared" si="10"/>
        <v>51.61</v>
      </c>
      <c r="R90">
        <f t="shared" si="11"/>
        <v>10.64</v>
      </c>
      <c r="S90">
        <f t="shared" si="12"/>
        <v>2.0499999999999998</v>
      </c>
      <c r="T90" t="str">
        <f t="shared" si="13"/>
        <v>Delayed</v>
      </c>
      <c r="U90" t="str">
        <f t="shared" si="14"/>
        <v>Medium</v>
      </c>
      <c r="V90" t="str">
        <f t="shared" si="15"/>
        <v>Medium Risk</v>
      </c>
      <c r="W90" t="str">
        <f t="shared" si="16"/>
        <v>Mar</v>
      </c>
      <c r="X90">
        <f t="shared" si="17"/>
        <v>2025</v>
      </c>
    </row>
    <row r="91" spans="1:24" x14ac:dyDescent="0.35">
      <c r="A91" s="3">
        <v>45899</v>
      </c>
      <c r="B91" t="s">
        <v>214</v>
      </c>
      <c r="C91" t="s">
        <v>69</v>
      </c>
      <c r="D91" t="s">
        <v>215</v>
      </c>
      <c r="E91" t="s">
        <v>55</v>
      </c>
      <c r="F91" t="s">
        <v>41</v>
      </c>
      <c r="G91" t="s">
        <v>42</v>
      </c>
      <c r="H91">
        <v>62.1</v>
      </c>
      <c r="I91">
        <v>4505</v>
      </c>
      <c r="J91">
        <v>62</v>
      </c>
      <c r="K91">
        <v>17.399999999999999</v>
      </c>
      <c r="L91" t="s">
        <v>78</v>
      </c>
      <c r="M91">
        <v>30350.32</v>
      </c>
      <c r="N91">
        <v>5692</v>
      </c>
      <c r="O91" t="s">
        <v>59</v>
      </c>
      <c r="P91" t="str">
        <f t="shared" si="9"/>
        <v>No</v>
      </c>
      <c r="Q91">
        <f t="shared" si="10"/>
        <v>72.540000000000006</v>
      </c>
      <c r="R91">
        <f t="shared" si="11"/>
        <v>6.74</v>
      </c>
      <c r="S91">
        <f t="shared" si="12"/>
        <v>5.33</v>
      </c>
      <c r="T91" t="str">
        <f t="shared" si="13"/>
        <v>On Time</v>
      </c>
      <c r="U91" t="str">
        <f t="shared" si="14"/>
        <v>High</v>
      </c>
      <c r="V91" t="str">
        <f t="shared" si="15"/>
        <v>Low Risk</v>
      </c>
      <c r="W91" t="str">
        <f t="shared" si="16"/>
        <v>Aug</v>
      </c>
      <c r="X91">
        <f t="shared" si="17"/>
        <v>2025</v>
      </c>
    </row>
    <row r="92" spans="1:24" x14ac:dyDescent="0.35">
      <c r="A92" s="3">
        <v>45995</v>
      </c>
      <c r="B92" t="s">
        <v>113</v>
      </c>
      <c r="C92" t="s">
        <v>25</v>
      </c>
      <c r="D92" t="s">
        <v>216</v>
      </c>
      <c r="E92" t="s">
        <v>66</v>
      </c>
      <c r="F92" t="s">
        <v>54</v>
      </c>
      <c r="G92" t="s">
        <v>29</v>
      </c>
      <c r="H92">
        <v>38</v>
      </c>
      <c r="I92">
        <v>3112</v>
      </c>
      <c r="J92">
        <v>114</v>
      </c>
      <c r="K92">
        <v>12.9</v>
      </c>
      <c r="L92" t="s">
        <v>30</v>
      </c>
      <c r="M92">
        <v>23133.08</v>
      </c>
      <c r="N92">
        <v>17331</v>
      </c>
      <c r="O92" t="s">
        <v>67</v>
      </c>
      <c r="P92" t="str">
        <f t="shared" si="9"/>
        <v>Yes</v>
      </c>
      <c r="Q92">
        <f t="shared" si="10"/>
        <v>81.89</v>
      </c>
      <c r="R92">
        <f t="shared" si="11"/>
        <v>7.43</v>
      </c>
      <c r="S92">
        <f t="shared" si="12"/>
        <v>1.33</v>
      </c>
      <c r="T92" t="str">
        <f t="shared" si="13"/>
        <v>Delayed</v>
      </c>
      <c r="U92" t="str">
        <f t="shared" si="14"/>
        <v>Low</v>
      </c>
      <c r="V92" t="str">
        <f t="shared" si="15"/>
        <v>Medium Risk</v>
      </c>
      <c r="W92" t="str">
        <f t="shared" si="16"/>
        <v>Dec</v>
      </c>
      <c r="X92">
        <f t="shared" si="17"/>
        <v>2025</v>
      </c>
    </row>
    <row r="93" spans="1:24" x14ac:dyDescent="0.35">
      <c r="A93" s="3">
        <v>45949</v>
      </c>
      <c r="B93" t="s">
        <v>217</v>
      </c>
      <c r="C93" t="s">
        <v>39</v>
      </c>
      <c r="D93" t="s">
        <v>218</v>
      </c>
      <c r="E93" t="s">
        <v>54</v>
      </c>
      <c r="F93" t="s">
        <v>28</v>
      </c>
      <c r="G93" t="s">
        <v>71</v>
      </c>
      <c r="H93">
        <v>60.2</v>
      </c>
      <c r="I93">
        <v>4085</v>
      </c>
      <c r="J93">
        <v>53</v>
      </c>
      <c r="K93">
        <v>21</v>
      </c>
      <c r="L93" t="s">
        <v>43</v>
      </c>
      <c r="M93">
        <v>39991.050000000003</v>
      </c>
      <c r="N93">
        <v>6814</v>
      </c>
      <c r="O93" t="s">
        <v>44</v>
      </c>
      <c r="P93" t="str">
        <f t="shared" si="9"/>
        <v>Yes</v>
      </c>
      <c r="Q93">
        <f t="shared" si="10"/>
        <v>67.86</v>
      </c>
      <c r="R93">
        <f t="shared" si="11"/>
        <v>9.7899999999999991</v>
      </c>
      <c r="S93">
        <f t="shared" si="12"/>
        <v>5.87</v>
      </c>
      <c r="T93" t="str">
        <f t="shared" si="13"/>
        <v>Delayed</v>
      </c>
      <c r="U93" t="str">
        <f t="shared" si="14"/>
        <v>High</v>
      </c>
      <c r="V93" t="str">
        <f t="shared" si="15"/>
        <v>Low Risk</v>
      </c>
      <c r="W93" t="str">
        <f t="shared" si="16"/>
        <v>Oct</v>
      </c>
      <c r="X93">
        <f t="shared" si="17"/>
        <v>2025</v>
      </c>
    </row>
    <row r="94" spans="1:24" x14ac:dyDescent="0.35">
      <c r="A94" s="3">
        <v>45873</v>
      </c>
      <c r="B94" t="s">
        <v>127</v>
      </c>
      <c r="C94" t="s">
        <v>130</v>
      </c>
      <c r="D94" t="s">
        <v>219</v>
      </c>
      <c r="E94" t="s">
        <v>28</v>
      </c>
      <c r="F94" t="s">
        <v>54</v>
      </c>
      <c r="G94" t="s">
        <v>42</v>
      </c>
      <c r="H94">
        <v>57.7</v>
      </c>
      <c r="I94">
        <v>1526</v>
      </c>
      <c r="J94">
        <v>66</v>
      </c>
      <c r="K94">
        <v>15.8</v>
      </c>
      <c r="L94" t="s">
        <v>43</v>
      </c>
      <c r="M94">
        <v>37055.769999999997</v>
      </c>
      <c r="N94">
        <v>22273</v>
      </c>
      <c r="O94" t="s">
        <v>44</v>
      </c>
      <c r="P94" t="str">
        <f t="shared" si="9"/>
        <v>Yes</v>
      </c>
      <c r="Q94">
        <f t="shared" si="10"/>
        <v>26.45</v>
      </c>
      <c r="R94">
        <f t="shared" si="11"/>
        <v>24.28</v>
      </c>
      <c r="S94">
        <f t="shared" si="12"/>
        <v>1.66</v>
      </c>
      <c r="T94" t="str">
        <f t="shared" si="13"/>
        <v>Delayed</v>
      </c>
      <c r="U94" t="str">
        <f t="shared" si="14"/>
        <v>Medium</v>
      </c>
      <c r="V94" t="str">
        <f t="shared" si="15"/>
        <v>Low Risk</v>
      </c>
      <c r="W94" t="str">
        <f t="shared" si="16"/>
        <v>Aug</v>
      </c>
      <c r="X94">
        <f t="shared" si="17"/>
        <v>2025</v>
      </c>
    </row>
    <row r="95" spans="1:24" x14ac:dyDescent="0.35">
      <c r="A95" s="3">
        <v>45873</v>
      </c>
      <c r="B95" t="s">
        <v>87</v>
      </c>
      <c r="C95" t="s">
        <v>109</v>
      </c>
      <c r="D95" t="s">
        <v>220</v>
      </c>
      <c r="E95" t="s">
        <v>28</v>
      </c>
      <c r="F95" t="s">
        <v>54</v>
      </c>
      <c r="G95" t="s">
        <v>42</v>
      </c>
      <c r="H95">
        <v>39.799999999999997</v>
      </c>
      <c r="I95">
        <v>3787</v>
      </c>
      <c r="J95">
        <v>102</v>
      </c>
      <c r="K95">
        <v>13.3</v>
      </c>
      <c r="L95" t="s">
        <v>30</v>
      </c>
      <c r="M95">
        <v>22818.39</v>
      </c>
      <c r="N95">
        <v>20282</v>
      </c>
      <c r="O95" t="s">
        <v>67</v>
      </c>
      <c r="P95" t="str">
        <f t="shared" si="9"/>
        <v>Yes</v>
      </c>
      <c r="Q95">
        <f t="shared" si="10"/>
        <v>95.15</v>
      </c>
      <c r="R95">
        <f t="shared" si="11"/>
        <v>6.03</v>
      </c>
      <c r="S95">
        <f t="shared" si="12"/>
        <v>1.1299999999999999</v>
      </c>
      <c r="T95" t="str">
        <f t="shared" si="13"/>
        <v>Delayed</v>
      </c>
      <c r="U95" t="str">
        <f t="shared" si="14"/>
        <v>Low</v>
      </c>
      <c r="V95" t="str">
        <f t="shared" si="15"/>
        <v>Medium Risk</v>
      </c>
      <c r="W95" t="str">
        <f t="shared" si="16"/>
        <v>Aug</v>
      </c>
      <c r="X95">
        <f t="shared" si="17"/>
        <v>2025</v>
      </c>
    </row>
    <row r="96" spans="1:24" x14ac:dyDescent="0.35">
      <c r="A96" s="3">
        <v>45917</v>
      </c>
      <c r="B96" t="s">
        <v>221</v>
      </c>
      <c r="C96" t="s">
        <v>57</v>
      </c>
      <c r="D96" t="s">
        <v>222</v>
      </c>
      <c r="E96" t="s">
        <v>48</v>
      </c>
      <c r="F96" t="s">
        <v>66</v>
      </c>
      <c r="G96" t="s">
        <v>29</v>
      </c>
      <c r="H96">
        <v>27.8</v>
      </c>
      <c r="I96">
        <v>4822</v>
      </c>
      <c r="J96">
        <v>116</v>
      </c>
      <c r="K96">
        <v>18.7</v>
      </c>
      <c r="L96" t="s">
        <v>43</v>
      </c>
      <c r="M96">
        <v>16156.49</v>
      </c>
      <c r="N96">
        <v>12433</v>
      </c>
      <c r="O96" t="s">
        <v>50</v>
      </c>
      <c r="P96" t="str">
        <f t="shared" si="9"/>
        <v>Yes</v>
      </c>
      <c r="Q96">
        <f t="shared" si="10"/>
        <v>173.45</v>
      </c>
      <c r="R96">
        <f t="shared" si="11"/>
        <v>3.35</v>
      </c>
      <c r="S96">
        <f t="shared" si="12"/>
        <v>1.3</v>
      </c>
      <c r="T96" t="str">
        <f t="shared" si="13"/>
        <v>Delayed</v>
      </c>
      <c r="U96" t="str">
        <f t="shared" si="14"/>
        <v>Low</v>
      </c>
      <c r="V96" t="str">
        <f t="shared" si="15"/>
        <v>Low Risk</v>
      </c>
      <c r="W96" t="str">
        <f t="shared" si="16"/>
        <v>Sep</v>
      </c>
      <c r="X96">
        <f t="shared" si="17"/>
        <v>2025</v>
      </c>
    </row>
    <row r="97" spans="1:24" x14ac:dyDescent="0.35">
      <c r="A97" s="3">
        <v>45954</v>
      </c>
      <c r="B97" t="s">
        <v>223</v>
      </c>
      <c r="C97" t="s">
        <v>25</v>
      </c>
      <c r="D97" t="s">
        <v>224</v>
      </c>
      <c r="E97" t="s">
        <v>66</v>
      </c>
      <c r="F97" t="s">
        <v>48</v>
      </c>
      <c r="G97" t="s">
        <v>71</v>
      </c>
      <c r="H97">
        <v>33.5</v>
      </c>
      <c r="I97">
        <v>904</v>
      </c>
      <c r="J97">
        <v>101</v>
      </c>
      <c r="K97">
        <v>14.7</v>
      </c>
      <c r="L97" t="s">
        <v>49</v>
      </c>
      <c r="M97">
        <v>21466.47</v>
      </c>
      <c r="N97">
        <v>13551</v>
      </c>
      <c r="O97" t="s">
        <v>50</v>
      </c>
      <c r="P97" t="str">
        <f t="shared" si="9"/>
        <v>Yes</v>
      </c>
      <c r="Q97">
        <f t="shared" si="10"/>
        <v>26.99</v>
      </c>
      <c r="R97">
        <f t="shared" si="11"/>
        <v>23.75</v>
      </c>
      <c r="S97">
        <f t="shared" si="12"/>
        <v>1.58</v>
      </c>
      <c r="T97" t="str">
        <f t="shared" si="13"/>
        <v>Delayed</v>
      </c>
      <c r="U97" t="str">
        <f t="shared" si="14"/>
        <v>Low</v>
      </c>
      <c r="V97" t="str">
        <f t="shared" si="15"/>
        <v>High Risk</v>
      </c>
      <c r="W97" t="str">
        <f t="shared" si="16"/>
        <v>Oct</v>
      </c>
      <c r="X97">
        <f t="shared" si="17"/>
        <v>2025</v>
      </c>
    </row>
    <row r="98" spans="1:24" x14ac:dyDescent="0.35">
      <c r="A98" s="3">
        <v>45779</v>
      </c>
      <c r="B98" t="s">
        <v>190</v>
      </c>
      <c r="C98" t="s">
        <v>95</v>
      </c>
      <c r="D98" t="s">
        <v>225</v>
      </c>
      <c r="E98" t="s">
        <v>66</v>
      </c>
      <c r="F98" t="s">
        <v>54</v>
      </c>
      <c r="G98" t="s">
        <v>42</v>
      </c>
      <c r="H98">
        <v>57.7</v>
      </c>
      <c r="I98">
        <v>1575</v>
      </c>
      <c r="J98">
        <v>63</v>
      </c>
      <c r="K98">
        <v>19.2</v>
      </c>
      <c r="L98" t="s">
        <v>43</v>
      </c>
      <c r="M98">
        <v>31484.95</v>
      </c>
      <c r="N98">
        <v>19832</v>
      </c>
      <c r="O98" t="s">
        <v>31</v>
      </c>
      <c r="P98" t="str">
        <f t="shared" si="9"/>
        <v>Yes</v>
      </c>
      <c r="Q98">
        <f t="shared" si="10"/>
        <v>27.3</v>
      </c>
      <c r="R98">
        <f t="shared" si="11"/>
        <v>19.989999999999998</v>
      </c>
      <c r="S98">
        <f t="shared" si="12"/>
        <v>1.59</v>
      </c>
      <c r="T98" t="str">
        <f t="shared" si="13"/>
        <v>Delayed</v>
      </c>
      <c r="U98" t="str">
        <f t="shared" si="14"/>
        <v>Medium</v>
      </c>
      <c r="V98" t="str">
        <f t="shared" si="15"/>
        <v>Low Risk</v>
      </c>
      <c r="W98" t="str">
        <f t="shared" si="16"/>
        <v>May</v>
      </c>
      <c r="X98">
        <f t="shared" si="17"/>
        <v>2025</v>
      </c>
    </row>
    <row r="99" spans="1:24" x14ac:dyDescent="0.35">
      <c r="A99" s="3">
        <v>45834</v>
      </c>
      <c r="B99" t="s">
        <v>188</v>
      </c>
      <c r="C99" t="s">
        <v>130</v>
      </c>
      <c r="D99" t="s">
        <v>226</v>
      </c>
      <c r="E99" t="s">
        <v>63</v>
      </c>
      <c r="F99" t="s">
        <v>28</v>
      </c>
      <c r="G99" t="s">
        <v>35</v>
      </c>
      <c r="H99">
        <v>43.9</v>
      </c>
      <c r="I99">
        <v>2070</v>
      </c>
      <c r="J99">
        <v>88</v>
      </c>
      <c r="K99">
        <v>11.5</v>
      </c>
      <c r="L99" t="s">
        <v>43</v>
      </c>
      <c r="M99">
        <v>20830.400000000001</v>
      </c>
      <c r="N99">
        <v>23774</v>
      </c>
      <c r="O99" t="s">
        <v>44</v>
      </c>
      <c r="P99" t="str">
        <f t="shared" si="9"/>
        <v>Yes</v>
      </c>
      <c r="Q99">
        <f t="shared" si="10"/>
        <v>47.15</v>
      </c>
      <c r="R99">
        <f t="shared" si="11"/>
        <v>10.06</v>
      </c>
      <c r="S99">
        <f t="shared" si="12"/>
        <v>0.88</v>
      </c>
      <c r="T99" t="str">
        <f t="shared" si="13"/>
        <v>Delayed</v>
      </c>
      <c r="U99" t="str">
        <f t="shared" si="14"/>
        <v>Medium</v>
      </c>
      <c r="V99" t="str">
        <f t="shared" si="15"/>
        <v>Low Risk</v>
      </c>
      <c r="W99" t="str">
        <f t="shared" si="16"/>
        <v>Jun</v>
      </c>
      <c r="X99">
        <f t="shared" si="17"/>
        <v>2025</v>
      </c>
    </row>
    <row r="100" spans="1:24" x14ac:dyDescent="0.35">
      <c r="A100" s="3">
        <v>45662</v>
      </c>
      <c r="B100" t="s">
        <v>154</v>
      </c>
      <c r="C100" t="s">
        <v>130</v>
      </c>
      <c r="D100" t="s">
        <v>227</v>
      </c>
      <c r="E100" t="s">
        <v>54</v>
      </c>
      <c r="F100" t="s">
        <v>41</v>
      </c>
      <c r="G100" t="s">
        <v>71</v>
      </c>
      <c r="H100">
        <v>45.5</v>
      </c>
      <c r="I100">
        <v>4413</v>
      </c>
      <c r="J100">
        <v>86</v>
      </c>
      <c r="K100">
        <v>18.600000000000001</v>
      </c>
      <c r="L100" t="s">
        <v>43</v>
      </c>
      <c r="M100">
        <v>25415.15</v>
      </c>
      <c r="N100">
        <v>23498</v>
      </c>
      <c r="O100" t="s">
        <v>59</v>
      </c>
      <c r="P100" t="str">
        <f t="shared" si="9"/>
        <v>Yes</v>
      </c>
      <c r="Q100">
        <f t="shared" si="10"/>
        <v>96.99</v>
      </c>
      <c r="R100">
        <f t="shared" si="11"/>
        <v>5.76</v>
      </c>
      <c r="S100">
        <f t="shared" si="12"/>
        <v>1.08</v>
      </c>
      <c r="T100" t="str">
        <f t="shared" si="13"/>
        <v>Delayed</v>
      </c>
      <c r="U100" t="str">
        <f t="shared" si="14"/>
        <v>Medium</v>
      </c>
      <c r="V100" t="str">
        <f t="shared" si="15"/>
        <v>Low Risk</v>
      </c>
      <c r="W100" t="str">
        <f t="shared" si="16"/>
        <v>Jan</v>
      </c>
      <c r="X100">
        <f t="shared" si="17"/>
        <v>2025</v>
      </c>
    </row>
    <row r="101" spans="1:24" x14ac:dyDescent="0.35">
      <c r="A101" s="3">
        <v>45912</v>
      </c>
      <c r="B101" t="s">
        <v>118</v>
      </c>
      <c r="C101" t="s">
        <v>109</v>
      </c>
      <c r="D101" t="s">
        <v>228</v>
      </c>
      <c r="E101" t="s">
        <v>27</v>
      </c>
      <c r="F101" t="s">
        <v>48</v>
      </c>
      <c r="G101" t="s">
        <v>29</v>
      </c>
      <c r="H101">
        <v>43.2</v>
      </c>
      <c r="I101">
        <v>4562</v>
      </c>
      <c r="J101">
        <v>36</v>
      </c>
      <c r="K101">
        <v>20.7</v>
      </c>
      <c r="L101" t="s">
        <v>43</v>
      </c>
      <c r="M101">
        <v>28408.97</v>
      </c>
      <c r="N101">
        <v>12051</v>
      </c>
      <c r="O101" t="s">
        <v>31</v>
      </c>
      <c r="P101" t="str">
        <f t="shared" si="9"/>
        <v>Yes</v>
      </c>
      <c r="Q101">
        <f t="shared" si="10"/>
        <v>105.6</v>
      </c>
      <c r="R101">
        <f t="shared" si="11"/>
        <v>6.23</v>
      </c>
      <c r="S101">
        <f t="shared" si="12"/>
        <v>2.36</v>
      </c>
      <c r="T101" t="str">
        <f t="shared" si="13"/>
        <v>Delayed</v>
      </c>
      <c r="U101" t="str">
        <f t="shared" si="14"/>
        <v>Medium</v>
      </c>
      <c r="V101" t="str">
        <f t="shared" si="15"/>
        <v>Low Risk</v>
      </c>
      <c r="W101" t="str">
        <f t="shared" si="16"/>
        <v>Sep</v>
      </c>
      <c r="X101">
        <f t="shared" si="17"/>
        <v>2025</v>
      </c>
    </row>
    <row r="102" spans="1:24" x14ac:dyDescent="0.35">
      <c r="A102" s="3">
        <v>45782</v>
      </c>
      <c r="B102" t="s">
        <v>125</v>
      </c>
      <c r="C102" t="s">
        <v>109</v>
      </c>
      <c r="D102" t="s">
        <v>229</v>
      </c>
      <c r="E102" t="s">
        <v>54</v>
      </c>
      <c r="F102" t="s">
        <v>66</v>
      </c>
      <c r="G102" t="s">
        <v>35</v>
      </c>
      <c r="H102">
        <v>22</v>
      </c>
      <c r="I102">
        <v>4222</v>
      </c>
      <c r="J102">
        <v>54</v>
      </c>
      <c r="K102">
        <v>14.3</v>
      </c>
      <c r="L102" t="s">
        <v>78</v>
      </c>
      <c r="M102">
        <v>11619.13</v>
      </c>
      <c r="N102">
        <v>23925</v>
      </c>
      <c r="O102" t="s">
        <v>84</v>
      </c>
      <c r="P102" t="str">
        <f t="shared" si="9"/>
        <v>No</v>
      </c>
      <c r="Q102">
        <f t="shared" si="10"/>
        <v>191.91</v>
      </c>
      <c r="R102">
        <f t="shared" si="11"/>
        <v>2.75</v>
      </c>
      <c r="S102">
        <f t="shared" si="12"/>
        <v>0.49</v>
      </c>
      <c r="T102" t="str">
        <f t="shared" si="13"/>
        <v>On Time</v>
      </c>
      <c r="U102" t="str">
        <f t="shared" si="14"/>
        <v>Low</v>
      </c>
      <c r="V102" t="str">
        <f t="shared" si="15"/>
        <v>Low Risk</v>
      </c>
      <c r="W102" t="str">
        <f t="shared" si="16"/>
        <v>May</v>
      </c>
      <c r="X102">
        <f t="shared" si="17"/>
        <v>2025</v>
      </c>
    </row>
    <row r="103" spans="1:24" x14ac:dyDescent="0.35">
      <c r="A103" s="3">
        <v>45819</v>
      </c>
      <c r="B103" t="s">
        <v>133</v>
      </c>
      <c r="C103" t="s">
        <v>39</v>
      </c>
      <c r="D103" t="s">
        <v>230</v>
      </c>
      <c r="E103" t="s">
        <v>55</v>
      </c>
      <c r="F103" t="s">
        <v>27</v>
      </c>
      <c r="G103" t="s">
        <v>29</v>
      </c>
      <c r="H103">
        <v>25.4</v>
      </c>
      <c r="I103">
        <v>1911</v>
      </c>
      <c r="J103">
        <v>108</v>
      </c>
      <c r="K103">
        <v>18.600000000000001</v>
      </c>
      <c r="L103" t="s">
        <v>30</v>
      </c>
      <c r="M103">
        <v>16156</v>
      </c>
      <c r="N103">
        <v>11710</v>
      </c>
      <c r="O103" t="s">
        <v>67</v>
      </c>
      <c r="P103" t="str">
        <f t="shared" si="9"/>
        <v>Yes</v>
      </c>
      <c r="Q103">
        <f t="shared" si="10"/>
        <v>75.239999999999995</v>
      </c>
      <c r="R103">
        <f t="shared" si="11"/>
        <v>8.4499999999999993</v>
      </c>
      <c r="S103">
        <f t="shared" si="12"/>
        <v>1.38</v>
      </c>
      <c r="T103" t="str">
        <f t="shared" si="13"/>
        <v>Delayed</v>
      </c>
      <c r="U103" t="str">
        <f t="shared" si="14"/>
        <v>Low</v>
      </c>
      <c r="V103" t="str">
        <f t="shared" si="15"/>
        <v>Medium Risk</v>
      </c>
      <c r="W103" t="str">
        <f t="shared" si="16"/>
        <v>Jun</v>
      </c>
      <c r="X103">
        <f t="shared" si="17"/>
        <v>2025</v>
      </c>
    </row>
    <row r="104" spans="1:24" x14ac:dyDescent="0.35">
      <c r="A104" s="3">
        <v>45878</v>
      </c>
      <c r="B104" t="s">
        <v>157</v>
      </c>
      <c r="C104" t="s">
        <v>25</v>
      </c>
      <c r="D104" t="s">
        <v>231</v>
      </c>
      <c r="E104" t="s">
        <v>41</v>
      </c>
      <c r="F104" t="s">
        <v>55</v>
      </c>
      <c r="G104" t="s">
        <v>29</v>
      </c>
      <c r="H104">
        <v>40.299999999999997</v>
      </c>
      <c r="I104">
        <v>1930</v>
      </c>
      <c r="J104">
        <v>100</v>
      </c>
      <c r="K104">
        <v>20.9</v>
      </c>
      <c r="L104" t="s">
        <v>78</v>
      </c>
      <c r="M104">
        <v>25446.31</v>
      </c>
      <c r="N104">
        <v>7206</v>
      </c>
      <c r="O104" t="s">
        <v>91</v>
      </c>
      <c r="P104" t="str">
        <f t="shared" si="9"/>
        <v>No</v>
      </c>
      <c r="Q104">
        <f t="shared" si="10"/>
        <v>47.89</v>
      </c>
      <c r="R104">
        <f t="shared" si="11"/>
        <v>13.18</v>
      </c>
      <c r="S104">
        <f t="shared" si="12"/>
        <v>3.53</v>
      </c>
      <c r="T104" t="str">
        <f t="shared" si="13"/>
        <v>On Time</v>
      </c>
      <c r="U104" t="str">
        <f t="shared" si="14"/>
        <v>Medium</v>
      </c>
      <c r="V104" t="str">
        <f t="shared" si="15"/>
        <v>Low Risk</v>
      </c>
      <c r="W104" t="str">
        <f t="shared" si="16"/>
        <v>Aug</v>
      </c>
      <c r="X104">
        <f t="shared" si="17"/>
        <v>2025</v>
      </c>
    </row>
    <row r="105" spans="1:24" x14ac:dyDescent="0.35">
      <c r="A105" s="3">
        <v>45664</v>
      </c>
      <c r="B105" t="s">
        <v>167</v>
      </c>
      <c r="C105" t="s">
        <v>69</v>
      </c>
      <c r="D105" t="s">
        <v>232</v>
      </c>
      <c r="E105" t="s">
        <v>63</v>
      </c>
      <c r="F105" t="s">
        <v>55</v>
      </c>
      <c r="G105" t="s">
        <v>42</v>
      </c>
      <c r="H105">
        <v>78.5</v>
      </c>
      <c r="I105">
        <v>2169</v>
      </c>
      <c r="J105">
        <v>54</v>
      </c>
      <c r="K105">
        <v>11.2</v>
      </c>
      <c r="L105" t="s">
        <v>43</v>
      </c>
      <c r="M105">
        <v>40028.269999999997</v>
      </c>
      <c r="N105">
        <v>16786</v>
      </c>
      <c r="O105" t="s">
        <v>44</v>
      </c>
      <c r="P105" t="str">
        <f t="shared" si="9"/>
        <v>Yes</v>
      </c>
      <c r="Q105">
        <f t="shared" si="10"/>
        <v>27.63</v>
      </c>
      <c r="R105">
        <f t="shared" si="11"/>
        <v>18.45</v>
      </c>
      <c r="S105">
        <f t="shared" si="12"/>
        <v>2.38</v>
      </c>
      <c r="T105" t="str">
        <f t="shared" si="13"/>
        <v>Delayed</v>
      </c>
      <c r="U105" t="str">
        <f t="shared" si="14"/>
        <v>High</v>
      </c>
      <c r="V105" t="str">
        <f t="shared" si="15"/>
        <v>Low Risk</v>
      </c>
      <c r="W105" t="str">
        <f t="shared" si="16"/>
        <v>Jan</v>
      </c>
      <c r="X105">
        <f t="shared" si="17"/>
        <v>2025</v>
      </c>
    </row>
    <row r="106" spans="1:24" x14ac:dyDescent="0.35">
      <c r="A106" s="3">
        <v>45973</v>
      </c>
      <c r="B106" t="s">
        <v>233</v>
      </c>
      <c r="C106" t="s">
        <v>109</v>
      </c>
      <c r="D106" t="s">
        <v>234</v>
      </c>
      <c r="E106" t="s">
        <v>28</v>
      </c>
      <c r="F106" t="s">
        <v>41</v>
      </c>
      <c r="G106" t="s">
        <v>35</v>
      </c>
      <c r="H106">
        <v>77.599999999999994</v>
      </c>
      <c r="I106">
        <v>2040</v>
      </c>
      <c r="J106">
        <v>94</v>
      </c>
      <c r="K106">
        <v>11.5</v>
      </c>
      <c r="L106" t="s">
        <v>78</v>
      </c>
      <c r="M106">
        <v>41650.93</v>
      </c>
      <c r="N106">
        <v>24545</v>
      </c>
      <c r="O106" t="s">
        <v>67</v>
      </c>
      <c r="P106" t="str">
        <f t="shared" si="9"/>
        <v>No</v>
      </c>
      <c r="Q106">
        <f t="shared" si="10"/>
        <v>26.29</v>
      </c>
      <c r="R106">
        <f t="shared" si="11"/>
        <v>20.420000000000002</v>
      </c>
      <c r="S106">
        <f t="shared" si="12"/>
        <v>1.7</v>
      </c>
      <c r="T106" t="str">
        <f t="shared" si="13"/>
        <v>On Time</v>
      </c>
      <c r="U106" t="str">
        <f t="shared" si="14"/>
        <v>High</v>
      </c>
      <c r="V106" t="str">
        <f t="shared" si="15"/>
        <v>Low Risk</v>
      </c>
      <c r="W106" t="str">
        <f t="shared" si="16"/>
        <v>Nov</v>
      </c>
      <c r="X106">
        <f t="shared" si="17"/>
        <v>2025</v>
      </c>
    </row>
    <row r="107" spans="1:24" x14ac:dyDescent="0.35">
      <c r="A107" s="3">
        <v>45815</v>
      </c>
      <c r="B107" t="s">
        <v>98</v>
      </c>
      <c r="C107" t="s">
        <v>52</v>
      </c>
      <c r="D107" t="s">
        <v>235</v>
      </c>
      <c r="E107" t="s">
        <v>28</v>
      </c>
      <c r="F107" t="s">
        <v>41</v>
      </c>
      <c r="G107" t="s">
        <v>71</v>
      </c>
      <c r="H107">
        <v>79.5</v>
      </c>
      <c r="I107">
        <v>4003</v>
      </c>
      <c r="J107">
        <v>36</v>
      </c>
      <c r="K107">
        <v>19.5</v>
      </c>
      <c r="L107" t="s">
        <v>30</v>
      </c>
      <c r="M107">
        <v>51905.66</v>
      </c>
      <c r="N107">
        <v>17880</v>
      </c>
      <c r="O107" t="s">
        <v>36</v>
      </c>
      <c r="P107" t="str">
        <f t="shared" si="9"/>
        <v>Yes</v>
      </c>
      <c r="Q107">
        <f t="shared" si="10"/>
        <v>50.35</v>
      </c>
      <c r="R107">
        <f t="shared" si="11"/>
        <v>12.97</v>
      </c>
      <c r="S107">
        <f t="shared" si="12"/>
        <v>2.9</v>
      </c>
      <c r="T107" t="str">
        <f t="shared" si="13"/>
        <v>Delayed</v>
      </c>
      <c r="U107" t="str">
        <f t="shared" si="14"/>
        <v>High</v>
      </c>
      <c r="V107" t="str">
        <f t="shared" si="15"/>
        <v>Medium Risk</v>
      </c>
      <c r="W107" t="str">
        <f t="shared" si="16"/>
        <v>Jun</v>
      </c>
      <c r="X107">
        <f t="shared" si="17"/>
        <v>2025</v>
      </c>
    </row>
    <row r="108" spans="1:24" x14ac:dyDescent="0.35">
      <c r="A108" s="3">
        <v>45679</v>
      </c>
      <c r="B108" t="s">
        <v>236</v>
      </c>
      <c r="C108" t="s">
        <v>69</v>
      </c>
      <c r="D108" t="s">
        <v>237</v>
      </c>
      <c r="E108" t="s">
        <v>63</v>
      </c>
      <c r="F108" t="s">
        <v>66</v>
      </c>
      <c r="G108" t="s">
        <v>35</v>
      </c>
      <c r="H108">
        <v>44.7</v>
      </c>
      <c r="I108">
        <v>3801</v>
      </c>
      <c r="J108">
        <v>89</v>
      </c>
      <c r="K108">
        <v>14.4</v>
      </c>
      <c r="L108" t="s">
        <v>43</v>
      </c>
      <c r="M108">
        <v>25674.84</v>
      </c>
      <c r="N108">
        <v>5485</v>
      </c>
      <c r="O108" t="s">
        <v>50</v>
      </c>
      <c r="P108" t="str">
        <f t="shared" si="9"/>
        <v>Yes</v>
      </c>
      <c r="Q108">
        <f t="shared" si="10"/>
        <v>85.03</v>
      </c>
      <c r="R108">
        <f t="shared" si="11"/>
        <v>6.75</v>
      </c>
      <c r="S108">
        <f t="shared" si="12"/>
        <v>4.68</v>
      </c>
      <c r="T108" t="str">
        <f t="shared" si="13"/>
        <v>Delayed</v>
      </c>
      <c r="U108" t="str">
        <f t="shared" si="14"/>
        <v>Medium</v>
      </c>
      <c r="V108" t="str">
        <f t="shared" si="15"/>
        <v>Low Risk</v>
      </c>
      <c r="W108" t="str">
        <f t="shared" si="16"/>
        <v>Jan</v>
      </c>
      <c r="X108">
        <f t="shared" si="17"/>
        <v>2025</v>
      </c>
    </row>
    <row r="109" spans="1:24" x14ac:dyDescent="0.35">
      <c r="A109" s="3">
        <v>45692</v>
      </c>
      <c r="B109" t="s">
        <v>24</v>
      </c>
      <c r="C109" t="s">
        <v>95</v>
      </c>
      <c r="D109" t="s">
        <v>238</v>
      </c>
      <c r="E109" t="s">
        <v>54</v>
      </c>
      <c r="F109" t="s">
        <v>55</v>
      </c>
      <c r="G109" t="s">
        <v>42</v>
      </c>
      <c r="H109">
        <v>55.8</v>
      </c>
      <c r="I109">
        <v>4507</v>
      </c>
      <c r="J109">
        <v>27</v>
      </c>
      <c r="K109">
        <v>20.3</v>
      </c>
      <c r="L109" t="s">
        <v>78</v>
      </c>
      <c r="M109">
        <v>34112.660000000003</v>
      </c>
      <c r="N109">
        <v>23205</v>
      </c>
      <c r="O109" t="s">
        <v>59</v>
      </c>
      <c r="P109" t="str">
        <f t="shared" si="9"/>
        <v>No</v>
      </c>
      <c r="Q109">
        <f t="shared" si="10"/>
        <v>80.77</v>
      </c>
      <c r="R109">
        <f t="shared" si="11"/>
        <v>7.57</v>
      </c>
      <c r="S109">
        <f t="shared" si="12"/>
        <v>1.47</v>
      </c>
      <c r="T109" t="str">
        <f t="shared" si="13"/>
        <v>On Time</v>
      </c>
      <c r="U109" t="str">
        <f t="shared" si="14"/>
        <v>Medium</v>
      </c>
      <c r="V109" t="str">
        <f t="shared" si="15"/>
        <v>Low Risk</v>
      </c>
      <c r="W109" t="str">
        <f t="shared" si="16"/>
        <v>Feb</v>
      </c>
      <c r="X109">
        <f t="shared" si="17"/>
        <v>2025</v>
      </c>
    </row>
    <row r="110" spans="1:24" x14ac:dyDescent="0.35">
      <c r="A110" s="3">
        <v>45680</v>
      </c>
      <c r="B110" t="s">
        <v>190</v>
      </c>
      <c r="C110" t="s">
        <v>130</v>
      </c>
      <c r="D110" t="s">
        <v>239</v>
      </c>
      <c r="E110" t="s">
        <v>28</v>
      </c>
      <c r="F110" t="s">
        <v>66</v>
      </c>
      <c r="G110" t="s">
        <v>71</v>
      </c>
      <c r="H110">
        <v>46.7</v>
      </c>
      <c r="I110">
        <v>4199</v>
      </c>
      <c r="J110">
        <v>77</v>
      </c>
      <c r="K110">
        <v>18.600000000000001</v>
      </c>
      <c r="L110" t="s">
        <v>49</v>
      </c>
      <c r="M110">
        <v>31927.62</v>
      </c>
      <c r="N110">
        <v>27502</v>
      </c>
      <c r="O110" t="s">
        <v>59</v>
      </c>
      <c r="P110" t="str">
        <f t="shared" si="9"/>
        <v>Yes</v>
      </c>
      <c r="Q110">
        <f t="shared" si="10"/>
        <v>89.91</v>
      </c>
      <c r="R110">
        <f t="shared" si="11"/>
        <v>7.6</v>
      </c>
      <c r="S110">
        <f t="shared" si="12"/>
        <v>1.1599999999999999</v>
      </c>
      <c r="T110" t="str">
        <f t="shared" si="13"/>
        <v>Delayed</v>
      </c>
      <c r="U110" t="str">
        <f t="shared" si="14"/>
        <v>Medium</v>
      </c>
      <c r="V110" t="str">
        <f t="shared" si="15"/>
        <v>High Risk</v>
      </c>
      <c r="W110" t="str">
        <f t="shared" si="16"/>
        <v>Jan</v>
      </c>
      <c r="X110">
        <f t="shared" si="17"/>
        <v>2025</v>
      </c>
    </row>
    <row r="111" spans="1:24" x14ac:dyDescent="0.35">
      <c r="A111" s="3">
        <v>45749</v>
      </c>
      <c r="B111" t="s">
        <v>104</v>
      </c>
      <c r="C111" t="s">
        <v>52</v>
      </c>
      <c r="D111" t="s">
        <v>240</v>
      </c>
      <c r="E111" t="s">
        <v>63</v>
      </c>
      <c r="F111" t="s">
        <v>54</v>
      </c>
      <c r="G111" t="s">
        <v>35</v>
      </c>
      <c r="H111">
        <v>47.8</v>
      </c>
      <c r="I111">
        <v>1826</v>
      </c>
      <c r="J111">
        <v>26</v>
      </c>
      <c r="K111">
        <v>17.5</v>
      </c>
      <c r="L111" t="s">
        <v>78</v>
      </c>
      <c r="M111">
        <v>31365.919999999998</v>
      </c>
      <c r="N111">
        <v>16253</v>
      </c>
      <c r="O111" t="s">
        <v>50</v>
      </c>
      <c r="P111" t="str">
        <f t="shared" si="9"/>
        <v>No</v>
      </c>
      <c r="Q111">
        <f t="shared" si="10"/>
        <v>38.200000000000003</v>
      </c>
      <c r="R111">
        <f t="shared" si="11"/>
        <v>17.18</v>
      </c>
      <c r="S111">
        <f t="shared" si="12"/>
        <v>1.93</v>
      </c>
      <c r="T111" t="str">
        <f t="shared" si="13"/>
        <v>On Time</v>
      </c>
      <c r="U111" t="str">
        <f t="shared" si="14"/>
        <v>Medium</v>
      </c>
      <c r="V111" t="str">
        <f t="shared" si="15"/>
        <v>Low Risk</v>
      </c>
      <c r="W111" t="str">
        <f t="shared" si="16"/>
        <v>Apr</v>
      </c>
      <c r="X111">
        <f t="shared" si="17"/>
        <v>2025</v>
      </c>
    </row>
    <row r="112" spans="1:24" x14ac:dyDescent="0.35">
      <c r="A112" s="3">
        <v>45811</v>
      </c>
      <c r="B112" t="s">
        <v>217</v>
      </c>
      <c r="C112" t="s">
        <v>69</v>
      </c>
      <c r="D112" t="s">
        <v>241</v>
      </c>
      <c r="E112" t="s">
        <v>27</v>
      </c>
      <c r="F112" t="s">
        <v>55</v>
      </c>
      <c r="G112" t="s">
        <v>42</v>
      </c>
      <c r="H112">
        <v>21.9</v>
      </c>
      <c r="I112">
        <v>1707</v>
      </c>
      <c r="J112">
        <v>107</v>
      </c>
      <c r="K112">
        <v>16</v>
      </c>
      <c r="L112" t="s">
        <v>30</v>
      </c>
      <c r="M112">
        <v>9896.5499999999993</v>
      </c>
      <c r="N112">
        <v>23269</v>
      </c>
      <c r="O112" t="s">
        <v>31</v>
      </c>
      <c r="P112" t="str">
        <f t="shared" si="9"/>
        <v>Yes</v>
      </c>
      <c r="Q112">
        <f t="shared" si="10"/>
        <v>77.95</v>
      </c>
      <c r="R112">
        <f t="shared" si="11"/>
        <v>5.8</v>
      </c>
      <c r="S112">
        <f t="shared" si="12"/>
        <v>0.43</v>
      </c>
      <c r="T112" t="str">
        <f t="shared" si="13"/>
        <v>Delayed</v>
      </c>
      <c r="U112" t="str">
        <f t="shared" si="14"/>
        <v>Low</v>
      </c>
      <c r="V112" t="str">
        <f t="shared" si="15"/>
        <v>Medium Risk</v>
      </c>
      <c r="W112" t="str">
        <f t="shared" si="16"/>
        <v>Jun</v>
      </c>
      <c r="X112">
        <f t="shared" si="17"/>
        <v>2025</v>
      </c>
    </row>
    <row r="113" spans="1:24" x14ac:dyDescent="0.35">
      <c r="A113" s="3">
        <v>45709</v>
      </c>
      <c r="B113" t="s">
        <v>157</v>
      </c>
      <c r="C113" t="s">
        <v>69</v>
      </c>
      <c r="D113" t="s">
        <v>242</v>
      </c>
      <c r="E113" t="s">
        <v>55</v>
      </c>
      <c r="F113" t="s">
        <v>41</v>
      </c>
      <c r="G113" t="s">
        <v>71</v>
      </c>
      <c r="H113">
        <v>71.5</v>
      </c>
      <c r="I113">
        <v>2068</v>
      </c>
      <c r="J113">
        <v>120</v>
      </c>
      <c r="K113">
        <v>20.399999999999999</v>
      </c>
      <c r="L113" t="s">
        <v>78</v>
      </c>
      <c r="M113">
        <v>35038.85</v>
      </c>
      <c r="N113">
        <v>15439</v>
      </c>
      <c r="O113" t="s">
        <v>91</v>
      </c>
      <c r="P113" t="str">
        <f t="shared" si="9"/>
        <v>No</v>
      </c>
      <c r="Q113">
        <f t="shared" si="10"/>
        <v>28.92</v>
      </c>
      <c r="R113">
        <f t="shared" si="11"/>
        <v>16.940000000000001</v>
      </c>
      <c r="S113">
        <f t="shared" si="12"/>
        <v>2.27</v>
      </c>
      <c r="T113" t="str">
        <f t="shared" si="13"/>
        <v>On Time</v>
      </c>
      <c r="U113" t="str">
        <f t="shared" si="14"/>
        <v>High</v>
      </c>
      <c r="V113" t="str">
        <f t="shared" si="15"/>
        <v>Low Risk</v>
      </c>
      <c r="W113" t="str">
        <f t="shared" si="16"/>
        <v>Feb</v>
      </c>
      <c r="X113">
        <f t="shared" si="17"/>
        <v>2025</v>
      </c>
    </row>
    <row r="114" spans="1:24" x14ac:dyDescent="0.35">
      <c r="A114" s="3">
        <v>45917</v>
      </c>
      <c r="B114" t="s">
        <v>111</v>
      </c>
      <c r="C114" t="s">
        <v>130</v>
      </c>
      <c r="D114" t="s">
        <v>243</v>
      </c>
      <c r="E114" t="s">
        <v>66</v>
      </c>
      <c r="F114" t="s">
        <v>27</v>
      </c>
      <c r="G114" t="s">
        <v>71</v>
      </c>
      <c r="H114">
        <v>28.9</v>
      </c>
      <c r="I114">
        <v>3244</v>
      </c>
      <c r="J114">
        <v>21</v>
      </c>
      <c r="K114">
        <v>17.600000000000001</v>
      </c>
      <c r="L114" t="s">
        <v>30</v>
      </c>
      <c r="M114">
        <v>19156.689999999999</v>
      </c>
      <c r="N114">
        <v>16962</v>
      </c>
      <c r="O114" t="s">
        <v>59</v>
      </c>
      <c r="P114" t="str">
        <f t="shared" si="9"/>
        <v>Yes</v>
      </c>
      <c r="Q114">
        <f t="shared" si="10"/>
        <v>112.25</v>
      </c>
      <c r="R114">
        <f t="shared" si="11"/>
        <v>5.91</v>
      </c>
      <c r="S114">
        <f t="shared" si="12"/>
        <v>1.1299999999999999</v>
      </c>
      <c r="T114" t="str">
        <f t="shared" si="13"/>
        <v>Delayed</v>
      </c>
      <c r="U114" t="str">
        <f t="shared" si="14"/>
        <v>Low</v>
      </c>
      <c r="V114" t="str">
        <f t="shared" si="15"/>
        <v>Medium Risk</v>
      </c>
      <c r="W114" t="str">
        <f t="shared" si="16"/>
        <v>Sep</v>
      </c>
      <c r="X114">
        <f t="shared" si="17"/>
        <v>2025</v>
      </c>
    </row>
    <row r="115" spans="1:24" x14ac:dyDescent="0.35">
      <c r="A115" s="3">
        <v>46014</v>
      </c>
      <c r="B115" t="s">
        <v>244</v>
      </c>
      <c r="C115" t="s">
        <v>69</v>
      </c>
      <c r="D115" t="s">
        <v>245</v>
      </c>
      <c r="E115" t="s">
        <v>63</v>
      </c>
      <c r="F115" t="s">
        <v>55</v>
      </c>
      <c r="G115" t="s">
        <v>42</v>
      </c>
      <c r="H115">
        <v>57.9</v>
      </c>
      <c r="I115">
        <v>848</v>
      </c>
      <c r="J115">
        <v>103</v>
      </c>
      <c r="K115">
        <v>12.2</v>
      </c>
      <c r="L115" t="s">
        <v>49</v>
      </c>
      <c r="M115">
        <v>35771.040000000001</v>
      </c>
      <c r="N115">
        <v>14751</v>
      </c>
      <c r="O115" t="s">
        <v>91</v>
      </c>
      <c r="P115" t="str">
        <f t="shared" si="9"/>
        <v>Yes</v>
      </c>
      <c r="Q115">
        <f t="shared" si="10"/>
        <v>14.65</v>
      </c>
      <c r="R115">
        <f t="shared" si="11"/>
        <v>42.18</v>
      </c>
      <c r="S115">
        <f t="shared" si="12"/>
        <v>2.42</v>
      </c>
      <c r="T115" t="str">
        <f t="shared" si="13"/>
        <v>Delayed</v>
      </c>
      <c r="U115" t="str">
        <f t="shared" si="14"/>
        <v>Medium</v>
      </c>
      <c r="V115" t="str">
        <f t="shared" si="15"/>
        <v>High Risk</v>
      </c>
      <c r="W115" t="str">
        <f t="shared" si="16"/>
        <v>Dec</v>
      </c>
      <c r="X115">
        <f t="shared" si="17"/>
        <v>2025</v>
      </c>
    </row>
    <row r="116" spans="1:24" x14ac:dyDescent="0.35">
      <c r="A116" s="3">
        <v>45897</v>
      </c>
      <c r="B116" t="s">
        <v>246</v>
      </c>
      <c r="C116" t="s">
        <v>52</v>
      </c>
      <c r="D116" t="s">
        <v>247</v>
      </c>
      <c r="E116" t="s">
        <v>63</v>
      </c>
      <c r="F116" t="s">
        <v>66</v>
      </c>
      <c r="G116" t="s">
        <v>42</v>
      </c>
      <c r="H116">
        <v>28.1</v>
      </c>
      <c r="I116">
        <v>1899</v>
      </c>
      <c r="J116">
        <v>92</v>
      </c>
      <c r="K116">
        <v>22</v>
      </c>
      <c r="L116" t="s">
        <v>78</v>
      </c>
      <c r="M116">
        <v>15256.39</v>
      </c>
      <c r="N116">
        <v>23911</v>
      </c>
      <c r="O116" t="s">
        <v>44</v>
      </c>
      <c r="P116" t="str">
        <f t="shared" si="9"/>
        <v>No</v>
      </c>
      <c r="Q116">
        <f t="shared" si="10"/>
        <v>67.58</v>
      </c>
      <c r="R116">
        <f t="shared" si="11"/>
        <v>8.0299999999999994</v>
      </c>
      <c r="S116">
        <f t="shared" si="12"/>
        <v>0.64</v>
      </c>
      <c r="T116" t="str">
        <f t="shared" si="13"/>
        <v>On Time</v>
      </c>
      <c r="U116" t="str">
        <f t="shared" si="14"/>
        <v>Low</v>
      </c>
      <c r="V116" t="str">
        <f t="shared" si="15"/>
        <v>Low Risk</v>
      </c>
      <c r="W116" t="str">
        <f t="shared" si="16"/>
        <v>Aug</v>
      </c>
      <c r="X116">
        <f t="shared" si="17"/>
        <v>2025</v>
      </c>
    </row>
    <row r="117" spans="1:24" x14ac:dyDescent="0.35">
      <c r="A117" s="3">
        <v>45823</v>
      </c>
      <c r="B117" t="s">
        <v>120</v>
      </c>
      <c r="C117" t="s">
        <v>57</v>
      </c>
      <c r="D117" t="s">
        <v>248</v>
      </c>
      <c r="E117" t="s">
        <v>41</v>
      </c>
      <c r="F117" t="s">
        <v>28</v>
      </c>
      <c r="G117" t="s">
        <v>29</v>
      </c>
      <c r="H117">
        <v>48.1</v>
      </c>
      <c r="I117">
        <v>2279</v>
      </c>
      <c r="J117">
        <v>50</v>
      </c>
      <c r="K117">
        <v>11.3</v>
      </c>
      <c r="L117" t="s">
        <v>78</v>
      </c>
      <c r="M117">
        <v>22226.29</v>
      </c>
      <c r="N117">
        <v>27662</v>
      </c>
      <c r="O117" t="s">
        <v>59</v>
      </c>
      <c r="P117" t="str">
        <f t="shared" si="9"/>
        <v>No</v>
      </c>
      <c r="Q117">
        <f t="shared" si="10"/>
        <v>47.38</v>
      </c>
      <c r="R117">
        <f t="shared" si="11"/>
        <v>9.75</v>
      </c>
      <c r="S117">
        <f t="shared" si="12"/>
        <v>0.8</v>
      </c>
      <c r="T117" t="str">
        <f t="shared" si="13"/>
        <v>On Time</v>
      </c>
      <c r="U117" t="str">
        <f t="shared" si="14"/>
        <v>Medium</v>
      </c>
      <c r="V117" t="str">
        <f t="shared" si="15"/>
        <v>Low Risk</v>
      </c>
      <c r="W117" t="str">
        <f t="shared" si="16"/>
        <v>Jun</v>
      </c>
      <c r="X117">
        <f t="shared" si="17"/>
        <v>2025</v>
      </c>
    </row>
    <row r="118" spans="1:24" x14ac:dyDescent="0.35">
      <c r="A118" s="3">
        <v>45979</v>
      </c>
      <c r="B118" t="s">
        <v>113</v>
      </c>
      <c r="C118" t="s">
        <v>25</v>
      </c>
      <c r="D118" t="s">
        <v>249</v>
      </c>
      <c r="E118" t="s">
        <v>63</v>
      </c>
      <c r="F118" t="s">
        <v>66</v>
      </c>
      <c r="G118" t="s">
        <v>42</v>
      </c>
      <c r="H118">
        <v>77.400000000000006</v>
      </c>
      <c r="I118">
        <v>3762</v>
      </c>
      <c r="J118">
        <v>114</v>
      </c>
      <c r="K118">
        <v>15.4</v>
      </c>
      <c r="L118" t="s">
        <v>78</v>
      </c>
      <c r="M118">
        <v>36157.760000000002</v>
      </c>
      <c r="N118">
        <v>14008</v>
      </c>
      <c r="O118" t="s">
        <v>59</v>
      </c>
      <c r="P118" t="str">
        <f t="shared" si="9"/>
        <v>No</v>
      </c>
      <c r="Q118">
        <f t="shared" si="10"/>
        <v>48.6</v>
      </c>
      <c r="R118">
        <f t="shared" si="11"/>
        <v>9.61</v>
      </c>
      <c r="S118">
        <f t="shared" si="12"/>
        <v>2.58</v>
      </c>
      <c r="T118" t="str">
        <f t="shared" si="13"/>
        <v>On Time</v>
      </c>
      <c r="U118" t="str">
        <f t="shared" si="14"/>
        <v>High</v>
      </c>
      <c r="V118" t="str">
        <f t="shared" si="15"/>
        <v>Low Risk</v>
      </c>
      <c r="W118" t="str">
        <f t="shared" si="16"/>
        <v>Nov</v>
      </c>
      <c r="X118">
        <f t="shared" si="17"/>
        <v>2025</v>
      </c>
    </row>
    <row r="119" spans="1:24" x14ac:dyDescent="0.35">
      <c r="A119" s="3">
        <v>45877</v>
      </c>
      <c r="B119" t="s">
        <v>250</v>
      </c>
      <c r="C119" t="s">
        <v>130</v>
      </c>
      <c r="D119" t="s">
        <v>251</v>
      </c>
      <c r="E119" t="s">
        <v>66</v>
      </c>
      <c r="F119" t="s">
        <v>55</v>
      </c>
      <c r="G119" t="s">
        <v>42</v>
      </c>
      <c r="H119">
        <v>76.7</v>
      </c>
      <c r="I119">
        <v>2901</v>
      </c>
      <c r="J119">
        <v>26</v>
      </c>
      <c r="K119">
        <v>21.9</v>
      </c>
      <c r="L119" t="s">
        <v>43</v>
      </c>
      <c r="M119">
        <v>47340.72</v>
      </c>
      <c r="N119">
        <v>24153</v>
      </c>
      <c r="O119" t="s">
        <v>84</v>
      </c>
      <c r="P119" t="str">
        <f t="shared" si="9"/>
        <v>Yes</v>
      </c>
      <c r="Q119">
        <f t="shared" si="10"/>
        <v>37.82</v>
      </c>
      <c r="R119">
        <f t="shared" si="11"/>
        <v>16.32</v>
      </c>
      <c r="S119">
        <f t="shared" si="12"/>
        <v>1.96</v>
      </c>
      <c r="T119" t="str">
        <f t="shared" si="13"/>
        <v>Delayed</v>
      </c>
      <c r="U119" t="str">
        <f t="shared" si="14"/>
        <v>High</v>
      </c>
      <c r="V119" t="str">
        <f t="shared" si="15"/>
        <v>Low Risk</v>
      </c>
      <c r="W119" t="str">
        <f t="shared" si="16"/>
        <v>Aug</v>
      </c>
      <c r="X119">
        <f t="shared" si="17"/>
        <v>2025</v>
      </c>
    </row>
    <row r="120" spans="1:24" x14ac:dyDescent="0.35">
      <c r="A120" s="3">
        <v>45946</v>
      </c>
      <c r="B120" t="s">
        <v>221</v>
      </c>
      <c r="C120" t="s">
        <v>25</v>
      </c>
      <c r="D120" t="s">
        <v>252</v>
      </c>
      <c r="E120" t="s">
        <v>66</v>
      </c>
      <c r="F120" t="s">
        <v>54</v>
      </c>
      <c r="G120" t="s">
        <v>71</v>
      </c>
      <c r="H120">
        <v>32.6</v>
      </c>
      <c r="I120">
        <v>2455</v>
      </c>
      <c r="J120">
        <v>22</v>
      </c>
      <c r="K120">
        <v>12.2</v>
      </c>
      <c r="L120" t="s">
        <v>43</v>
      </c>
      <c r="M120">
        <v>20497.419999999998</v>
      </c>
      <c r="N120">
        <v>29155</v>
      </c>
      <c r="O120" t="s">
        <v>50</v>
      </c>
      <c r="P120" t="str">
        <f t="shared" si="9"/>
        <v>Yes</v>
      </c>
      <c r="Q120">
        <f t="shared" si="10"/>
        <v>75.31</v>
      </c>
      <c r="R120">
        <f t="shared" si="11"/>
        <v>8.35</v>
      </c>
      <c r="S120">
        <f t="shared" si="12"/>
        <v>0.7</v>
      </c>
      <c r="T120" t="str">
        <f t="shared" si="13"/>
        <v>Delayed</v>
      </c>
      <c r="U120" t="str">
        <f t="shared" si="14"/>
        <v>Low</v>
      </c>
      <c r="V120" t="str">
        <f t="shared" si="15"/>
        <v>Low Risk</v>
      </c>
      <c r="W120" t="str">
        <f t="shared" si="16"/>
        <v>Oct</v>
      </c>
      <c r="X120">
        <f t="shared" si="17"/>
        <v>2025</v>
      </c>
    </row>
    <row r="121" spans="1:24" x14ac:dyDescent="0.35">
      <c r="A121" s="3">
        <v>45738</v>
      </c>
      <c r="B121" t="s">
        <v>87</v>
      </c>
      <c r="C121" t="s">
        <v>39</v>
      </c>
      <c r="D121" t="s">
        <v>253</v>
      </c>
      <c r="E121" t="s">
        <v>41</v>
      </c>
      <c r="F121" t="s">
        <v>28</v>
      </c>
      <c r="G121" t="s">
        <v>35</v>
      </c>
      <c r="H121">
        <v>55.3</v>
      </c>
      <c r="I121">
        <v>4204</v>
      </c>
      <c r="J121">
        <v>45</v>
      </c>
      <c r="K121">
        <v>16.899999999999999</v>
      </c>
      <c r="L121" t="s">
        <v>78</v>
      </c>
      <c r="M121">
        <v>28123.360000000001</v>
      </c>
      <c r="N121">
        <v>18811</v>
      </c>
      <c r="O121" t="s">
        <v>67</v>
      </c>
      <c r="P121" t="str">
        <f t="shared" si="9"/>
        <v>No</v>
      </c>
      <c r="Q121">
        <f t="shared" si="10"/>
        <v>76.02</v>
      </c>
      <c r="R121">
        <f t="shared" si="11"/>
        <v>6.69</v>
      </c>
      <c r="S121">
        <f t="shared" si="12"/>
        <v>1.5</v>
      </c>
      <c r="T121" t="str">
        <f t="shared" si="13"/>
        <v>On Time</v>
      </c>
      <c r="U121" t="str">
        <f t="shared" si="14"/>
        <v>Medium</v>
      </c>
      <c r="V121" t="str">
        <f t="shared" si="15"/>
        <v>Low Risk</v>
      </c>
      <c r="W121" t="str">
        <f t="shared" si="16"/>
        <v>Mar</v>
      </c>
      <c r="X121">
        <f t="shared" si="17"/>
        <v>2025</v>
      </c>
    </row>
    <row r="122" spans="1:24" x14ac:dyDescent="0.35">
      <c r="A122" s="3">
        <v>45798</v>
      </c>
      <c r="B122" t="s">
        <v>100</v>
      </c>
      <c r="C122" t="s">
        <v>39</v>
      </c>
      <c r="D122" t="s">
        <v>254</v>
      </c>
      <c r="E122" t="s">
        <v>27</v>
      </c>
      <c r="F122" t="s">
        <v>28</v>
      </c>
      <c r="G122" t="s">
        <v>42</v>
      </c>
      <c r="H122">
        <v>68.7</v>
      </c>
      <c r="I122">
        <v>1781</v>
      </c>
      <c r="J122">
        <v>48</v>
      </c>
      <c r="K122">
        <v>21</v>
      </c>
      <c r="L122" t="s">
        <v>78</v>
      </c>
      <c r="M122">
        <v>36659.79</v>
      </c>
      <c r="N122">
        <v>14154</v>
      </c>
      <c r="O122" t="s">
        <v>31</v>
      </c>
      <c r="P122" t="str">
        <f t="shared" si="9"/>
        <v>No</v>
      </c>
      <c r="Q122">
        <f t="shared" si="10"/>
        <v>25.92</v>
      </c>
      <c r="R122">
        <f t="shared" si="11"/>
        <v>20.58</v>
      </c>
      <c r="S122">
        <f t="shared" si="12"/>
        <v>2.59</v>
      </c>
      <c r="T122" t="str">
        <f t="shared" si="13"/>
        <v>On Time</v>
      </c>
      <c r="U122" t="str">
        <f t="shared" si="14"/>
        <v>High</v>
      </c>
      <c r="V122" t="str">
        <f t="shared" si="15"/>
        <v>Low Risk</v>
      </c>
      <c r="W122" t="str">
        <f t="shared" si="16"/>
        <v>May</v>
      </c>
      <c r="X122">
        <f t="shared" si="17"/>
        <v>2025</v>
      </c>
    </row>
    <row r="123" spans="1:24" x14ac:dyDescent="0.35">
      <c r="A123" s="3">
        <v>45872</v>
      </c>
      <c r="B123" t="s">
        <v>125</v>
      </c>
      <c r="C123" t="s">
        <v>25</v>
      </c>
      <c r="D123" t="s">
        <v>255</v>
      </c>
      <c r="E123" t="s">
        <v>27</v>
      </c>
      <c r="F123" t="s">
        <v>55</v>
      </c>
      <c r="G123" t="s">
        <v>71</v>
      </c>
      <c r="H123">
        <v>37.799999999999997</v>
      </c>
      <c r="I123">
        <v>1546</v>
      </c>
      <c r="J123">
        <v>43</v>
      </c>
      <c r="K123">
        <v>21.9</v>
      </c>
      <c r="L123" t="s">
        <v>30</v>
      </c>
      <c r="M123">
        <v>21576.48</v>
      </c>
      <c r="N123">
        <v>29691</v>
      </c>
      <c r="O123" t="s">
        <v>84</v>
      </c>
      <c r="P123" t="str">
        <f t="shared" si="9"/>
        <v>Yes</v>
      </c>
      <c r="Q123">
        <f t="shared" si="10"/>
        <v>40.9</v>
      </c>
      <c r="R123">
        <f t="shared" si="11"/>
        <v>13.96</v>
      </c>
      <c r="S123">
        <f t="shared" si="12"/>
        <v>0.73</v>
      </c>
      <c r="T123" t="str">
        <f t="shared" si="13"/>
        <v>Delayed</v>
      </c>
      <c r="U123" t="str">
        <f t="shared" si="14"/>
        <v>Low</v>
      </c>
      <c r="V123" t="str">
        <f t="shared" si="15"/>
        <v>Medium Risk</v>
      </c>
      <c r="W123" t="str">
        <f t="shared" si="16"/>
        <v>Aug</v>
      </c>
      <c r="X123">
        <f t="shared" si="17"/>
        <v>2025</v>
      </c>
    </row>
    <row r="124" spans="1:24" x14ac:dyDescent="0.35">
      <c r="A124" s="3">
        <v>45936</v>
      </c>
      <c r="B124" t="s">
        <v>256</v>
      </c>
      <c r="C124" t="s">
        <v>69</v>
      </c>
      <c r="D124" t="s">
        <v>257</v>
      </c>
      <c r="E124" t="s">
        <v>48</v>
      </c>
      <c r="F124" t="s">
        <v>41</v>
      </c>
      <c r="G124" t="s">
        <v>42</v>
      </c>
      <c r="H124">
        <v>65.400000000000006</v>
      </c>
      <c r="I124">
        <v>4415</v>
      </c>
      <c r="J124">
        <v>72</v>
      </c>
      <c r="K124">
        <v>10.5</v>
      </c>
      <c r="L124" t="s">
        <v>43</v>
      </c>
      <c r="M124">
        <v>45695.5</v>
      </c>
      <c r="N124">
        <v>19107</v>
      </c>
      <c r="O124" t="s">
        <v>44</v>
      </c>
      <c r="P124" t="str">
        <f t="shared" si="9"/>
        <v>Yes</v>
      </c>
      <c r="Q124">
        <f t="shared" si="10"/>
        <v>67.510000000000005</v>
      </c>
      <c r="R124">
        <f t="shared" si="11"/>
        <v>10.35</v>
      </c>
      <c r="S124">
        <f t="shared" si="12"/>
        <v>2.39</v>
      </c>
      <c r="T124" t="str">
        <f t="shared" si="13"/>
        <v>Delayed</v>
      </c>
      <c r="U124" t="str">
        <f t="shared" si="14"/>
        <v>High</v>
      </c>
      <c r="V124" t="str">
        <f t="shared" si="15"/>
        <v>Low Risk</v>
      </c>
      <c r="W124" t="str">
        <f t="shared" si="16"/>
        <v>Oct</v>
      </c>
      <c r="X124">
        <f t="shared" si="17"/>
        <v>2025</v>
      </c>
    </row>
    <row r="125" spans="1:24" x14ac:dyDescent="0.35">
      <c r="A125" s="3">
        <v>45765</v>
      </c>
      <c r="B125" t="s">
        <v>150</v>
      </c>
      <c r="C125" t="s">
        <v>69</v>
      </c>
      <c r="D125" t="s">
        <v>258</v>
      </c>
      <c r="E125" t="s">
        <v>41</v>
      </c>
      <c r="F125" t="s">
        <v>27</v>
      </c>
      <c r="G125" t="s">
        <v>35</v>
      </c>
      <c r="H125">
        <v>35.799999999999997</v>
      </c>
      <c r="I125">
        <v>3448</v>
      </c>
      <c r="J125">
        <v>109</v>
      </c>
      <c r="K125">
        <v>14</v>
      </c>
      <c r="L125" t="s">
        <v>49</v>
      </c>
      <c r="M125">
        <v>23398.81</v>
      </c>
      <c r="N125">
        <v>23384</v>
      </c>
      <c r="O125" t="s">
        <v>36</v>
      </c>
      <c r="P125" t="str">
        <f t="shared" si="9"/>
        <v>Yes</v>
      </c>
      <c r="Q125">
        <f t="shared" si="10"/>
        <v>96.31</v>
      </c>
      <c r="R125">
        <f t="shared" si="11"/>
        <v>6.79</v>
      </c>
      <c r="S125">
        <f t="shared" si="12"/>
        <v>1</v>
      </c>
      <c r="T125" t="str">
        <f t="shared" si="13"/>
        <v>Delayed</v>
      </c>
      <c r="U125" t="str">
        <f t="shared" si="14"/>
        <v>Low</v>
      </c>
      <c r="V125" t="str">
        <f t="shared" si="15"/>
        <v>High Risk</v>
      </c>
      <c r="W125" t="str">
        <f t="shared" si="16"/>
        <v>Apr</v>
      </c>
      <c r="X125">
        <f t="shared" si="17"/>
        <v>2025</v>
      </c>
    </row>
    <row r="126" spans="1:24" x14ac:dyDescent="0.35">
      <c r="A126" s="3">
        <v>45667</v>
      </c>
      <c r="B126" t="s">
        <v>162</v>
      </c>
      <c r="C126" t="s">
        <v>39</v>
      </c>
      <c r="D126" t="s">
        <v>259</v>
      </c>
      <c r="E126" t="s">
        <v>54</v>
      </c>
      <c r="F126" t="s">
        <v>41</v>
      </c>
      <c r="G126" t="s">
        <v>42</v>
      </c>
      <c r="H126">
        <v>79.5</v>
      </c>
      <c r="I126">
        <v>2607</v>
      </c>
      <c r="J126">
        <v>97</v>
      </c>
      <c r="K126">
        <v>14.5</v>
      </c>
      <c r="L126" t="s">
        <v>43</v>
      </c>
      <c r="M126">
        <v>53286.65</v>
      </c>
      <c r="N126">
        <v>21477</v>
      </c>
      <c r="O126" t="s">
        <v>59</v>
      </c>
      <c r="P126" t="str">
        <f t="shared" si="9"/>
        <v>Yes</v>
      </c>
      <c r="Q126">
        <f t="shared" si="10"/>
        <v>32.79</v>
      </c>
      <c r="R126">
        <f t="shared" si="11"/>
        <v>20.440000000000001</v>
      </c>
      <c r="S126">
        <f t="shared" si="12"/>
        <v>2.48</v>
      </c>
      <c r="T126" t="str">
        <f t="shared" si="13"/>
        <v>Delayed</v>
      </c>
      <c r="U126" t="str">
        <f t="shared" si="14"/>
        <v>High</v>
      </c>
      <c r="V126" t="str">
        <f t="shared" si="15"/>
        <v>Low Risk</v>
      </c>
      <c r="W126" t="str">
        <f t="shared" si="16"/>
        <v>Jan</v>
      </c>
      <c r="X126">
        <f t="shared" si="17"/>
        <v>2025</v>
      </c>
    </row>
    <row r="127" spans="1:24" x14ac:dyDescent="0.35">
      <c r="A127" s="3">
        <v>45744</v>
      </c>
      <c r="B127" t="s">
        <v>33</v>
      </c>
      <c r="C127" t="s">
        <v>52</v>
      </c>
      <c r="D127" t="s">
        <v>260</v>
      </c>
      <c r="E127" t="s">
        <v>41</v>
      </c>
      <c r="F127" t="s">
        <v>55</v>
      </c>
      <c r="G127" t="s">
        <v>35</v>
      </c>
      <c r="H127">
        <v>62.8</v>
      </c>
      <c r="I127">
        <v>501</v>
      </c>
      <c r="J127">
        <v>52</v>
      </c>
      <c r="K127">
        <v>14.6</v>
      </c>
      <c r="L127" t="s">
        <v>49</v>
      </c>
      <c r="M127">
        <v>30990.26</v>
      </c>
      <c r="N127">
        <v>28898</v>
      </c>
      <c r="O127" t="s">
        <v>91</v>
      </c>
      <c r="P127" t="str">
        <f t="shared" si="9"/>
        <v>Yes</v>
      </c>
      <c r="Q127">
        <f t="shared" si="10"/>
        <v>7.98</v>
      </c>
      <c r="R127">
        <f t="shared" si="11"/>
        <v>61.86</v>
      </c>
      <c r="S127">
        <f t="shared" si="12"/>
        <v>1.07</v>
      </c>
      <c r="T127" t="str">
        <f t="shared" si="13"/>
        <v>Delayed</v>
      </c>
      <c r="U127" t="str">
        <f t="shared" si="14"/>
        <v>High</v>
      </c>
      <c r="V127" t="str">
        <f t="shared" si="15"/>
        <v>High Risk</v>
      </c>
      <c r="W127" t="str">
        <f t="shared" si="16"/>
        <v>Mar</v>
      </c>
      <c r="X127">
        <f t="shared" si="17"/>
        <v>2025</v>
      </c>
    </row>
    <row r="128" spans="1:24" x14ac:dyDescent="0.35">
      <c r="A128" s="3">
        <v>45982</v>
      </c>
      <c r="B128" t="s">
        <v>33</v>
      </c>
      <c r="C128" t="s">
        <v>25</v>
      </c>
      <c r="D128" t="s">
        <v>261</v>
      </c>
      <c r="E128" t="s">
        <v>55</v>
      </c>
      <c r="F128" t="s">
        <v>41</v>
      </c>
      <c r="G128" t="s">
        <v>29</v>
      </c>
      <c r="H128">
        <v>29.4</v>
      </c>
      <c r="I128">
        <v>4257</v>
      </c>
      <c r="J128">
        <v>36</v>
      </c>
      <c r="K128">
        <v>14.8</v>
      </c>
      <c r="L128" t="s">
        <v>78</v>
      </c>
      <c r="M128">
        <v>19122.759999999998</v>
      </c>
      <c r="N128">
        <v>12529</v>
      </c>
      <c r="O128" t="s">
        <v>84</v>
      </c>
      <c r="P128" t="str">
        <f t="shared" si="9"/>
        <v>No</v>
      </c>
      <c r="Q128">
        <f t="shared" si="10"/>
        <v>144.80000000000001</v>
      </c>
      <c r="R128">
        <f t="shared" si="11"/>
        <v>4.49</v>
      </c>
      <c r="S128">
        <f t="shared" si="12"/>
        <v>1.53</v>
      </c>
      <c r="T128" t="str">
        <f t="shared" si="13"/>
        <v>On Time</v>
      </c>
      <c r="U128" t="str">
        <f t="shared" si="14"/>
        <v>Low</v>
      </c>
      <c r="V128" t="str">
        <f t="shared" si="15"/>
        <v>Low Risk</v>
      </c>
      <c r="W128" t="str">
        <f t="shared" si="16"/>
        <v>Nov</v>
      </c>
      <c r="X128">
        <f t="shared" si="17"/>
        <v>2025</v>
      </c>
    </row>
    <row r="129" spans="1:24" x14ac:dyDescent="0.35">
      <c r="A129" s="3">
        <v>45685</v>
      </c>
      <c r="B129" t="s">
        <v>129</v>
      </c>
      <c r="C129" t="s">
        <v>39</v>
      </c>
      <c r="D129" t="s">
        <v>262</v>
      </c>
      <c r="E129" t="s">
        <v>55</v>
      </c>
      <c r="F129" t="s">
        <v>54</v>
      </c>
      <c r="G129" t="s">
        <v>42</v>
      </c>
      <c r="H129">
        <v>72.5</v>
      </c>
      <c r="I129">
        <v>1918</v>
      </c>
      <c r="J129">
        <v>109</v>
      </c>
      <c r="K129">
        <v>11</v>
      </c>
      <c r="L129" t="s">
        <v>49</v>
      </c>
      <c r="M129">
        <v>50213.86</v>
      </c>
      <c r="N129">
        <v>7584</v>
      </c>
      <c r="O129" t="s">
        <v>31</v>
      </c>
      <c r="P129" t="str">
        <f t="shared" si="9"/>
        <v>Yes</v>
      </c>
      <c r="Q129">
        <f t="shared" si="10"/>
        <v>26.46</v>
      </c>
      <c r="R129">
        <f t="shared" si="11"/>
        <v>26.18</v>
      </c>
      <c r="S129">
        <f t="shared" si="12"/>
        <v>6.62</v>
      </c>
      <c r="T129" t="str">
        <f t="shared" si="13"/>
        <v>Delayed</v>
      </c>
      <c r="U129" t="str">
        <f t="shared" si="14"/>
        <v>High</v>
      </c>
      <c r="V129" t="str">
        <f t="shared" si="15"/>
        <v>High Risk</v>
      </c>
      <c r="W129" t="str">
        <f t="shared" si="16"/>
        <v>Jan</v>
      </c>
      <c r="X129">
        <f t="shared" si="17"/>
        <v>2025</v>
      </c>
    </row>
    <row r="130" spans="1:24" x14ac:dyDescent="0.35">
      <c r="A130" s="3">
        <v>45990</v>
      </c>
      <c r="B130" t="s">
        <v>87</v>
      </c>
      <c r="C130" t="s">
        <v>109</v>
      </c>
      <c r="D130" t="s">
        <v>263</v>
      </c>
      <c r="E130" t="s">
        <v>66</v>
      </c>
      <c r="F130" t="s">
        <v>54</v>
      </c>
      <c r="G130" t="s">
        <v>71</v>
      </c>
      <c r="H130">
        <v>29.8</v>
      </c>
      <c r="I130">
        <v>3903</v>
      </c>
      <c r="J130">
        <v>64</v>
      </c>
      <c r="K130">
        <v>14.2</v>
      </c>
      <c r="L130" t="s">
        <v>43</v>
      </c>
      <c r="M130">
        <v>17591.52</v>
      </c>
      <c r="N130">
        <v>6073</v>
      </c>
      <c r="O130" t="s">
        <v>67</v>
      </c>
      <c r="P130" t="str">
        <f t="shared" ref="P130:P193" si="18">IF(OR(L130="Rain",L130="Fog",L130="Storm"),"Yes","No")</f>
        <v>Yes</v>
      </c>
      <c r="Q130">
        <f t="shared" ref="Q130:Q193" si="19">ROUND(I130/H130,2)</f>
        <v>130.97</v>
      </c>
      <c r="R130">
        <f t="shared" ref="R130:R193" si="20">ROUND(M130/I130,2)</f>
        <v>4.51</v>
      </c>
      <c r="S130">
        <f t="shared" ref="S130:S193" si="21">ROUND(M130/N130,2)</f>
        <v>2.9</v>
      </c>
      <c r="T130" t="str">
        <f t="shared" ref="T130:T193" si="22">IF(P130="Yes","Delayed","On Time")</f>
        <v>Delayed</v>
      </c>
      <c r="U130" t="str">
        <f t="shared" ref="U130:U193" si="23">IF(H130&gt;=60,"High",IF(H130&gt;=40,"Medium","Low"))</f>
        <v>Low</v>
      </c>
      <c r="V130" t="str">
        <f t="shared" ref="V130:V193" si="24">IF(L130="Storm","High Risk",IF(L130="Rain","Medium Risk","Low Risk"))</f>
        <v>Low Risk</v>
      </c>
      <c r="W130" t="str">
        <f t="shared" ref="W130:W193" si="25">TEXT(A130,"mmm")</f>
        <v>Nov</v>
      </c>
      <c r="X130">
        <f t="shared" si="17"/>
        <v>2025</v>
      </c>
    </row>
    <row r="131" spans="1:24" x14ac:dyDescent="0.35">
      <c r="A131" s="3">
        <v>45714</v>
      </c>
      <c r="B131" t="s">
        <v>165</v>
      </c>
      <c r="C131" t="s">
        <v>25</v>
      </c>
      <c r="D131" t="s">
        <v>264</v>
      </c>
      <c r="E131" t="s">
        <v>54</v>
      </c>
      <c r="F131" t="s">
        <v>66</v>
      </c>
      <c r="G131" t="s">
        <v>35</v>
      </c>
      <c r="H131">
        <v>31.4</v>
      </c>
      <c r="I131">
        <v>2151</v>
      </c>
      <c r="J131">
        <v>96</v>
      </c>
      <c r="K131">
        <v>10.3</v>
      </c>
      <c r="L131" t="s">
        <v>43</v>
      </c>
      <c r="M131">
        <v>16848.91</v>
      </c>
      <c r="N131">
        <v>10371</v>
      </c>
      <c r="O131" t="s">
        <v>31</v>
      </c>
      <c r="P131" t="str">
        <f t="shared" si="18"/>
        <v>Yes</v>
      </c>
      <c r="Q131">
        <f t="shared" si="19"/>
        <v>68.5</v>
      </c>
      <c r="R131">
        <f t="shared" si="20"/>
        <v>7.83</v>
      </c>
      <c r="S131">
        <f t="shared" si="21"/>
        <v>1.62</v>
      </c>
      <c r="T131" t="str">
        <f t="shared" si="22"/>
        <v>Delayed</v>
      </c>
      <c r="U131" t="str">
        <f t="shared" si="23"/>
        <v>Low</v>
      </c>
      <c r="V131" t="str">
        <f t="shared" si="24"/>
        <v>Low Risk</v>
      </c>
      <c r="W131" t="str">
        <f t="shared" si="25"/>
        <v>Feb</v>
      </c>
      <c r="X131">
        <f t="shared" ref="X131:X194" si="26">YEAR(A131)</f>
        <v>2025</v>
      </c>
    </row>
    <row r="132" spans="1:24" x14ac:dyDescent="0.35">
      <c r="A132" s="3">
        <v>45842</v>
      </c>
      <c r="B132" t="s">
        <v>217</v>
      </c>
      <c r="C132" t="s">
        <v>130</v>
      </c>
      <c r="D132" t="s">
        <v>265</v>
      </c>
      <c r="E132" t="s">
        <v>55</v>
      </c>
      <c r="F132" t="s">
        <v>54</v>
      </c>
      <c r="G132" t="s">
        <v>42</v>
      </c>
      <c r="H132">
        <v>30.4</v>
      </c>
      <c r="I132">
        <v>4887</v>
      </c>
      <c r="J132">
        <v>41</v>
      </c>
      <c r="K132">
        <v>10.5</v>
      </c>
      <c r="L132" t="s">
        <v>49</v>
      </c>
      <c r="M132">
        <v>21144.28</v>
      </c>
      <c r="N132">
        <v>21592</v>
      </c>
      <c r="O132" t="s">
        <v>50</v>
      </c>
      <c r="P132" t="str">
        <f t="shared" si="18"/>
        <v>Yes</v>
      </c>
      <c r="Q132">
        <f t="shared" si="19"/>
        <v>160.76</v>
      </c>
      <c r="R132">
        <f t="shared" si="20"/>
        <v>4.33</v>
      </c>
      <c r="S132">
        <f t="shared" si="21"/>
        <v>0.98</v>
      </c>
      <c r="T132" t="str">
        <f t="shared" si="22"/>
        <v>Delayed</v>
      </c>
      <c r="U132" t="str">
        <f t="shared" si="23"/>
        <v>Low</v>
      </c>
      <c r="V132" t="str">
        <f t="shared" si="24"/>
        <v>High Risk</v>
      </c>
      <c r="W132" t="str">
        <f t="shared" si="25"/>
        <v>Jul</v>
      </c>
      <c r="X132">
        <f t="shared" si="26"/>
        <v>2025</v>
      </c>
    </row>
    <row r="133" spans="1:24" x14ac:dyDescent="0.35">
      <c r="A133" s="3">
        <v>45939</v>
      </c>
      <c r="B133" t="s">
        <v>73</v>
      </c>
      <c r="C133" t="s">
        <v>52</v>
      </c>
      <c r="D133" t="s">
        <v>266</v>
      </c>
      <c r="E133" t="s">
        <v>63</v>
      </c>
      <c r="F133" t="s">
        <v>66</v>
      </c>
      <c r="G133" t="s">
        <v>35</v>
      </c>
      <c r="H133">
        <v>52.5</v>
      </c>
      <c r="I133">
        <v>3671</v>
      </c>
      <c r="J133">
        <v>52</v>
      </c>
      <c r="K133">
        <v>12</v>
      </c>
      <c r="L133" t="s">
        <v>30</v>
      </c>
      <c r="M133">
        <v>30005.05</v>
      </c>
      <c r="N133">
        <v>8601</v>
      </c>
      <c r="O133" t="s">
        <v>84</v>
      </c>
      <c r="P133" t="str">
        <f t="shared" si="18"/>
        <v>Yes</v>
      </c>
      <c r="Q133">
        <f t="shared" si="19"/>
        <v>69.92</v>
      </c>
      <c r="R133">
        <f t="shared" si="20"/>
        <v>8.17</v>
      </c>
      <c r="S133">
        <f t="shared" si="21"/>
        <v>3.49</v>
      </c>
      <c r="T133" t="str">
        <f t="shared" si="22"/>
        <v>Delayed</v>
      </c>
      <c r="U133" t="str">
        <f t="shared" si="23"/>
        <v>Medium</v>
      </c>
      <c r="V133" t="str">
        <f t="shared" si="24"/>
        <v>Medium Risk</v>
      </c>
      <c r="W133" t="str">
        <f t="shared" si="25"/>
        <v>Oct</v>
      </c>
      <c r="X133">
        <f t="shared" si="26"/>
        <v>2025</v>
      </c>
    </row>
    <row r="134" spans="1:24" x14ac:dyDescent="0.35">
      <c r="A134" s="3">
        <v>45955</v>
      </c>
      <c r="B134" t="s">
        <v>94</v>
      </c>
      <c r="C134" t="s">
        <v>39</v>
      </c>
      <c r="D134" t="s">
        <v>267</v>
      </c>
      <c r="E134" t="s">
        <v>54</v>
      </c>
      <c r="F134" t="s">
        <v>48</v>
      </c>
      <c r="G134" t="s">
        <v>42</v>
      </c>
      <c r="H134">
        <v>69.400000000000006</v>
      </c>
      <c r="I134">
        <v>4158</v>
      </c>
      <c r="J134">
        <v>25</v>
      </c>
      <c r="K134">
        <v>11.3</v>
      </c>
      <c r="L134" t="s">
        <v>49</v>
      </c>
      <c r="M134">
        <v>47565.06</v>
      </c>
      <c r="N134">
        <v>11721</v>
      </c>
      <c r="O134" t="s">
        <v>50</v>
      </c>
      <c r="P134" t="str">
        <f t="shared" si="18"/>
        <v>Yes</v>
      </c>
      <c r="Q134">
        <f t="shared" si="19"/>
        <v>59.91</v>
      </c>
      <c r="R134">
        <f t="shared" si="20"/>
        <v>11.44</v>
      </c>
      <c r="S134">
        <f t="shared" si="21"/>
        <v>4.0599999999999996</v>
      </c>
      <c r="T134" t="str">
        <f t="shared" si="22"/>
        <v>Delayed</v>
      </c>
      <c r="U134" t="str">
        <f t="shared" si="23"/>
        <v>High</v>
      </c>
      <c r="V134" t="str">
        <f t="shared" si="24"/>
        <v>High Risk</v>
      </c>
      <c r="W134" t="str">
        <f t="shared" si="25"/>
        <v>Oct</v>
      </c>
      <c r="X134">
        <f t="shared" si="26"/>
        <v>2025</v>
      </c>
    </row>
    <row r="135" spans="1:24" x14ac:dyDescent="0.35">
      <c r="A135" s="3">
        <v>45843</v>
      </c>
      <c r="B135" t="s">
        <v>244</v>
      </c>
      <c r="C135" t="s">
        <v>130</v>
      </c>
      <c r="D135" t="s">
        <v>268</v>
      </c>
      <c r="E135" t="s">
        <v>41</v>
      </c>
      <c r="F135" t="s">
        <v>28</v>
      </c>
      <c r="G135" t="s">
        <v>42</v>
      </c>
      <c r="H135">
        <v>51.9</v>
      </c>
      <c r="I135">
        <v>4943</v>
      </c>
      <c r="J135">
        <v>54</v>
      </c>
      <c r="K135">
        <v>11.9</v>
      </c>
      <c r="L135" t="s">
        <v>30</v>
      </c>
      <c r="M135">
        <v>28983.17</v>
      </c>
      <c r="N135">
        <v>9733</v>
      </c>
      <c r="O135" t="s">
        <v>44</v>
      </c>
      <c r="P135" t="str">
        <f t="shared" si="18"/>
        <v>Yes</v>
      </c>
      <c r="Q135">
        <f t="shared" si="19"/>
        <v>95.24</v>
      </c>
      <c r="R135">
        <f t="shared" si="20"/>
        <v>5.86</v>
      </c>
      <c r="S135">
        <f t="shared" si="21"/>
        <v>2.98</v>
      </c>
      <c r="T135" t="str">
        <f t="shared" si="22"/>
        <v>Delayed</v>
      </c>
      <c r="U135" t="str">
        <f t="shared" si="23"/>
        <v>Medium</v>
      </c>
      <c r="V135" t="str">
        <f t="shared" si="24"/>
        <v>Medium Risk</v>
      </c>
      <c r="W135" t="str">
        <f t="shared" si="25"/>
        <v>Jul</v>
      </c>
      <c r="X135">
        <f t="shared" si="26"/>
        <v>2025</v>
      </c>
    </row>
    <row r="136" spans="1:24" x14ac:dyDescent="0.35">
      <c r="A136" s="3">
        <v>45747</v>
      </c>
      <c r="B136" t="s">
        <v>64</v>
      </c>
      <c r="C136" t="s">
        <v>39</v>
      </c>
      <c r="D136" t="s">
        <v>269</v>
      </c>
      <c r="E136" t="s">
        <v>66</v>
      </c>
      <c r="F136" t="s">
        <v>27</v>
      </c>
      <c r="G136" t="s">
        <v>42</v>
      </c>
      <c r="H136">
        <v>67.900000000000006</v>
      </c>
      <c r="I136">
        <v>4538</v>
      </c>
      <c r="J136">
        <v>59</v>
      </c>
      <c r="K136">
        <v>18.7</v>
      </c>
      <c r="L136" t="s">
        <v>49</v>
      </c>
      <c r="M136">
        <v>45969.52</v>
      </c>
      <c r="N136">
        <v>20075</v>
      </c>
      <c r="O136" t="s">
        <v>67</v>
      </c>
      <c r="P136" t="str">
        <f t="shared" si="18"/>
        <v>Yes</v>
      </c>
      <c r="Q136">
        <f t="shared" si="19"/>
        <v>66.83</v>
      </c>
      <c r="R136">
        <f t="shared" si="20"/>
        <v>10.130000000000001</v>
      </c>
      <c r="S136">
        <f t="shared" si="21"/>
        <v>2.29</v>
      </c>
      <c r="T136" t="str">
        <f t="shared" si="22"/>
        <v>Delayed</v>
      </c>
      <c r="U136" t="str">
        <f t="shared" si="23"/>
        <v>High</v>
      </c>
      <c r="V136" t="str">
        <f t="shared" si="24"/>
        <v>High Risk</v>
      </c>
      <c r="W136" t="str">
        <f t="shared" si="25"/>
        <v>Mar</v>
      </c>
      <c r="X136">
        <f t="shared" si="26"/>
        <v>2025</v>
      </c>
    </row>
    <row r="137" spans="1:24" x14ac:dyDescent="0.35">
      <c r="A137" s="3">
        <v>45928</v>
      </c>
      <c r="B137" t="s">
        <v>68</v>
      </c>
      <c r="C137" t="s">
        <v>57</v>
      </c>
      <c r="D137" t="s">
        <v>270</v>
      </c>
      <c r="E137" t="s">
        <v>27</v>
      </c>
      <c r="F137" t="s">
        <v>63</v>
      </c>
      <c r="G137" t="s">
        <v>42</v>
      </c>
      <c r="H137">
        <v>68</v>
      </c>
      <c r="I137">
        <v>3730</v>
      </c>
      <c r="J137">
        <v>68</v>
      </c>
      <c r="K137">
        <v>19.5</v>
      </c>
      <c r="L137" t="s">
        <v>30</v>
      </c>
      <c r="M137">
        <v>33872.28</v>
      </c>
      <c r="N137">
        <v>25434</v>
      </c>
      <c r="O137" t="s">
        <v>50</v>
      </c>
      <c r="P137" t="str">
        <f t="shared" si="18"/>
        <v>Yes</v>
      </c>
      <c r="Q137">
        <f t="shared" si="19"/>
        <v>54.85</v>
      </c>
      <c r="R137">
        <f t="shared" si="20"/>
        <v>9.08</v>
      </c>
      <c r="S137">
        <f t="shared" si="21"/>
        <v>1.33</v>
      </c>
      <c r="T137" t="str">
        <f t="shared" si="22"/>
        <v>Delayed</v>
      </c>
      <c r="U137" t="str">
        <f t="shared" si="23"/>
        <v>High</v>
      </c>
      <c r="V137" t="str">
        <f t="shared" si="24"/>
        <v>Medium Risk</v>
      </c>
      <c r="W137" t="str">
        <f t="shared" si="25"/>
        <v>Sep</v>
      </c>
      <c r="X137">
        <f t="shared" si="26"/>
        <v>2025</v>
      </c>
    </row>
    <row r="138" spans="1:24" x14ac:dyDescent="0.35">
      <c r="A138" s="3">
        <v>45865</v>
      </c>
      <c r="B138" t="s">
        <v>38</v>
      </c>
      <c r="C138" t="s">
        <v>130</v>
      </c>
      <c r="D138" t="s">
        <v>271</v>
      </c>
      <c r="E138" t="s">
        <v>63</v>
      </c>
      <c r="F138" t="s">
        <v>66</v>
      </c>
      <c r="G138" t="s">
        <v>29</v>
      </c>
      <c r="H138">
        <v>71.3</v>
      </c>
      <c r="I138">
        <v>3612</v>
      </c>
      <c r="J138">
        <v>88</v>
      </c>
      <c r="K138">
        <v>19.100000000000001</v>
      </c>
      <c r="L138" t="s">
        <v>49</v>
      </c>
      <c r="M138">
        <v>39999.82</v>
      </c>
      <c r="N138">
        <v>25291</v>
      </c>
      <c r="O138" t="s">
        <v>84</v>
      </c>
      <c r="P138" t="str">
        <f t="shared" si="18"/>
        <v>Yes</v>
      </c>
      <c r="Q138">
        <f t="shared" si="19"/>
        <v>50.66</v>
      </c>
      <c r="R138">
        <f t="shared" si="20"/>
        <v>11.07</v>
      </c>
      <c r="S138">
        <f t="shared" si="21"/>
        <v>1.58</v>
      </c>
      <c r="T138" t="str">
        <f t="shared" si="22"/>
        <v>Delayed</v>
      </c>
      <c r="U138" t="str">
        <f t="shared" si="23"/>
        <v>High</v>
      </c>
      <c r="V138" t="str">
        <f t="shared" si="24"/>
        <v>High Risk</v>
      </c>
      <c r="W138" t="str">
        <f t="shared" si="25"/>
        <v>Jul</v>
      </c>
      <c r="X138">
        <f t="shared" si="26"/>
        <v>2025</v>
      </c>
    </row>
    <row r="139" spans="1:24" x14ac:dyDescent="0.35">
      <c r="A139" s="3">
        <v>45943</v>
      </c>
      <c r="B139" t="s">
        <v>108</v>
      </c>
      <c r="C139" t="s">
        <v>69</v>
      </c>
      <c r="D139" t="s">
        <v>272</v>
      </c>
      <c r="E139" t="s">
        <v>54</v>
      </c>
      <c r="F139" t="s">
        <v>66</v>
      </c>
      <c r="G139" t="s">
        <v>71</v>
      </c>
      <c r="H139">
        <v>45</v>
      </c>
      <c r="I139">
        <v>697</v>
      </c>
      <c r="J139">
        <v>88</v>
      </c>
      <c r="K139">
        <v>10.9</v>
      </c>
      <c r="L139" t="s">
        <v>78</v>
      </c>
      <c r="M139">
        <v>27926.15</v>
      </c>
      <c r="N139">
        <v>17093</v>
      </c>
      <c r="O139" t="s">
        <v>91</v>
      </c>
      <c r="P139" t="str">
        <f t="shared" si="18"/>
        <v>No</v>
      </c>
      <c r="Q139">
        <f t="shared" si="19"/>
        <v>15.49</v>
      </c>
      <c r="R139">
        <f t="shared" si="20"/>
        <v>40.07</v>
      </c>
      <c r="S139">
        <f t="shared" si="21"/>
        <v>1.63</v>
      </c>
      <c r="T139" t="str">
        <f t="shared" si="22"/>
        <v>On Time</v>
      </c>
      <c r="U139" t="str">
        <f t="shared" si="23"/>
        <v>Medium</v>
      </c>
      <c r="V139" t="str">
        <f t="shared" si="24"/>
        <v>Low Risk</v>
      </c>
      <c r="W139" t="str">
        <f t="shared" si="25"/>
        <v>Oct</v>
      </c>
      <c r="X139">
        <f t="shared" si="26"/>
        <v>2025</v>
      </c>
    </row>
    <row r="140" spans="1:24" x14ac:dyDescent="0.35">
      <c r="A140" s="3">
        <v>45675</v>
      </c>
      <c r="B140" t="s">
        <v>120</v>
      </c>
      <c r="C140" t="s">
        <v>52</v>
      </c>
      <c r="D140" t="s">
        <v>273</v>
      </c>
      <c r="E140" t="s">
        <v>54</v>
      </c>
      <c r="F140" t="s">
        <v>66</v>
      </c>
      <c r="G140" t="s">
        <v>35</v>
      </c>
      <c r="H140">
        <v>22.3</v>
      </c>
      <c r="I140">
        <v>3632</v>
      </c>
      <c r="J140">
        <v>97</v>
      </c>
      <c r="K140">
        <v>11.5</v>
      </c>
      <c r="L140" t="s">
        <v>43</v>
      </c>
      <c r="M140">
        <v>10222.56</v>
      </c>
      <c r="N140">
        <v>23664</v>
      </c>
      <c r="O140" t="s">
        <v>67</v>
      </c>
      <c r="P140" t="str">
        <f t="shared" si="18"/>
        <v>Yes</v>
      </c>
      <c r="Q140">
        <f t="shared" si="19"/>
        <v>162.87</v>
      </c>
      <c r="R140">
        <f t="shared" si="20"/>
        <v>2.81</v>
      </c>
      <c r="S140">
        <f t="shared" si="21"/>
        <v>0.43</v>
      </c>
      <c r="T140" t="str">
        <f t="shared" si="22"/>
        <v>Delayed</v>
      </c>
      <c r="U140" t="str">
        <f t="shared" si="23"/>
        <v>Low</v>
      </c>
      <c r="V140" t="str">
        <f t="shared" si="24"/>
        <v>Low Risk</v>
      </c>
      <c r="W140" t="str">
        <f t="shared" si="25"/>
        <v>Jan</v>
      </c>
      <c r="X140">
        <f t="shared" si="26"/>
        <v>2025</v>
      </c>
    </row>
    <row r="141" spans="1:24" x14ac:dyDescent="0.35">
      <c r="A141" s="3">
        <v>45923</v>
      </c>
      <c r="B141" t="s">
        <v>193</v>
      </c>
      <c r="C141" t="s">
        <v>52</v>
      </c>
      <c r="D141" t="s">
        <v>274</v>
      </c>
      <c r="E141" t="s">
        <v>55</v>
      </c>
      <c r="F141" t="s">
        <v>66</v>
      </c>
      <c r="G141" t="s">
        <v>71</v>
      </c>
      <c r="H141">
        <v>42.7</v>
      </c>
      <c r="I141">
        <v>4784</v>
      </c>
      <c r="J141">
        <v>101</v>
      </c>
      <c r="K141">
        <v>11.5</v>
      </c>
      <c r="L141" t="s">
        <v>43</v>
      </c>
      <c r="M141">
        <v>27819.07</v>
      </c>
      <c r="N141">
        <v>10776</v>
      </c>
      <c r="O141" t="s">
        <v>36</v>
      </c>
      <c r="P141" t="str">
        <f t="shared" si="18"/>
        <v>Yes</v>
      </c>
      <c r="Q141">
        <f t="shared" si="19"/>
        <v>112.04</v>
      </c>
      <c r="R141">
        <f t="shared" si="20"/>
        <v>5.82</v>
      </c>
      <c r="S141">
        <f t="shared" si="21"/>
        <v>2.58</v>
      </c>
      <c r="T141" t="str">
        <f t="shared" si="22"/>
        <v>Delayed</v>
      </c>
      <c r="U141" t="str">
        <f t="shared" si="23"/>
        <v>Medium</v>
      </c>
      <c r="V141" t="str">
        <f t="shared" si="24"/>
        <v>Low Risk</v>
      </c>
      <c r="W141" t="str">
        <f t="shared" si="25"/>
        <v>Sep</v>
      </c>
      <c r="X141">
        <f t="shared" si="26"/>
        <v>2025</v>
      </c>
    </row>
    <row r="142" spans="1:24" x14ac:dyDescent="0.35">
      <c r="A142" s="3">
        <v>45889</v>
      </c>
      <c r="B142" t="s">
        <v>275</v>
      </c>
      <c r="C142" t="s">
        <v>130</v>
      </c>
      <c r="D142" t="s">
        <v>276</v>
      </c>
      <c r="E142" t="s">
        <v>63</v>
      </c>
      <c r="F142" t="s">
        <v>27</v>
      </c>
      <c r="G142" t="s">
        <v>71</v>
      </c>
      <c r="H142">
        <v>45.4</v>
      </c>
      <c r="I142">
        <v>1938</v>
      </c>
      <c r="J142">
        <v>79</v>
      </c>
      <c r="K142">
        <v>10.1</v>
      </c>
      <c r="L142" t="s">
        <v>78</v>
      </c>
      <c r="M142">
        <v>28626.41</v>
      </c>
      <c r="N142">
        <v>9463</v>
      </c>
      <c r="O142" t="s">
        <v>50</v>
      </c>
      <c r="P142" t="str">
        <f t="shared" si="18"/>
        <v>No</v>
      </c>
      <c r="Q142">
        <f t="shared" si="19"/>
        <v>42.69</v>
      </c>
      <c r="R142">
        <f t="shared" si="20"/>
        <v>14.77</v>
      </c>
      <c r="S142">
        <f t="shared" si="21"/>
        <v>3.03</v>
      </c>
      <c r="T142" t="str">
        <f t="shared" si="22"/>
        <v>On Time</v>
      </c>
      <c r="U142" t="str">
        <f t="shared" si="23"/>
        <v>Medium</v>
      </c>
      <c r="V142" t="str">
        <f t="shared" si="24"/>
        <v>Low Risk</v>
      </c>
      <c r="W142" t="str">
        <f t="shared" si="25"/>
        <v>Aug</v>
      </c>
      <c r="X142">
        <f t="shared" si="26"/>
        <v>2025</v>
      </c>
    </row>
    <row r="143" spans="1:24" x14ac:dyDescent="0.35">
      <c r="A143" s="3">
        <v>45842</v>
      </c>
      <c r="B143" t="s">
        <v>277</v>
      </c>
      <c r="C143" t="s">
        <v>95</v>
      </c>
      <c r="D143" t="s">
        <v>278</v>
      </c>
      <c r="E143" t="s">
        <v>48</v>
      </c>
      <c r="F143" t="s">
        <v>27</v>
      </c>
      <c r="G143" t="s">
        <v>71</v>
      </c>
      <c r="H143">
        <v>26.2</v>
      </c>
      <c r="I143">
        <v>1779</v>
      </c>
      <c r="J143">
        <v>42</v>
      </c>
      <c r="K143">
        <v>20.6</v>
      </c>
      <c r="L143" t="s">
        <v>78</v>
      </c>
      <c r="M143">
        <v>17780.71</v>
      </c>
      <c r="N143">
        <v>13361</v>
      </c>
      <c r="O143" t="s">
        <v>59</v>
      </c>
      <c r="P143" t="str">
        <f t="shared" si="18"/>
        <v>No</v>
      </c>
      <c r="Q143">
        <f t="shared" si="19"/>
        <v>67.900000000000006</v>
      </c>
      <c r="R143">
        <f t="shared" si="20"/>
        <v>9.99</v>
      </c>
      <c r="S143">
        <f t="shared" si="21"/>
        <v>1.33</v>
      </c>
      <c r="T143" t="str">
        <f t="shared" si="22"/>
        <v>On Time</v>
      </c>
      <c r="U143" t="str">
        <f t="shared" si="23"/>
        <v>Low</v>
      </c>
      <c r="V143" t="str">
        <f t="shared" si="24"/>
        <v>Low Risk</v>
      </c>
      <c r="W143" t="str">
        <f t="shared" si="25"/>
        <v>Jul</v>
      </c>
      <c r="X143">
        <f t="shared" si="26"/>
        <v>2025</v>
      </c>
    </row>
    <row r="144" spans="1:24" x14ac:dyDescent="0.35">
      <c r="A144" s="3">
        <v>45695</v>
      </c>
      <c r="B144" t="s">
        <v>246</v>
      </c>
      <c r="C144" t="s">
        <v>130</v>
      </c>
      <c r="D144" t="s">
        <v>279</v>
      </c>
      <c r="E144" t="s">
        <v>41</v>
      </c>
      <c r="F144" t="s">
        <v>66</v>
      </c>
      <c r="G144" t="s">
        <v>42</v>
      </c>
      <c r="H144">
        <v>29.2</v>
      </c>
      <c r="I144">
        <v>1969</v>
      </c>
      <c r="J144">
        <v>68</v>
      </c>
      <c r="K144">
        <v>19.5</v>
      </c>
      <c r="L144" t="s">
        <v>43</v>
      </c>
      <c r="M144">
        <v>13509.86</v>
      </c>
      <c r="N144">
        <v>26370</v>
      </c>
      <c r="O144" t="s">
        <v>36</v>
      </c>
      <c r="P144" t="str">
        <f t="shared" si="18"/>
        <v>Yes</v>
      </c>
      <c r="Q144">
        <f t="shared" si="19"/>
        <v>67.430000000000007</v>
      </c>
      <c r="R144">
        <f t="shared" si="20"/>
        <v>6.86</v>
      </c>
      <c r="S144">
        <f t="shared" si="21"/>
        <v>0.51</v>
      </c>
      <c r="T144" t="str">
        <f t="shared" si="22"/>
        <v>Delayed</v>
      </c>
      <c r="U144" t="str">
        <f t="shared" si="23"/>
        <v>Low</v>
      </c>
      <c r="V144" t="str">
        <f t="shared" si="24"/>
        <v>Low Risk</v>
      </c>
      <c r="W144" t="str">
        <f t="shared" si="25"/>
        <v>Feb</v>
      </c>
      <c r="X144">
        <f t="shared" si="26"/>
        <v>2025</v>
      </c>
    </row>
    <row r="145" spans="1:24" x14ac:dyDescent="0.35">
      <c r="A145" s="3">
        <v>45677</v>
      </c>
      <c r="B145" t="s">
        <v>173</v>
      </c>
      <c r="C145" t="s">
        <v>69</v>
      </c>
      <c r="D145" t="s">
        <v>280</v>
      </c>
      <c r="E145" t="s">
        <v>28</v>
      </c>
      <c r="F145" t="s">
        <v>27</v>
      </c>
      <c r="G145" t="s">
        <v>42</v>
      </c>
      <c r="H145">
        <v>44.3</v>
      </c>
      <c r="I145">
        <v>4817</v>
      </c>
      <c r="J145">
        <v>86</v>
      </c>
      <c r="K145">
        <v>17.399999999999999</v>
      </c>
      <c r="L145" t="s">
        <v>43</v>
      </c>
      <c r="M145">
        <v>27254.93</v>
      </c>
      <c r="N145">
        <v>11619</v>
      </c>
      <c r="O145" t="s">
        <v>84</v>
      </c>
      <c r="P145" t="str">
        <f t="shared" si="18"/>
        <v>Yes</v>
      </c>
      <c r="Q145">
        <f t="shared" si="19"/>
        <v>108.74</v>
      </c>
      <c r="R145">
        <f t="shared" si="20"/>
        <v>5.66</v>
      </c>
      <c r="S145">
        <f t="shared" si="21"/>
        <v>2.35</v>
      </c>
      <c r="T145" t="str">
        <f t="shared" si="22"/>
        <v>Delayed</v>
      </c>
      <c r="U145" t="str">
        <f t="shared" si="23"/>
        <v>Medium</v>
      </c>
      <c r="V145" t="str">
        <f t="shared" si="24"/>
        <v>Low Risk</v>
      </c>
      <c r="W145" t="str">
        <f t="shared" si="25"/>
        <v>Jan</v>
      </c>
      <c r="X145">
        <f t="shared" si="26"/>
        <v>2025</v>
      </c>
    </row>
    <row r="146" spans="1:24" x14ac:dyDescent="0.35">
      <c r="A146" s="3">
        <v>45855</v>
      </c>
      <c r="B146" t="s">
        <v>221</v>
      </c>
      <c r="C146" t="s">
        <v>25</v>
      </c>
      <c r="D146" t="s">
        <v>281</v>
      </c>
      <c r="E146" t="s">
        <v>48</v>
      </c>
      <c r="F146" t="s">
        <v>54</v>
      </c>
      <c r="G146" t="s">
        <v>71</v>
      </c>
      <c r="H146">
        <v>52.4</v>
      </c>
      <c r="I146">
        <v>1818</v>
      </c>
      <c r="J146">
        <v>31</v>
      </c>
      <c r="K146">
        <v>15.8</v>
      </c>
      <c r="L146" t="s">
        <v>49</v>
      </c>
      <c r="M146">
        <v>26598.31</v>
      </c>
      <c r="N146">
        <v>25413</v>
      </c>
      <c r="O146" t="s">
        <v>91</v>
      </c>
      <c r="P146" t="str">
        <f t="shared" si="18"/>
        <v>Yes</v>
      </c>
      <c r="Q146">
        <f t="shared" si="19"/>
        <v>34.69</v>
      </c>
      <c r="R146">
        <f t="shared" si="20"/>
        <v>14.63</v>
      </c>
      <c r="S146">
        <f t="shared" si="21"/>
        <v>1.05</v>
      </c>
      <c r="T146" t="str">
        <f t="shared" si="22"/>
        <v>Delayed</v>
      </c>
      <c r="U146" t="str">
        <f t="shared" si="23"/>
        <v>Medium</v>
      </c>
      <c r="V146" t="str">
        <f t="shared" si="24"/>
        <v>High Risk</v>
      </c>
      <c r="W146" t="str">
        <f t="shared" si="25"/>
        <v>Jul</v>
      </c>
      <c r="X146">
        <f t="shared" si="26"/>
        <v>2025</v>
      </c>
    </row>
    <row r="147" spans="1:24" x14ac:dyDescent="0.35">
      <c r="A147" s="3">
        <v>45751</v>
      </c>
      <c r="B147" t="s">
        <v>167</v>
      </c>
      <c r="C147" t="s">
        <v>57</v>
      </c>
      <c r="D147" t="s">
        <v>282</v>
      </c>
      <c r="E147" t="s">
        <v>48</v>
      </c>
      <c r="F147" t="s">
        <v>63</v>
      </c>
      <c r="G147" t="s">
        <v>29</v>
      </c>
      <c r="H147">
        <v>51.8</v>
      </c>
      <c r="I147">
        <v>3447</v>
      </c>
      <c r="J147">
        <v>116</v>
      </c>
      <c r="K147">
        <v>19.899999999999999</v>
      </c>
      <c r="L147" t="s">
        <v>49</v>
      </c>
      <c r="M147">
        <v>34938.42</v>
      </c>
      <c r="N147">
        <v>15599</v>
      </c>
      <c r="O147" t="s">
        <v>44</v>
      </c>
      <c r="P147" t="str">
        <f t="shared" si="18"/>
        <v>Yes</v>
      </c>
      <c r="Q147">
        <f t="shared" si="19"/>
        <v>66.540000000000006</v>
      </c>
      <c r="R147">
        <f t="shared" si="20"/>
        <v>10.14</v>
      </c>
      <c r="S147">
        <f t="shared" si="21"/>
        <v>2.2400000000000002</v>
      </c>
      <c r="T147" t="str">
        <f t="shared" si="22"/>
        <v>Delayed</v>
      </c>
      <c r="U147" t="str">
        <f t="shared" si="23"/>
        <v>Medium</v>
      </c>
      <c r="V147" t="str">
        <f t="shared" si="24"/>
        <v>High Risk</v>
      </c>
      <c r="W147" t="str">
        <f t="shared" si="25"/>
        <v>Apr</v>
      </c>
      <c r="X147">
        <f t="shared" si="26"/>
        <v>2025</v>
      </c>
    </row>
    <row r="148" spans="1:24" x14ac:dyDescent="0.35">
      <c r="A148" s="3">
        <v>45760</v>
      </c>
      <c r="B148" t="s">
        <v>104</v>
      </c>
      <c r="C148" t="s">
        <v>57</v>
      </c>
      <c r="D148" t="s">
        <v>283</v>
      </c>
      <c r="E148" t="s">
        <v>28</v>
      </c>
      <c r="F148" t="s">
        <v>54</v>
      </c>
      <c r="G148" t="s">
        <v>29</v>
      </c>
      <c r="H148">
        <v>50.8</v>
      </c>
      <c r="I148">
        <v>1618</v>
      </c>
      <c r="J148">
        <v>59</v>
      </c>
      <c r="K148">
        <v>12.8</v>
      </c>
      <c r="L148" t="s">
        <v>49</v>
      </c>
      <c r="M148">
        <v>25488.38</v>
      </c>
      <c r="N148">
        <v>21601</v>
      </c>
      <c r="O148" t="s">
        <v>84</v>
      </c>
      <c r="P148" t="str">
        <f t="shared" si="18"/>
        <v>Yes</v>
      </c>
      <c r="Q148">
        <f t="shared" si="19"/>
        <v>31.85</v>
      </c>
      <c r="R148">
        <f t="shared" si="20"/>
        <v>15.75</v>
      </c>
      <c r="S148">
        <f t="shared" si="21"/>
        <v>1.18</v>
      </c>
      <c r="T148" t="str">
        <f t="shared" si="22"/>
        <v>Delayed</v>
      </c>
      <c r="U148" t="str">
        <f t="shared" si="23"/>
        <v>Medium</v>
      </c>
      <c r="V148" t="str">
        <f t="shared" si="24"/>
        <v>High Risk</v>
      </c>
      <c r="W148" t="str">
        <f t="shared" si="25"/>
        <v>Apr</v>
      </c>
      <c r="X148">
        <f t="shared" si="26"/>
        <v>2025</v>
      </c>
    </row>
    <row r="149" spans="1:24" x14ac:dyDescent="0.35">
      <c r="A149" s="3">
        <v>45693</v>
      </c>
      <c r="B149" t="s">
        <v>214</v>
      </c>
      <c r="C149" t="s">
        <v>95</v>
      </c>
      <c r="D149" t="s">
        <v>284</v>
      </c>
      <c r="E149" t="s">
        <v>27</v>
      </c>
      <c r="F149" t="s">
        <v>48</v>
      </c>
      <c r="G149" t="s">
        <v>29</v>
      </c>
      <c r="H149">
        <v>75.400000000000006</v>
      </c>
      <c r="I149">
        <v>1234</v>
      </c>
      <c r="J149">
        <v>91</v>
      </c>
      <c r="K149">
        <v>21.3</v>
      </c>
      <c r="L149" t="s">
        <v>30</v>
      </c>
      <c r="M149">
        <v>35292.31</v>
      </c>
      <c r="N149">
        <v>19129</v>
      </c>
      <c r="O149" t="s">
        <v>31</v>
      </c>
      <c r="P149" t="str">
        <f t="shared" si="18"/>
        <v>Yes</v>
      </c>
      <c r="Q149">
        <f t="shared" si="19"/>
        <v>16.37</v>
      </c>
      <c r="R149">
        <f t="shared" si="20"/>
        <v>28.6</v>
      </c>
      <c r="S149">
        <f t="shared" si="21"/>
        <v>1.84</v>
      </c>
      <c r="T149" t="str">
        <f t="shared" si="22"/>
        <v>Delayed</v>
      </c>
      <c r="U149" t="str">
        <f t="shared" si="23"/>
        <v>High</v>
      </c>
      <c r="V149" t="str">
        <f t="shared" si="24"/>
        <v>Medium Risk</v>
      </c>
      <c r="W149" t="str">
        <f t="shared" si="25"/>
        <v>Feb</v>
      </c>
      <c r="X149">
        <f t="shared" si="26"/>
        <v>2025</v>
      </c>
    </row>
    <row r="150" spans="1:24" x14ac:dyDescent="0.35">
      <c r="A150" s="3">
        <v>46013</v>
      </c>
      <c r="B150" t="s">
        <v>214</v>
      </c>
      <c r="C150" t="s">
        <v>52</v>
      </c>
      <c r="D150" t="s">
        <v>285</v>
      </c>
      <c r="E150" t="s">
        <v>48</v>
      </c>
      <c r="F150" t="s">
        <v>54</v>
      </c>
      <c r="G150" t="s">
        <v>29</v>
      </c>
      <c r="H150">
        <v>79.400000000000006</v>
      </c>
      <c r="I150">
        <v>4608</v>
      </c>
      <c r="J150">
        <v>21</v>
      </c>
      <c r="K150">
        <v>15.9</v>
      </c>
      <c r="L150" t="s">
        <v>49</v>
      </c>
      <c r="M150">
        <v>39219.68</v>
      </c>
      <c r="N150">
        <v>5457</v>
      </c>
      <c r="O150" t="s">
        <v>50</v>
      </c>
      <c r="P150" t="str">
        <f t="shared" si="18"/>
        <v>Yes</v>
      </c>
      <c r="Q150">
        <f t="shared" si="19"/>
        <v>58.04</v>
      </c>
      <c r="R150">
        <f t="shared" si="20"/>
        <v>8.51</v>
      </c>
      <c r="S150">
        <f t="shared" si="21"/>
        <v>7.19</v>
      </c>
      <c r="T150" t="str">
        <f t="shared" si="22"/>
        <v>Delayed</v>
      </c>
      <c r="U150" t="str">
        <f t="shared" si="23"/>
        <v>High</v>
      </c>
      <c r="V150" t="str">
        <f t="shared" si="24"/>
        <v>High Risk</v>
      </c>
      <c r="W150" t="str">
        <f t="shared" si="25"/>
        <v>Dec</v>
      </c>
      <c r="X150">
        <f t="shared" si="26"/>
        <v>2025</v>
      </c>
    </row>
    <row r="151" spans="1:24" x14ac:dyDescent="0.35">
      <c r="A151" s="3">
        <v>46019</v>
      </c>
      <c r="B151" t="s">
        <v>68</v>
      </c>
      <c r="C151" t="s">
        <v>39</v>
      </c>
      <c r="D151" t="s">
        <v>286</v>
      </c>
      <c r="E151" t="s">
        <v>48</v>
      </c>
      <c r="F151" t="s">
        <v>63</v>
      </c>
      <c r="G151" t="s">
        <v>29</v>
      </c>
      <c r="H151">
        <v>41.7</v>
      </c>
      <c r="I151">
        <v>2696</v>
      </c>
      <c r="J151">
        <v>26</v>
      </c>
      <c r="K151">
        <v>13.3</v>
      </c>
      <c r="L151" t="s">
        <v>49</v>
      </c>
      <c r="M151">
        <v>29146.15</v>
      </c>
      <c r="N151">
        <v>16318</v>
      </c>
      <c r="O151" t="s">
        <v>31</v>
      </c>
      <c r="P151" t="str">
        <f t="shared" si="18"/>
        <v>Yes</v>
      </c>
      <c r="Q151">
        <f t="shared" si="19"/>
        <v>64.650000000000006</v>
      </c>
      <c r="R151">
        <f t="shared" si="20"/>
        <v>10.81</v>
      </c>
      <c r="S151">
        <f t="shared" si="21"/>
        <v>1.79</v>
      </c>
      <c r="T151" t="str">
        <f t="shared" si="22"/>
        <v>Delayed</v>
      </c>
      <c r="U151" t="str">
        <f t="shared" si="23"/>
        <v>Medium</v>
      </c>
      <c r="V151" t="str">
        <f t="shared" si="24"/>
        <v>High Risk</v>
      </c>
      <c r="W151" t="str">
        <f t="shared" si="25"/>
        <v>Dec</v>
      </c>
      <c r="X151">
        <f t="shared" si="26"/>
        <v>2025</v>
      </c>
    </row>
    <row r="152" spans="1:24" x14ac:dyDescent="0.35">
      <c r="A152" s="3">
        <v>45723</v>
      </c>
      <c r="B152" t="s">
        <v>142</v>
      </c>
      <c r="C152" t="s">
        <v>95</v>
      </c>
      <c r="D152" t="s">
        <v>287</v>
      </c>
      <c r="E152" t="s">
        <v>63</v>
      </c>
      <c r="F152" t="s">
        <v>27</v>
      </c>
      <c r="G152" t="s">
        <v>42</v>
      </c>
      <c r="H152">
        <v>21.9</v>
      </c>
      <c r="I152">
        <v>1847</v>
      </c>
      <c r="J152">
        <v>90</v>
      </c>
      <c r="K152">
        <v>14.7</v>
      </c>
      <c r="L152" t="s">
        <v>78</v>
      </c>
      <c r="M152">
        <v>13052.31</v>
      </c>
      <c r="N152">
        <v>22859</v>
      </c>
      <c r="O152" t="s">
        <v>44</v>
      </c>
      <c r="P152" t="str">
        <f t="shared" si="18"/>
        <v>No</v>
      </c>
      <c r="Q152">
        <f t="shared" si="19"/>
        <v>84.34</v>
      </c>
      <c r="R152">
        <f t="shared" si="20"/>
        <v>7.07</v>
      </c>
      <c r="S152">
        <f t="shared" si="21"/>
        <v>0.56999999999999995</v>
      </c>
      <c r="T152" t="str">
        <f t="shared" si="22"/>
        <v>On Time</v>
      </c>
      <c r="U152" t="str">
        <f t="shared" si="23"/>
        <v>Low</v>
      </c>
      <c r="V152" t="str">
        <f t="shared" si="24"/>
        <v>Low Risk</v>
      </c>
      <c r="W152" t="str">
        <f t="shared" si="25"/>
        <v>Mar</v>
      </c>
      <c r="X152">
        <f t="shared" si="26"/>
        <v>2025</v>
      </c>
    </row>
    <row r="153" spans="1:24" x14ac:dyDescent="0.35">
      <c r="A153" s="3">
        <v>45698</v>
      </c>
      <c r="B153" t="s">
        <v>167</v>
      </c>
      <c r="C153" t="s">
        <v>25</v>
      </c>
      <c r="D153" t="s">
        <v>288</v>
      </c>
      <c r="E153" t="s">
        <v>28</v>
      </c>
      <c r="F153" t="s">
        <v>55</v>
      </c>
      <c r="G153" t="s">
        <v>71</v>
      </c>
      <c r="H153">
        <v>56.4</v>
      </c>
      <c r="I153">
        <v>2762</v>
      </c>
      <c r="J153">
        <v>113</v>
      </c>
      <c r="K153">
        <v>14.5</v>
      </c>
      <c r="L153" t="s">
        <v>43</v>
      </c>
      <c r="M153">
        <v>28996.03</v>
      </c>
      <c r="N153">
        <v>11162</v>
      </c>
      <c r="O153" t="s">
        <v>44</v>
      </c>
      <c r="P153" t="str">
        <f t="shared" si="18"/>
        <v>Yes</v>
      </c>
      <c r="Q153">
        <f t="shared" si="19"/>
        <v>48.97</v>
      </c>
      <c r="R153">
        <f t="shared" si="20"/>
        <v>10.5</v>
      </c>
      <c r="S153">
        <f t="shared" si="21"/>
        <v>2.6</v>
      </c>
      <c r="T153" t="str">
        <f t="shared" si="22"/>
        <v>Delayed</v>
      </c>
      <c r="U153" t="str">
        <f t="shared" si="23"/>
        <v>Medium</v>
      </c>
      <c r="V153" t="str">
        <f t="shared" si="24"/>
        <v>Low Risk</v>
      </c>
      <c r="W153" t="str">
        <f t="shared" si="25"/>
        <v>Feb</v>
      </c>
      <c r="X153">
        <f t="shared" si="26"/>
        <v>2025</v>
      </c>
    </row>
    <row r="154" spans="1:24" x14ac:dyDescent="0.35">
      <c r="A154" s="3">
        <v>45805</v>
      </c>
      <c r="B154" t="s">
        <v>188</v>
      </c>
      <c r="C154" t="s">
        <v>39</v>
      </c>
      <c r="D154" t="s">
        <v>289</v>
      </c>
      <c r="E154" t="s">
        <v>28</v>
      </c>
      <c r="F154" t="s">
        <v>48</v>
      </c>
      <c r="G154" t="s">
        <v>71</v>
      </c>
      <c r="H154">
        <v>66</v>
      </c>
      <c r="I154">
        <v>2255</v>
      </c>
      <c r="J154">
        <v>82</v>
      </c>
      <c r="K154">
        <v>18.600000000000001</v>
      </c>
      <c r="L154" t="s">
        <v>78</v>
      </c>
      <c r="M154">
        <v>36517.769999999997</v>
      </c>
      <c r="N154">
        <v>7223</v>
      </c>
      <c r="O154" t="s">
        <v>59</v>
      </c>
      <c r="P154" t="str">
        <f t="shared" si="18"/>
        <v>No</v>
      </c>
      <c r="Q154">
        <f t="shared" si="19"/>
        <v>34.17</v>
      </c>
      <c r="R154">
        <f t="shared" si="20"/>
        <v>16.190000000000001</v>
      </c>
      <c r="S154">
        <f t="shared" si="21"/>
        <v>5.0599999999999996</v>
      </c>
      <c r="T154" t="str">
        <f t="shared" si="22"/>
        <v>On Time</v>
      </c>
      <c r="U154" t="str">
        <f t="shared" si="23"/>
        <v>High</v>
      </c>
      <c r="V154" t="str">
        <f t="shared" si="24"/>
        <v>Low Risk</v>
      </c>
      <c r="W154" t="str">
        <f t="shared" si="25"/>
        <v>May</v>
      </c>
      <c r="X154">
        <f t="shared" si="26"/>
        <v>2025</v>
      </c>
    </row>
    <row r="155" spans="1:24" x14ac:dyDescent="0.35">
      <c r="A155" s="3">
        <v>45700</v>
      </c>
      <c r="B155" t="s">
        <v>159</v>
      </c>
      <c r="C155" t="s">
        <v>130</v>
      </c>
      <c r="D155" t="s">
        <v>290</v>
      </c>
      <c r="E155" t="s">
        <v>54</v>
      </c>
      <c r="F155" t="s">
        <v>63</v>
      </c>
      <c r="G155" t="s">
        <v>35</v>
      </c>
      <c r="H155">
        <v>57.4</v>
      </c>
      <c r="I155">
        <v>1104</v>
      </c>
      <c r="J155">
        <v>85</v>
      </c>
      <c r="K155">
        <v>10.3</v>
      </c>
      <c r="L155" t="s">
        <v>78</v>
      </c>
      <c r="M155">
        <v>39519.57</v>
      </c>
      <c r="N155">
        <v>15760</v>
      </c>
      <c r="O155" t="s">
        <v>31</v>
      </c>
      <c r="P155" t="str">
        <f t="shared" si="18"/>
        <v>No</v>
      </c>
      <c r="Q155">
        <f t="shared" si="19"/>
        <v>19.23</v>
      </c>
      <c r="R155">
        <f t="shared" si="20"/>
        <v>35.799999999999997</v>
      </c>
      <c r="S155">
        <f t="shared" si="21"/>
        <v>2.5099999999999998</v>
      </c>
      <c r="T155" t="str">
        <f t="shared" si="22"/>
        <v>On Time</v>
      </c>
      <c r="U155" t="str">
        <f t="shared" si="23"/>
        <v>Medium</v>
      </c>
      <c r="V155" t="str">
        <f t="shared" si="24"/>
        <v>Low Risk</v>
      </c>
      <c r="W155" t="str">
        <f t="shared" si="25"/>
        <v>Feb</v>
      </c>
      <c r="X155">
        <f t="shared" si="26"/>
        <v>2025</v>
      </c>
    </row>
    <row r="156" spans="1:24" x14ac:dyDescent="0.35">
      <c r="A156" s="3">
        <v>45891</v>
      </c>
      <c r="B156" t="s">
        <v>291</v>
      </c>
      <c r="C156" t="s">
        <v>39</v>
      </c>
      <c r="D156" t="s">
        <v>292</v>
      </c>
      <c r="E156" t="s">
        <v>27</v>
      </c>
      <c r="F156" t="s">
        <v>66</v>
      </c>
      <c r="G156" t="s">
        <v>35</v>
      </c>
      <c r="H156">
        <v>44.3</v>
      </c>
      <c r="I156">
        <v>2499</v>
      </c>
      <c r="J156">
        <v>47</v>
      </c>
      <c r="K156">
        <v>21.2</v>
      </c>
      <c r="L156" t="s">
        <v>49</v>
      </c>
      <c r="M156">
        <v>24580.66</v>
      </c>
      <c r="N156">
        <v>7670</v>
      </c>
      <c r="O156" t="s">
        <v>44</v>
      </c>
      <c r="P156" t="str">
        <f t="shared" si="18"/>
        <v>Yes</v>
      </c>
      <c r="Q156">
        <f t="shared" si="19"/>
        <v>56.41</v>
      </c>
      <c r="R156">
        <f t="shared" si="20"/>
        <v>9.84</v>
      </c>
      <c r="S156">
        <f t="shared" si="21"/>
        <v>3.2</v>
      </c>
      <c r="T156" t="str">
        <f t="shared" si="22"/>
        <v>Delayed</v>
      </c>
      <c r="U156" t="str">
        <f t="shared" si="23"/>
        <v>Medium</v>
      </c>
      <c r="V156" t="str">
        <f t="shared" si="24"/>
        <v>High Risk</v>
      </c>
      <c r="W156" t="str">
        <f t="shared" si="25"/>
        <v>Aug</v>
      </c>
      <c r="X156">
        <f t="shared" si="26"/>
        <v>2025</v>
      </c>
    </row>
    <row r="157" spans="1:24" x14ac:dyDescent="0.35">
      <c r="A157" s="3">
        <v>45687</v>
      </c>
      <c r="B157" t="s">
        <v>125</v>
      </c>
      <c r="C157" t="s">
        <v>25</v>
      </c>
      <c r="D157" t="s">
        <v>293</v>
      </c>
      <c r="E157" t="s">
        <v>28</v>
      </c>
      <c r="F157" t="s">
        <v>55</v>
      </c>
      <c r="G157" t="s">
        <v>42</v>
      </c>
      <c r="H157">
        <v>29.1</v>
      </c>
      <c r="I157">
        <v>4534</v>
      </c>
      <c r="J157">
        <v>83</v>
      </c>
      <c r="K157">
        <v>13.6</v>
      </c>
      <c r="L157" t="s">
        <v>78</v>
      </c>
      <c r="M157">
        <v>15214.33</v>
      </c>
      <c r="N157">
        <v>29585</v>
      </c>
      <c r="O157" t="s">
        <v>91</v>
      </c>
      <c r="P157" t="str">
        <f t="shared" si="18"/>
        <v>No</v>
      </c>
      <c r="Q157">
        <f t="shared" si="19"/>
        <v>155.81</v>
      </c>
      <c r="R157">
        <f t="shared" si="20"/>
        <v>3.36</v>
      </c>
      <c r="S157">
        <f t="shared" si="21"/>
        <v>0.51</v>
      </c>
      <c r="T157" t="str">
        <f t="shared" si="22"/>
        <v>On Time</v>
      </c>
      <c r="U157" t="str">
        <f t="shared" si="23"/>
        <v>Low</v>
      </c>
      <c r="V157" t="str">
        <f t="shared" si="24"/>
        <v>Low Risk</v>
      </c>
      <c r="W157" t="str">
        <f t="shared" si="25"/>
        <v>Jan</v>
      </c>
      <c r="X157">
        <f t="shared" si="26"/>
        <v>2025</v>
      </c>
    </row>
    <row r="158" spans="1:24" x14ac:dyDescent="0.35">
      <c r="A158" s="3">
        <v>45941</v>
      </c>
      <c r="B158" t="s">
        <v>152</v>
      </c>
      <c r="C158" t="s">
        <v>52</v>
      </c>
      <c r="D158" t="s">
        <v>294</v>
      </c>
      <c r="E158" t="s">
        <v>55</v>
      </c>
      <c r="F158" t="s">
        <v>54</v>
      </c>
      <c r="G158" t="s">
        <v>71</v>
      </c>
      <c r="H158">
        <v>46.3</v>
      </c>
      <c r="I158">
        <v>2899</v>
      </c>
      <c r="J158">
        <v>92</v>
      </c>
      <c r="K158">
        <v>12.1</v>
      </c>
      <c r="L158" t="s">
        <v>30</v>
      </c>
      <c r="M158">
        <v>21846.66</v>
      </c>
      <c r="N158">
        <v>15968</v>
      </c>
      <c r="O158" t="s">
        <v>44</v>
      </c>
      <c r="P158" t="str">
        <f t="shared" si="18"/>
        <v>Yes</v>
      </c>
      <c r="Q158">
        <f t="shared" si="19"/>
        <v>62.61</v>
      </c>
      <c r="R158">
        <f t="shared" si="20"/>
        <v>7.54</v>
      </c>
      <c r="S158">
        <f t="shared" si="21"/>
        <v>1.37</v>
      </c>
      <c r="T158" t="str">
        <f t="shared" si="22"/>
        <v>Delayed</v>
      </c>
      <c r="U158" t="str">
        <f t="shared" si="23"/>
        <v>Medium</v>
      </c>
      <c r="V158" t="str">
        <f t="shared" si="24"/>
        <v>Medium Risk</v>
      </c>
      <c r="W158" t="str">
        <f t="shared" si="25"/>
        <v>Oct</v>
      </c>
      <c r="X158">
        <f t="shared" si="26"/>
        <v>2025</v>
      </c>
    </row>
    <row r="159" spans="1:24" x14ac:dyDescent="0.35">
      <c r="A159" s="3">
        <v>45884</v>
      </c>
      <c r="B159" t="s">
        <v>214</v>
      </c>
      <c r="C159" t="s">
        <v>109</v>
      </c>
      <c r="D159" t="s">
        <v>295</v>
      </c>
      <c r="E159" t="s">
        <v>66</v>
      </c>
      <c r="F159" t="s">
        <v>55</v>
      </c>
      <c r="G159" t="s">
        <v>42</v>
      </c>
      <c r="H159">
        <v>78.5</v>
      </c>
      <c r="I159">
        <v>1655</v>
      </c>
      <c r="J159">
        <v>88</v>
      </c>
      <c r="K159">
        <v>10.4</v>
      </c>
      <c r="L159" t="s">
        <v>43</v>
      </c>
      <c r="M159">
        <v>43884.6</v>
      </c>
      <c r="N159">
        <v>23361</v>
      </c>
      <c r="O159" t="s">
        <v>91</v>
      </c>
      <c r="P159" t="str">
        <f t="shared" si="18"/>
        <v>Yes</v>
      </c>
      <c r="Q159">
        <f t="shared" si="19"/>
        <v>21.08</v>
      </c>
      <c r="R159">
        <f t="shared" si="20"/>
        <v>26.52</v>
      </c>
      <c r="S159">
        <f t="shared" si="21"/>
        <v>1.88</v>
      </c>
      <c r="T159" t="str">
        <f t="shared" si="22"/>
        <v>Delayed</v>
      </c>
      <c r="U159" t="str">
        <f t="shared" si="23"/>
        <v>High</v>
      </c>
      <c r="V159" t="str">
        <f t="shared" si="24"/>
        <v>Low Risk</v>
      </c>
      <c r="W159" t="str">
        <f t="shared" si="25"/>
        <v>Aug</v>
      </c>
      <c r="X159">
        <f t="shared" si="26"/>
        <v>2025</v>
      </c>
    </row>
    <row r="160" spans="1:24" x14ac:dyDescent="0.35">
      <c r="A160" s="3">
        <v>45869</v>
      </c>
      <c r="B160" t="s">
        <v>223</v>
      </c>
      <c r="C160" t="s">
        <v>109</v>
      </c>
      <c r="D160" t="s">
        <v>296</v>
      </c>
      <c r="E160" t="s">
        <v>48</v>
      </c>
      <c r="F160" t="s">
        <v>55</v>
      </c>
      <c r="G160" t="s">
        <v>71</v>
      </c>
      <c r="H160">
        <v>64.3</v>
      </c>
      <c r="I160">
        <v>1291</v>
      </c>
      <c r="J160">
        <v>59</v>
      </c>
      <c r="K160">
        <v>13.1</v>
      </c>
      <c r="L160" t="s">
        <v>49</v>
      </c>
      <c r="M160">
        <v>37806.54</v>
      </c>
      <c r="N160">
        <v>22334</v>
      </c>
      <c r="O160" t="s">
        <v>36</v>
      </c>
      <c r="P160" t="str">
        <f t="shared" si="18"/>
        <v>Yes</v>
      </c>
      <c r="Q160">
        <f t="shared" si="19"/>
        <v>20.079999999999998</v>
      </c>
      <c r="R160">
        <f t="shared" si="20"/>
        <v>29.28</v>
      </c>
      <c r="S160">
        <f t="shared" si="21"/>
        <v>1.69</v>
      </c>
      <c r="T160" t="str">
        <f t="shared" si="22"/>
        <v>Delayed</v>
      </c>
      <c r="U160" t="str">
        <f t="shared" si="23"/>
        <v>High</v>
      </c>
      <c r="V160" t="str">
        <f t="shared" si="24"/>
        <v>High Risk</v>
      </c>
      <c r="W160" t="str">
        <f t="shared" si="25"/>
        <v>Jul</v>
      </c>
      <c r="X160">
        <f t="shared" si="26"/>
        <v>2025</v>
      </c>
    </row>
    <row r="161" spans="1:24" x14ac:dyDescent="0.35">
      <c r="A161" s="3">
        <v>46006</v>
      </c>
      <c r="B161" t="s">
        <v>171</v>
      </c>
      <c r="C161" t="s">
        <v>39</v>
      </c>
      <c r="D161" t="s">
        <v>297</v>
      </c>
      <c r="E161" t="s">
        <v>41</v>
      </c>
      <c r="F161" t="s">
        <v>27</v>
      </c>
      <c r="G161" t="s">
        <v>35</v>
      </c>
      <c r="H161">
        <v>26.5</v>
      </c>
      <c r="I161">
        <v>1521</v>
      </c>
      <c r="J161">
        <v>32</v>
      </c>
      <c r="K161">
        <v>14.9</v>
      </c>
      <c r="L161" t="s">
        <v>30</v>
      </c>
      <c r="M161">
        <v>16511.79</v>
      </c>
      <c r="N161">
        <v>5941</v>
      </c>
      <c r="O161" t="s">
        <v>44</v>
      </c>
      <c r="P161" t="str">
        <f t="shared" si="18"/>
        <v>Yes</v>
      </c>
      <c r="Q161">
        <f t="shared" si="19"/>
        <v>57.4</v>
      </c>
      <c r="R161">
        <f t="shared" si="20"/>
        <v>10.86</v>
      </c>
      <c r="S161">
        <f t="shared" si="21"/>
        <v>2.78</v>
      </c>
      <c r="T161" t="str">
        <f t="shared" si="22"/>
        <v>Delayed</v>
      </c>
      <c r="U161" t="str">
        <f t="shared" si="23"/>
        <v>Low</v>
      </c>
      <c r="V161" t="str">
        <f t="shared" si="24"/>
        <v>Medium Risk</v>
      </c>
      <c r="W161" t="str">
        <f t="shared" si="25"/>
        <v>Dec</v>
      </c>
      <c r="X161">
        <f t="shared" si="26"/>
        <v>2025</v>
      </c>
    </row>
    <row r="162" spans="1:24" x14ac:dyDescent="0.35">
      <c r="A162" s="3">
        <v>45803</v>
      </c>
      <c r="B162" t="s">
        <v>125</v>
      </c>
      <c r="C162" t="s">
        <v>39</v>
      </c>
      <c r="D162" t="s">
        <v>298</v>
      </c>
      <c r="E162" t="s">
        <v>41</v>
      </c>
      <c r="F162" t="s">
        <v>66</v>
      </c>
      <c r="G162" t="s">
        <v>71</v>
      </c>
      <c r="H162">
        <v>44.4</v>
      </c>
      <c r="I162">
        <v>525</v>
      </c>
      <c r="J162">
        <v>105</v>
      </c>
      <c r="K162">
        <v>19</v>
      </c>
      <c r="L162" t="s">
        <v>78</v>
      </c>
      <c r="M162">
        <v>25974.17</v>
      </c>
      <c r="N162">
        <v>17555</v>
      </c>
      <c r="O162" t="s">
        <v>44</v>
      </c>
      <c r="P162" t="str">
        <f t="shared" si="18"/>
        <v>No</v>
      </c>
      <c r="Q162">
        <f t="shared" si="19"/>
        <v>11.82</v>
      </c>
      <c r="R162">
        <f t="shared" si="20"/>
        <v>49.47</v>
      </c>
      <c r="S162">
        <f t="shared" si="21"/>
        <v>1.48</v>
      </c>
      <c r="T162" t="str">
        <f t="shared" si="22"/>
        <v>On Time</v>
      </c>
      <c r="U162" t="str">
        <f t="shared" si="23"/>
        <v>Medium</v>
      </c>
      <c r="V162" t="str">
        <f t="shared" si="24"/>
        <v>Low Risk</v>
      </c>
      <c r="W162" t="str">
        <f t="shared" si="25"/>
        <v>May</v>
      </c>
      <c r="X162">
        <f t="shared" si="26"/>
        <v>2025</v>
      </c>
    </row>
    <row r="163" spans="1:24" x14ac:dyDescent="0.35">
      <c r="A163" s="3">
        <v>45681</v>
      </c>
      <c r="B163" t="s">
        <v>148</v>
      </c>
      <c r="C163" t="s">
        <v>130</v>
      </c>
      <c r="D163" t="s">
        <v>299</v>
      </c>
      <c r="E163" t="s">
        <v>54</v>
      </c>
      <c r="F163" t="s">
        <v>41</v>
      </c>
      <c r="G163" t="s">
        <v>35</v>
      </c>
      <c r="H163">
        <v>67.400000000000006</v>
      </c>
      <c r="I163">
        <v>2275</v>
      </c>
      <c r="J163">
        <v>116</v>
      </c>
      <c r="K163">
        <v>17.8</v>
      </c>
      <c r="L163" t="s">
        <v>49</v>
      </c>
      <c r="M163">
        <v>46443.96</v>
      </c>
      <c r="N163">
        <v>17890</v>
      </c>
      <c r="O163" t="s">
        <v>67</v>
      </c>
      <c r="P163" t="str">
        <f t="shared" si="18"/>
        <v>Yes</v>
      </c>
      <c r="Q163">
        <f t="shared" si="19"/>
        <v>33.75</v>
      </c>
      <c r="R163">
        <f t="shared" si="20"/>
        <v>20.41</v>
      </c>
      <c r="S163">
        <f t="shared" si="21"/>
        <v>2.6</v>
      </c>
      <c r="T163" t="str">
        <f t="shared" si="22"/>
        <v>Delayed</v>
      </c>
      <c r="U163" t="str">
        <f t="shared" si="23"/>
        <v>High</v>
      </c>
      <c r="V163" t="str">
        <f t="shared" si="24"/>
        <v>High Risk</v>
      </c>
      <c r="W163" t="str">
        <f t="shared" si="25"/>
        <v>Jan</v>
      </c>
      <c r="X163">
        <f t="shared" si="26"/>
        <v>2025</v>
      </c>
    </row>
    <row r="164" spans="1:24" x14ac:dyDescent="0.35">
      <c r="A164" s="3">
        <v>45784</v>
      </c>
      <c r="B164" t="s">
        <v>300</v>
      </c>
      <c r="C164" t="s">
        <v>25</v>
      </c>
      <c r="D164" t="s">
        <v>301</v>
      </c>
      <c r="E164" t="s">
        <v>54</v>
      </c>
      <c r="F164" t="s">
        <v>28</v>
      </c>
      <c r="G164" t="s">
        <v>42</v>
      </c>
      <c r="H164">
        <v>47.7</v>
      </c>
      <c r="I164">
        <v>2074</v>
      </c>
      <c r="J164">
        <v>60</v>
      </c>
      <c r="K164">
        <v>18.2</v>
      </c>
      <c r="L164" t="s">
        <v>43</v>
      </c>
      <c r="M164">
        <v>23687.23</v>
      </c>
      <c r="N164">
        <v>22179</v>
      </c>
      <c r="O164" t="s">
        <v>67</v>
      </c>
      <c r="P164" t="str">
        <f t="shared" si="18"/>
        <v>Yes</v>
      </c>
      <c r="Q164">
        <f t="shared" si="19"/>
        <v>43.48</v>
      </c>
      <c r="R164">
        <f t="shared" si="20"/>
        <v>11.42</v>
      </c>
      <c r="S164">
        <f t="shared" si="21"/>
        <v>1.07</v>
      </c>
      <c r="T164" t="str">
        <f t="shared" si="22"/>
        <v>Delayed</v>
      </c>
      <c r="U164" t="str">
        <f t="shared" si="23"/>
        <v>Medium</v>
      </c>
      <c r="V164" t="str">
        <f t="shared" si="24"/>
        <v>Low Risk</v>
      </c>
      <c r="W164" t="str">
        <f t="shared" si="25"/>
        <v>May</v>
      </c>
      <c r="X164">
        <f t="shared" si="26"/>
        <v>2025</v>
      </c>
    </row>
    <row r="165" spans="1:24" x14ac:dyDescent="0.35">
      <c r="A165" s="3">
        <v>45833</v>
      </c>
      <c r="B165" t="s">
        <v>61</v>
      </c>
      <c r="C165" t="s">
        <v>95</v>
      </c>
      <c r="D165" t="s">
        <v>302</v>
      </c>
      <c r="E165" t="s">
        <v>54</v>
      </c>
      <c r="F165" t="s">
        <v>28</v>
      </c>
      <c r="G165" t="s">
        <v>35</v>
      </c>
      <c r="H165">
        <v>48.6</v>
      </c>
      <c r="I165">
        <v>1333</v>
      </c>
      <c r="J165">
        <v>45</v>
      </c>
      <c r="K165">
        <v>15.9</v>
      </c>
      <c r="L165" t="s">
        <v>49</v>
      </c>
      <c r="M165">
        <v>22216.71</v>
      </c>
      <c r="N165">
        <v>18324</v>
      </c>
      <c r="O165" t="s">
        <v>67</v>
      </c>
      <c r="P165" t="str">
        <f t="shared" si="18"/>
        <v>Yes</v>
      </c>
      <c r="Q165">
        <f t="shared" si="19"/>
        <v>27.43</v>
      </c>
      <c r="R165">
        <f t="shared" si="20"/>
        <v>16.670000000000002</v>
      </c>
      <c r="S165">
        <f t="shared" si="21"/>
        <v>1.21</v>
      </c>
      <c r="T165" t="str">
        <f t="shared" si="22"/>
        <v>Delayed</v>
      </c>
      <c r="U165" t="str">
        <f t="shared" si="23"/>
        <v>Medium</v>
      </c>
      <c r="V165" t="str">
        <f t="shared" si="24"/>
        <v>High Risk</v>
      </c>
      <c r="W165" t="str">
        <f t="shared" si="25"/>
        <v>Jun</v>
      </c>
      <c r="X165">
        <f t="shared" si="26"/>
        <v>2025</v>
      </c>
    </row>
    <row r="166" spans="1:24" x14ac:dyDescent="0.35">
      <c r="A166" s="3">
        <v>45890</v>
      </c>
      <c r="B166" t="s">
        <v>150</v>
      </c>
      <c r="C166" t="s">
        <v>39</v>
      </c>
      <c r="D166" t="s">
        <v>303</v>
      </c>
      <c r="E166" t="s">
        <v>66</v>
      </c>
      <c r="F166" t="s">
        <v>55</v>
      </c>
      <c r="G166" t="s">
        <v>71</v>
      </c>
      <c r="H166">
        <v>41.2</v>
      </c>
      <c r="I166">
        <v>1616</v>
      </c>
      <c r="J166">
        <v>67</v>
      </c>
      <c r="K166">
        <v>16.8</v>
      </c>
      <c r="L166" t="s">
        <v>49</v>
      </c>
      <c r="M166">
        <v>22030.76</v>
      </c>
      <c r="N166">
        <v>9912</v>
      </c>
      <c r="O166" t="s">
        <v>36</v>
      </c>
      <c r="P166" t="str">
        <f t="shared" si="18"/>
        <v>Yes</v>
      </c>
      <c r="Q166">
        <f t="shared" si="19"/>
        <v>39.22</v>
      </c>
      <c r="R166">
        <f t="shared" si="20"/>
        <v>13.63</v>
      </c>
      <c r="S166">
        <f t="shared" si="21"/>
        <v>2.2200000000000002</v>
      </c>
      <c r="T166" t="str">
        <f t="shared" si="22"/>
        <v>Delayed</v>
      </c>
      <c r="U166" t="str">
        <f t="shared" si="23"/>
        <v>Medium</v>
      </c>
      <c r="V166" t="str">
        <f t="shared" si="24"/>
        <v>High Risk</v>
      </c>
      <c r="W166" t="str">
        <f t="shared" si="25"/>
        <v>Aug</v>
      </c>
      <c r="X166">
        <f t="shared" si="26"/>
        <v>2025</v>
      </c>
    </row>
    <row r="167" spans="1:24" x14ac:dyDescent="0.35">
      <c r="A167" s="3">
        <v>45866</v>
      </c>
      <c r="B167" t="s">
        <v>87</v>
      </c>
      <c r="C167" t="s">
        <v>95</v>
      </c>
      <c r="D167" t="s">
        <v>304</v>
      </c>
      <c r="E167" t="s">
        <v>48</v>
      </c>
      <c r="F167" t="s">
        <v>63</v>
      </c>
      <c r="G167" t="s">
        <v>42</v>
      </c>
      <c r="H167">
        <v>47.9</v>
      </c>
      <c r="I167">
        <v>696</v>
      </c>
      <c r="J167">
        <v>76</v>
      </c>
      <c r="K167">
        <v>11.5</v>
      </c>
      <c r="L167" t="s">
        <v>30</v>
      </c>
      <c r="M167">
        <v>23588.33</v>
      </c>
      <c r="N167">
        <v>19025</v>
      </c>
      <c r="O167" t="s">
        <v>84</v>
      </c>
      <c r="P167" t="str">
        <f t="shared" si="18"/>
        <v>Yes</v>
      </c>
      <c r="Q167">
        <f t="shared" si="19"/>
        <v>14.53</v>
      </c>
      <c r="R167">
        <f t="shared" si="20"/>
        <v>33.89</v>
      </c>
      <c r="S167">
        <f t="shared" si="21"/>
        <v>1.24</v>
      </c>
      <c r="T167" t="str">
        <f t="shared" si="22"/>
        <v>Delayed</v>
      </c>
      <c r="U167" t="str">
        <f t="shared" si="23"/>
        <v>Medium</v>
      </c>
      <c r="V167" t="str">
        <f t="shared" si="24"/>
        <v>Medium Risk</v>
      </c>
      <c r="W167" t="str">
        <f t="shared" si="25"/>
        <v>Jul</v>
      </c>
      <c r="X167">
        <f t="shared" si="26"/>
        <v>2025</v>
      </c>
    </row>
    <row r="168" spans="1:24" x14ac:dyDescent="0.35">
      <c r="A168" s="3">
        <v>45955</v>
      </c>
      <c r="B168" t="s">
        <v>115</v>
      </c>
      <c r="C168" t="s">
        <v>25</v>
      </c>
      <c r="D168" t="s">
        <v>305</v>
      </c>
      <c r="E168" t="s">
        <v>41</v>
      </c>
      <c r="F168" t="s">
        <v>48</v>
      </c>
      <c r="G168" t="s">
        <v>71</v>
      </c>
      <c r="H168">
        <v>50.6</v>
      </c>
      <c r="I168">
        <v>1972</v>
      </c>
      <c r="J168">
        <v>98</v>
      </c>
      <c r="K168">
        <v>11.4</v>
      </c>
      <c r="L168" t="s">
        <v>30</v>
      </c>
      <c r="M168">
        <v>25602.85</v>
      </c>
      <c r="N168">
        <v>10937</v>
      </c>
      <c r="O168" t="s">
        <v>91</v>
      </c>
      <c r="P168" t="str">
        <f t="shared" si="18"/>
        <v>Yes</v>
      </c>
      <c r="Q168">
        <f t="shared" si="19"/>
        <v>38.97</v>
      </c>
      <c r="R168">
        <f t="shared" si="20"/>
        <v>12.98</v>
      </c>
      <c r="S168">
        <f t="shared" si="21"/>
        <v>2.34</v>
      </c>
      <c r="T168" t="str">
        <f t="shared" si="22"/>
        <v>Delayed</v>
      </c>
      <c r="U168" t="str">
        <f t="shared" si="23"/>
        <v>Medium</v>
      </c>
      <c r="V168" t="str">
        <f t="shared" si="24"/>
        <v>Medium Risk</v>
      </c>
      <c r="W168" t="str">
        <f t="shared" si="25"/>
        <v>Oct</v>
      </c>
      <c r="X168">
        <f t="shared" si="26"/>
        <v>2025</v>
      </c>
    </row>
    <row r="169" spans="1:24" x14ac:dyDescent="0.35">
      <c r="A169" s="3">
        <v>45983</v>
      </c>
      <c r="B169" t="s">
        <v>190</v>
      </c>
      <c r="C169" t="s">
        <v>52</v>
      </c>
      <c r="D169" t="s">
        <v>306</v>
      </c>
      <c r="E169" t="s">
        <v>63</v>
      </c>
      <c r="F169" t="s">
        <v>28</v>
      </c>
      <c r="G169" t="s">
        <v>35</v>
      </c>
      <c r="H169">
        <v>74.099999999999994</v>
      </c>
      <c r="I169">
        <v>1624</v>
      </c>
      <c r="J169">
        <v>70</v>
      </c>
      <c r="K169">
        <v>16</v>
      </c>
      <c r="L169" t="s">
        <v>78</v>
      </c>
      <c r="M169">
        <v>37545.4</v>
      </c>
      <c r="N169">
        <v>24424</v>
      </c>
      <c r="O169" t="s">
        <v>50</v>
      </c>
      <c r="P169" t="str">
        <f t="shared" si="18"/>
        <v>No</v>
      </c>
      <c r="Q169">
        <f t="shared" si="19"/>
        <v>21.92</v>
      </c>
      <c r="R169">
        <f t="shared" si="20"/>
        <v>23.12</v>
      </c>
      <c r="S169">
        <f t="shared" si="21"/>
        <v>1.54</v>
      </c>
      <c r="T169" t="str">
        <f t="shared" si="22"/>
        <v>On Time</v>
      </c>
      <c r="U169" t="str">
        <f t="shared" si="23"/>
        <v>High</v>
      </c>
      <c r="V169" t="str">
        <f t="shared" si="24"/>
        <v>Low Risk</v>
      </c>
      <c r="W169" t="str">
        <f t="shared" si="25"/>
        <v>Nov</v>
      </c>
      <c r="X169">
        <f t="shared" si="26"/>
        <v>2025</v>
      </c>
    </row>
    <row r="170" spans="1:24" x14ac:dyDescent="0.35">
      <c r="A170" s="3">
        <v>45826</v>
      </c>
      <c r="B170" t="s">
        <v>210</v>
      </c>
      <c r="C170" t="s">
        <v>25</v>
      </c>
      <c r="D170" t="s">
        <v>307</v>
      </c>
      <c r="E170" t="s">
        <v>48</v>
      </c>
      <c r="F170" t="s">
        <v>63</v>
      </c>
      <c r="G170" t="s">
        <v>35</v>
      </c>
      <c r="H170">
        <v>49.7</v>
      </c>
      <c r="I170">
        <v>1272</v>
      </c>
      <c r="J170">
        <v>117</v>
      </c>
      <c r="K170">
        <v>13.1</v>
      </c>
      <c r="L170" t="s">
        <v>30</v>
      </c>
      <c r="M170">
        <v>26669.24</v>
      </c>
      <c r="N170">
        <v>7645</v>
      </c>
      <c r="O170" t="s">
        <v>59</v>
      </c>
      <c r="P170" t="str">
        <f t="shared" si="18"/>
        <v>Yes</v>
      </c>
      <c r="Q170">
        <f t="shared" si="19"/>
        <v>25.59</v>
      </c>
      <c r="R170">
        <f t="shared" si="20"/>
        <v>20.97</v>
      </c>
      <c r="S170">
        <f t="shared" si="21"/>
        <v>3.49</v>
      </c>
      <c r="T170" t="str">
        <f t="shared" si="22"/>
        <v>Delayed</v>
      </c>
      <c r="U170" t="str">
        <f t="shared" si="23"/>
        <v>Medium</v>
      </c>
      <c r="V170" t="str">
        <f t="shared" si="24"/>
        <v>Medium Risk</v>
      </c>
      <c r="W170" t="str">
        <f t="shared" si="25"/>
        <v>Jun</v>
      </c>
      <c r="X170">
        <f t="shared" si="26"/>
        <v>2025</v>
      </c>
    </row>
    <row r="171" spans="1:24" x14ac:dyDescent="0.35">
      <c r="A171" s="3">
        <v>45667</v>
      </c>
      <c r="B171" t="s">
        <v>233</v>
      </c>
      <c r="C171" t="s">
        <v>130</v>
      </c>
      <c r="D171" t="s">
        <v>308</v>
      </c>
      <c r="E171" t="s">
        <v>41</v>
      </c>
      <c r="F171" t="s">
        <v>54</v>
      </c>
      <c r="G171" t="s">
        <v>71</v>
      </c>
      <c r="H171">
        <v>65.8</v>
      </c>
      <c r="I171">
        <v>1417</v>
      </c>
      <c r="J171">
        <v>43</v>
      </c>
      <c r="K171">
        <v>10</v>
      </c>
      <c r="L171" t="s">
        <v>78</v>
      </c>
      <c r="M171">
        <v>42842.35</v>
      </c>
      <c r="N171">
        <v>21490</v>
      </c>
      <c r="O171" t="s">
        <v>84</v>
      </c>
      <c r="P171" t="str">
        <f t="shared" si="18"/>
        <v>No</v>
      </c>
      <c r="Q171">
        <f t="shared" si="19"/>
        <v>21.53</v>
      </c>
      <c r="R171">
        <f t="shared" si="20"/>
        <v>30.23</v>
      </c>
      <c r="S171">
        <f t="shared" si="21"/>
        <v>1.99</v>
      </c>
      <c r="T171" t="str">
        <f t="shared" si="22"/>
        <v>On Time</v>
      </c>
      <c r="U171" t="str">
        <f t="shared" si="23"/>
        <v>High</v>
      </c>
      <c r="V171" t="str">
        <f t="shared" si="24"/>
        <v>Low Risk</v>
      </c>
      <c r="W171" t="str">
        <f t="shared" si="25"/>
        <v>Jan</v>
      </c>
      <c r="X171">
        <f t="shared" si="26"/>
        <v>2025</v>
      </c>
    </row>
    <row r="172" spans="1:24" x14ac:dyDescent="0.35">
      <c r="A172" s="3">
        <v>45880</v>
      </c>
      <c r="B172" t="s">
        <v>309</v>
      </c>
      <c r="C172" t="s">
        <v>109</v>
      </c>
      <c r="D172" t="s">
        <v>310</v>
      </c>
      <c r="E172" t="s">
        <v>48</v>
      </c>
      <c r="F172" t="s">
        <v>63</v>
      </c>
      <c r="G172" t="s">
        <v>42</v>
      </c>
      <c r="H172">
        <v>36.4</v>
      </c>
      <c r="I172">
        <v>1506</v>
      </c>
      <c r="J172">
        <v>111</v>
      </c>
      <c r="K172">
        <v>17.7</v>
      </c>
      <c r="L172" t="s">
        <v>30</v>
      </c>
      <c r="M172">
        <v>18921.919999999998</v>
      </c>
      <c r="N172">
        <v>22259</v>
      </c>
      <c r="O172" t="s">
        <v>31</v>
      </c>
      <c r="P172" t="str">
        <f t="shared" si="18"/>
        <v>Yes</v>
      </c>
      <c r="Q172">
        <f t="shared" si="19"/>
        <v>41.37</v>
      </c>
      <c r="R172">
        <f t="shared" si="20"/>
        <v>12.56</v>
      </c>
      <c r="S172">
        <f t="shared" si="21"/>
        <v>0.85</v>
      </c>
      <c r="T172" t="str">
        <f t="shared" si="22"/>
        <v>Delayed</v>
      </c>
      <c r="U172" t="str">
        <f t="shared" si="23"/>
        <v>Low</v>
      </c>
      <c r="V172" t="str">
        <f t="shared" si="24"/>
        <v>Medium Risk</v>
      </c>
      <c r="W172" t="str">
        <f t="shared" si="25"/>
        <v>Aug</v>
      </c>
      <c r="X172">
        <f t="shared" si="26"/>
        <v>2025</v>
      </c>
    </row>
    <row r="173" spans="1:24" x14ac:dyDescent="0.35">
      <c r="A173" s="3">
        <v>45758</v>
      </c>
      <c r="B173" t="s">
        <v>311</v>
      </c>
      <c r="C173" t="s">
        <v>95</v>
      </c>
      <c r="D173" t="s">
        <v>312</v>
      </c>
      <c r="E173" t="s">
        <v>54</v>
      </c>
      <c r="F173" t="s">
        <v>41</v>
      </c>
      <c r="G173" t="s">
        <v>71</v>
      </c>
      <c r="H173">
        <v>26</v>
      </c>
      <c r="I173">
        <v>3922</v>
      </c>
      <c r="J173">
        <v>94</v>
      </c>
      <c r="K173">
        <v>10.3</v>
      </c>
      <c r="L173" t="s">
        <v>43</v>
      </c>
      <c r="M173">
        <v>13967.2</v>
      </c>
      <c r="N173">
        <v>28235</v>
      </c>
      <c r="O173" t="s">
        <v>50</v>
      </c>
      <c r="P173" t="str">
        <f t="shared" si="18"/>
        <v>Yes</v>
      </c>
      <c r="Q173">
        <f t="shared" si="19"/>
        <v>150.85</v>
      </c>
      <c r="R173">
        <f t="shared" si="20"/>
        <v>3.56</v>
      </c>
      <c r="S173">
        <f t="shared" si="21"/>
        <v>0.49</v>
      </c>
      <c r="T173" t="str">
        <f t="shared" si="22"/>
        <v>Delayed</v>
      </c>
      <c r="U173" t="str">
        <f t="shared" si="23"/>
        <v>Low</v>
      </c>
      <c r="V173" t="str">
        <f t="shared" si="24"/>
        <v>Low Risk</v>
      </c>
      <c r="W173" t="str">
        <f t="shared" si="25"/>
        <v>Apr</v>
      </c>
      <c r="X173">
        <f t="shared" si="26"/>
        <v>2025</v>
      </c>
    </row>
    <row r="174" spans="1:24" x14ac:dyDescent="0.35">
      <c r="A174" s="3">
        <v>45762</v>
      </c>
      <c r="B174" t="s">
        <v>111</v>
      </c>
      <c r="C174" t="s">
        <v>52</v>
      </c>
      <c r="D174" t="s">
        <v>313</v>
      </c>
      <c r="E174" t="s">
        <v>41</v>
      </c>
      <c r="F174" t="s">
        <v>66</v>
      </c>
      <c r="G174" t="s">
        <v>42</v>
      </c>
      <c r="H174">
        <v>42.1</v>
      </c>
      <c r="I174">
        <v>1291</v>
      </c>
      <c r="J174">
        <v>92</v>
      </c>
      <c r="K174">
        <v>19.5</v>
      </c>
      <c r="L174" t="s">
        <v>30</v>
      </c>
      <c r="M174">
        <v>20646.25</v>
      </c>
      <c r="N174">
        <v>10988</v>
      </c>
      <c r="O174" t="s">
        <v>67</v>
      </c>
      <c r="P174" t="str">
        <f t="shared" si="18"/>
        <v>Yes</v>
      </c>
      <c r="Q174">
        <f t="shared" si="19"/>
        <v>30.67</v>
      </c>
      <c r="R174">
        <f t="shared" si="20"/>
        <v>15.99</v>
      </c>
      <c r="S174">
        <f t="shared" si="21"/>
        <v>1.88</v>
      </c>
      <c r="T174" t="str">
        <f t="shared" si="22"/>
        <v>Delayed</v>
      </c>
      <c r="U174" t="str">
        <f t="shared" si="23"/>
        <v>Medium</v>
      </c>
      <c r="V174" t="str">
        <f t="shared" si="24"/>
        <v>Medium Risk</v>
      </c>
      <c r="W174" t="str">
        <f t="shared" si="25"/>
        <v>Apr</v>
      </c>
      <c r="X174">
        <f t="shared" si="26"/>
        <v>2025</v>
      </c>
    </row>
    <row r="175" spans="1:24" x14ac:dyDescent="0.35">
      <c r="A175" s="3">
        <v>45923</v>
      </c>
      <c r="B175" t="s">
        <v>148</v>
      </c>
      <c r="C175" t="s">
        <v>57</v>
      </c>
      <c r="D175" t="s">
        <v>314</v>
      </c>
      <c r="E175" t="s">
        <v>55</v>
      </c>
      <c r="F175" t="s">
        <v>27</v>
      </c>
      <c r="G175" t="s">
        <v>71</v>
      </c>
      <c r="H175">
        <v>44.6</v>
      </c>
      <c r="I175">
        <v>4636</v>
      </c>
      <c r="J175">
        <v>90</v>
      </c>
      <c r="K175">
        <v>19.3</v>
      </c>
      <c r="L175" t="s">
        <v>49</v>
      </c>
      <c r="M175">
        <v>30263.360000000001</v>
      </c>
      <c r="N175">
        <v>9711</v>
      </c>
      <c r="O175" t="s">
        <v>59</v>
      </c>
      <c r="P175" t="str">
        <f t="shared" si="18"/>
        <v>Yes</v>
      </c>
      <c r="Q175">
        <f t="shared" si="19"/>
        <v>103.95</v>
      </c>
      <c r="R175">
        <f t="shared" si="20"/>
        <v>6.53</v>
      </c>
      <c r="S175">
        <f t="shared" si="21"/>
        <v>3.12</v>
      </c>
      <c r="T175" t="str">
        <f t="shared" si="22"/>
        <v>Delayed</v>
      </c>
      <c r="U175" t="str">
        <f t="shared" si="23"/>
        <v>Medium</v>
      </c>
      <c r="V175" t="str">
        <f t="shared" si="24"/>
        <v>High Risk</v>
      </c>
      <c r="W175" t="str">
        <f t="shared" si="25"/>
        <v>Sep</v>
      </c>
      <c r="X175">
        <f t="shared" si="26"/>
        <v>2025</v>
      </c>
    </row>
    <row r="176" spans="1:24" x14ac:dyDescent="0.35">
      <c r="A176" s="3">
        <v>45826</v>
      </c>
      <c r="B176" t="s">
        <v>82</v>
      </c>
      <c r="C176" t="s">
        <v>57</v>
      </c>
      <c r="D176" t="s">
        <v>315</v>
      </c>
      <c r="E176" t="s">
        <v>66</v>
      </c>
      <c r="F176" t="s">
        <v>63</v>
      </c>
      <c r="G176" t="s">
        <v>35</v>
      </c>
      <c r="H176">
        <v>33.1</v>
      </c>
      <c r="I176">
        <v>4991</v>
      </c>
      <c r="J176">
        <v>108</v>
      </c>
      <c r="K176">
        <v>11.7</v>
      </c>
      <c r="L176" t="s">
        <v>30</v>
      </c>
      <c r="M176">
        <v>17614.64</v>
      </c>
      <c r="N176">
        <v>22921</v>
      </c>
      <c r="O176" t="s">
        <v>91</v>
      </c>
      <c r="P176" t="str">
        <f t="shared" si="18"/>
        <v>Yes</v>
      </c>
      <c r="Q176">
        <f t="shared" si="19"/>
        <v>150.79</v>
      </c>
      <c r="R176">
        <f t="shared" si="20"/>
        <v>3.53</v>
      </c>
      <c r="S176">
        <f t="shared" si="21"/>
        <v>0.77</v>
      </c>
      <c r="T176" t="str">
        <f t="shared" si="22"/>
        <v>Delayed</v>
      </c>
      <c r="U176" t="str">
        <f t="shared" si="23"/>
        <v>Low</v>
      </c>
      <c r="V176" t="str">
        <f t="shared" si="24"/>
        <v>Medium Risk</v>
      </c>
      <c r="W176" t="str">
        <f t="shared" si="25"/>
        <v>Jun</v>
      </c>
      <c r="X176">
        <f t="shared" si="26"/>
        <v>2025</v>
      </c>
    </row>
    <row r="177" spans="1:24" x14ac:dyDescent="0.35">
      <c r="A177" s="3">
        <v>45953</v>
      </c>
      <c r="B177" t="s">
        <v>76</v>
      </c>
      <c r="C177" t="s">
        <v>95</v>
      </c>
      <c r="D177" t="s">
        <v>316</v>
      </c>
      <c r="E177" t="s">
        <v>48</v>
      </c>
      <c r="F177" t="s">
        <v>55</v>
      </c>
      <c r="G177" t="s">
        <v>71</v>
      </c>
      <c r="H177">
        <v>46</v>
      </c>
      <c r="I177">
        <v>3189</v>
      </c>
      <c r="J177">
        <v>51</v>
      </c>
      <c r="K177">
        <v>16.7</v>
      </c>
      <c r="L177" t="s">
        <v>49</v>
      </c>
      <c r="M177">
        <v>25152.62</v>
      </c>
      <c r="N177">
        <v>8199</v>
      </c>
      <c r="O177" t="s">
        <v>67</v>
      </c>
      <c r="P177" t="str">
        <f t="shared" si="18"/>
        <v>Yes</v>
      </c>
      <c r="Q177">
        <f t="shared" si="19"/>
        <v>69.33</v>
      </c>
      <c r="R177">
        <f t="shared" si="20"/>
        <v>7.89</v>
      </c>
      <c r="S177">
        <f t="shared" si="21"/>
        <v>3.07</v>
      </c>
      <c r="T177" t="str">
        <f t="shared" si="22"/>
        <v>Delayed</v>
      </c>
      <c r="U177" t="str">
        <f t="shared" si="23"/>
        <v>Medium</v>
      </c>
      <c r="V177" t="str">
        <f t="shared" si="24"/>
        <v>High Risk</v>
      </c>
      <c r="W177" t="str">
        <f t="shared" si="25"/>
        <v>Oct</v>
      </c>
      <c r="X177">
        <f t="shared" si="26"/>
        <v>2025</v>
      </c>
    </row>
    <row r="178" spans="1:24" x14ac:dyDescent="0.35">
      <c r="A178" s="3">
        <v>45984</v>
      </c>
      <c r="B178" t="s">
        <v>317</v>
      </c>
      <c r="C178" t="s">
        <v>109</v>
      </c>
      <c r="D178" t="s">
        <v>318</v>
      </c>
      <c r="E178" t="s">
        <v>66</v>
      </c>
      <c r="F178" t="s">
        <v>54</v>
      </c>
      <c r="G178" t="s">
        <v>35</v>
      </c>
      <c r="H178">
        <v>27</v>
      </c>
      <c r="I178">
        <v>3432</v>
      </c>
      <c r="J178">
        <v>22</v>
      </c>
      <c r="K178">
        <v>19.399999999999999</v>
      </c>
      <c r="L178" t="s">
        <v>49</v>
      </c>
      <c r="M178">
        <v>17024.04</v>
      </c>
      <c r="N178">
        <v>15325</v>
      </c>
      <c r="O178" t="s">
        <v>36</v>
      </c>
      <c r="P178" t="str">
        <f t="shared" si="18"/>
        <v>Yes</v>
      </c>
      <c r="Q178">
        <f t="shared" si="19"/>
        <v>127.11</v>
      </c>
      <c r="R178">
        <f t="shared" si="20"/>
        <v>4.96</v>
      </c>
      <c r="S178">
        <f t="shared" si="21"/>
        <v>1.1100000000000001</v>
      </c>
      <c r="T178" t="str">
        <f t="shared" si="22"/>
        <v>Delayed</v>
      </c>
      <c r="U178" t="str">
        <f t="shared" si="23"/>
        <v>Low</v>
      </c>
      <c r="V178" t="str">
        <f t="shared" si="24"/>
        <v>High Risk</v>
      </c>
      <c r="W178" t="str">
        <f t="shared" si="25"/>
        <v>Nov</v>
      </c>
      <c r="X178">
        <f t="shared" si="26"/>
        <v>2025</v>
      </c>
    </row>
    <row r="179" spans="1:24" x14ac:dyDescent="0.35">
      <c r="A179" s="3">
        <v>45841</v>
      </c>
      <c r="B179" t="s">
        <v>68</v>
      </c>
      <c r="C179" t="s">
        <v>52</v>
      </c>
      <c r="D179" t="s">
        <v>319</v>
      </c>
      <c r="E179" t="s">
        <v>41</v>
      </c>
      <c r="F179" t="s">
        <v>27</v>
      </c>
      <c r="G179" t="s">
        <v>35</v>
      </c>
      <c r="H179">
        <v>72</v>
      </c>
      <c r="I179">
        <v>1069</v>
      </c>
      <c r="J179">
        <v>97</v>
      </c>
      <c r="K179">
        <v>17.600000000000001</v>
      </c>
      <c r="L179" t="s">
        <v>43</v>
      </c>
      <c r="M179">
        <v>46600.46</v>
      </c>
      <c r="N179">
        <v>26244</v>
      </c>
      <c r="O179" t="s">
        <v>31</v>
      </c>
      <c r="P179" t="str">
        <f t="shared" si="18"/>
        <v>Yes</v>
      </c>
      <c r="Q179">
        <f t="shared" si="19"/>
        <v>14.85</v>
      </c>
      <c r="R179">
        <f t="shared" si="20"/>
        <v>43.59</v>
      </c>
      <c r="S179">
        <f t="shared" si="21"/>
        <v>1.78</v>
      </c>
      <c r="T179" t="str">
        <f t="shared" si="22"/>
        <v>Delayed</v>
      </c>
      <c r="U179" t="str">
        <f t="shared" si="23"/>
        <v>High</v>
      </c>
      <c r="V179" t="str">
        <f t="shared" si="24"/>
        <v>Low Risk</v>
      </c>
      <c r="W179" t="str">
        <f t="shared" si="25"/>
        <v>Jul</v>
      </c>
      <c r="X179">
        <f t="shared" si="26"/>
        <v>2025</v>
      </c>
    </row>
    <row r="180" spans="1:24" x14ac:dyDescent="0.35">
      <c r="A180" s="3">
        <v>46003</v>
      </c>
      <c r="B180" t="s">
        <v>46</v>
      </c>
      <c r="C180" t="s">
        <v>57</v>
      </c>
      <c r="D180" t="s">
        <v>320</v>
      </c>
      <c r="E180" t="s">
        <v>63</v>
      </c>
      <c r="F180" t="s">
        <v>48</v>
      </c>
      <c r="G180" t="s">
        <v>42</v>
      </c>
      <c r="H180">
        <v>34.1</v>
      </c>
      <c r="I180">
        <v>4005</v>
      </c>
      <c r="J180">
        <v>66</v>
      </c>
      <c r="K180">
        <v>20.3</v>
      </c>
      <c r="L180" t="s">
        <v>78</v>
      </c>
      <c r="M180">
        <v>20871.740000000002</v>
      </c>
      <c r="N180">
        <v>15532</v>
      </c>
      <c r="O180" t="s">
        <v>36</v>
      </c>
      <c r="P180" t="str">
        <f t="shared" si="18"/>
        <v>No</v>
      </c>
      <c r="Q180">
        <f t="shared" si="19"/>
        <v>117.45</v>
      </c>
      <c r="R180">
        <f t="shared" si="20"/>
        <v>5.21</v>
      </c>
      <c r="S180">
        <f t="shared" si="21"/>
        <v>1.34</v>
      </c>
      <c r="T180" t="str">
        <f t="shared" si="22"/>
        <v>On Time</v>
      </c>
      <c r="U180" t="str">
        <f t="shared" si="23"/>
        <v>Low</v>
      </c>
      <c r="V180" t="str">
        <f t="shared" si="24"/>
        <v>Low Risk</v>
      </c>
      <c r="W180" t="str">
        <f t="shared" si="25"/>
        <v>Dec</v>
      </c>
      <c r="X180">
        <f t="shared" si="26"/>
        <v>2025</v>
      </c>
    </row>
    <row r="181" spans="1:24" x14ac:dyDescent="0.35">
      <c r="A181" s="3">
        <v>45679</v>
      </c>
      <c r="B181" t="s">
        <v>115</v>
      </c>
      <c r="C181" t="s">
        <v>69</v>
      </c>
      <c r="D181" t="s">
        <v>321</v>
      </c>
      <c r="E181" t="s">
        <v>66</v>
      </c>
      <c r="F181" t="s">
        <v>55</v>
      </c>
      <c r="G181" t="s">
        <v>42</v>
      </c>
      <c r="H181">
        <v>63.8</v>
      </c>
      <c r="I181">
        <v>946</v>
      </c>
      <c r="J181">
        <v>81</v>
      </c>
      <c r="K181">
        <v>17</v>
      </c>
      <c r="L181" t="s">
        <v>43</v>
      </c>
      <c r="M181">
        <v>44571.24</v>
      </c>
      <c r="N181">
        <v>19195</v>
      </c>
      <c r="O181" t="s">
        <v>59</v>
      </c>
      <c r="P181" t="str">
        <f t="shared" si="18"/>
        <v>Yes</v>
      </c>
      <c r="Q181">
        <f t="shared" si="19"/>
        <v>14.83</v>
      </c>
      <c r="R181">
        <f t="shared" si="20"/>
        <v>47.12</v>
      </c>
      <c r="S181">
        <f t="shared" si="21"/>
        <v>2.3199999999999998</v>
      </c>
      <c r="T181" t="str">
        <f t="shared" si="22"/>
        <v>Delayed</v>
      </c>
      <c r="U181" t="str">
        <f t="shared" si="23"/>
        <v>High</v>
      </c>
      <c r="V181" t="str">
        <f t="shared" si="24"/>
        <v>Low Risk</v>
      </c>
      <c r="W181" t="str">
        <f t="shared" si="25"/>
        <v>Jan</v>
      </c>
      <c r="X181">
        <f t="shared" si="26"/>
        <v>2025</v>
      </c>
    </row>
    <row r="182" spans="1:24" x14ac:dyDescent="0.35">
      <c r="A182" s="3">
        <v>45895</v>
      </c>
      <c r="B182" t="s">
        <v>56</v>
      </c>
      <c r="C182" t="s">
        <v>52</v>
      </c>
      <c r="D182" t="s">
        <v>322</v>
      </c>
      <c r="E182" t="s">
        <v>27</v>
      </c>
      <c r="F182" t="s">
        <v>63</v>
      </c>
      <c r="G182" t="s">
        <v>29</v>
      </c>
      <c r="H182">
        <v>49.5</v>
      </c>
      <c r="I182">
        <v>4465</v>
      </c>
      <c r="J182">
        <v>23</v>
      </c>
      <c r="K182">
        <v>20.2</v>
      </c>
      <c r="L182" t="s">
        <v>49</v>
      </c>
      <c r="M182">
        <v>22505.360000000001</v>
      </c>
      <c r="N182">
        <v>6977</v>
      </c>
      <c r="O182" t="s">
        <v>31</v>
      </c>
      <c r="P182" t="str">
        <f t="shared" si="18"/>
        <v>Yes</v>
      </c>
      <c r="Q182">
        <f t="shared" si="19"/>
        <v>90.2</v>
      </c>
      <c r="R182">
        <f t="shared" si="20"/>
        <v>5.04</v>
      </c>
      <c r="S182">
        <f t="shared" si="21"/>
        <v>3.23</v>
      </c>
      <c r="T182" t="str">
        <f t="shared" si="22"/>
        <v>Delayed</v>
      </c>
      <c r="U182" t="str">
        <f t="shared" si="23"/>
        <v>Medium</v>
      </c>
      <c r="V182" t="str">
        <f t="shared" si="24"/>
        <v>High Risk</v>
      </c>
      <c r="W182" t="str">
        <f t="shared" si="25"/>
        <v>Aug</v>
      </c>
      <c r="X182">
        <f t="shared" si="26"/>
        <v>2025</v>
      </c>
    </row>
    <row r="183" spans="1:24" x14ac:dyDescent="0.35">
      <c r="A183" s="3">
        <v>45964</v>
      </c>
      <c r="B183" t="s">
        <v>133</v>
      </c>
      <c r="C183" t="s">
        <v>52</v>
      </c>
      <c r="D183" t="s">
        <v>323</v>
      </c>
      <c r="E183" t="s">
        <v>63</v>
      </c>
      <c r="F183" t="s">
        <v>66</v>
      </c>
      <c r="G183" t="s">
        <v>71</v>
      </c>
      <c r="H183">
        <v>42.2</v>
      </c>
      <c r="I183">
        <v>3417</v>
      </c>
      <c r="J183">
        <v>111</v>
      </c>
      <c r="K183">
        <v>17.600000000000001</v>
      </c>
      <c r="L183" t="s">
        <v>30</v>
      </c>
      <c r="M183">
        <v>28544.41</v>
      </c>
      <c r="N183">
        <v>24412</v>
      </c>
      <c r="O183" t="s">
        <v>44</v>
      </c>
      <c r="P183" t="str">
        <f t="shared" si="18"/>
        <v>Yes</v>
      </c>
      <c r="Q183">
        <f t="shared" si="19"/>
        <v>80.97</v>
      </c>
      <c r="R183">
        <f t="shared" si="20"/>
        <v>8.35</v>
      </c>
      <c r="S183">
        <f t="shared" si="21"/>
        <v>1.17</v>
      </c>
      <c r="T183" t="str">
        <f t="shared" si="22"/>
        <v>Delayed</v>
      </c>
      <c r="U183" t="str">
        <f t="shared" si="23"/>
        <v>Medium</v>
      </c>
      <c r="V183" t="str">
        <f t="shared" si="24"/>
        <v>Medium Risk</v>
      </c>
      <c r="W183" t="str">
        <f t="shared" si="25"/>
        <v>Nov</v>
      </c>
      <c r="X183">
        <f t="shared" si="26"/>
        <v>2025</v>
      </c>
    </row>
    <row r="184" spans="1:24" x14ac:dyDescent="0.35">
      <c r="A184" s="3">
        <v>45836</v>
      </c>
      <c r="B184" t="s">
        <v>233</v>
      </c>
      <c r="C184" t="s">
        <v>57</v>
      </c>
      <c r="D184" t="s">
        <v>324</v>
      </c>
      <c r="E184" t="s">
        <v>54</v>
      </c>
      <c r="F184" t="s">
        <v>28</v>
      </c>
      <c r="G184" t="s">
        <v>42</v>
      </c>
      <c r="H184">
        <v>78.3</v>
      </c>
      <c r="I184">
        <v>514</v>
      </c>
      <c r="J184">
        <v>61</v>
      </c>
      <c r="K184">
        <v>11.5</v>
      </c>
      <c r="L184" t="s">
        <v>49</v>
      </c>
      <c r="M184">
        <v>39050.519999999997</v>
      </c>
      <c r="N184">
        <v>15512</v>
      </c>
      <c r="O184" t="s">
        <v>50</v>
      </c>
      <c r="P184" t="str">
        <f t="shared" si="18"/>
        <v>Yes</v>
      </c>
      <c r="Q184">
        <f t="shared" si="19"/>
        <v>6.56</v>
      </c>
      <c r="R184">
        <f t="shared" si="20"/>
        <v>75.97</v>
      </c>
      <c r="S184">
        <f t="shared" si="21"/>
        <v>2.52</v>
      </c>
      <c r="T184" t="str">
        <f t="shared" si="22"/>
        <v>Delayed</v>
      </c>
      <c r="U184" t="str">
        <f t="shared" si="23"/>
        <v>High</v>
      </c>
      <c r="V184" t="str">
        <f t="shared" si="24"/>
        <v>High Risk</v>
      </c>
      <c r="W184" t="str">
        <f t="shared" si="25"/>
        <v>Jun</v>
      </c>
      <c r="X184">
        <f t="shared" si="26"/>
        <v>2025</v>
      </c>
    </row>
    <row r="185" spans="1:24" x14ac:dyDescent="0.35">
      <c r="A185" s="3">
        <v>45672</v>
      </c>
      <c r="B185" t="s">
        <v>309</v>
      </c>
      <c r="C185" t="s">
        <v>57</v>
      </c>
      <c r="D185" t="s">
        <v>325</v>
      </c>
      <c r="E185" t="s">
        <v>54</v>
      </c>
      <c r="F185" t="s">
        <v>63</v>
      </c>
      <c r="G185" t="s">
        <v>35</v>
      </c>
      <c r="H185">
        <v>29.6</v>
      </c>
      <c r="I185">
        <v>1115</v>
      </c>
      <c r="J185">
        <v>103</v>
      </c>
      <c r="K185">
        <v>15</v>
      </c>
      <c r="L185" t="s">
        <v>78</v>
      </c>
      <c r="M185">
        <v>17640.099999999999</v>
      </c>
      <c r="N185">
        <v>17384</v>
      </c>
      <c r="O185" t="s">
        <v>59</v>
      </c>
      <c r="P185" t="str">
        <f t="shared" si="18"/>
        <v>No</v>
      </c>
      <c r="Q185">
        <f t="shared" si="19"/>
        <v>37.67</v>
      </c>
      <c r="R185">
        <f t="shared" si="20"/>
        <v>15.82</v>
      </c>
      <c r="S185">
        <f t="shared" si="21"/>
        <v>1.01</v>
      </c>
      <c r="T185" t="str">
        <f t="shared" si="22"/>
        <v>On Time</v>
      </c>
      <c r="U185" t="str">
        <f t="shared" si="23"/>
        <v>Low</v>
      </c>
      <c r="V185" t="str">
        <f t="shared" si="24"/>
        <v>Low Risk</v>
      </c>
      <c r="W185" t="str">
        <f t="shared" si="25"/>
        <v>Jan</v>
      </c>
      <c r="X185">
        <f t="shared" si="26"/>
        <v>2025</v>
      </c>
    </row>
    <row r="186" spans="1:24" x14ac:dyDescent="0.35">
      <c r="A186" s="3">
        <v>45888</v>
      </c>
      <c r="B186" t="s">
        <v>146</v>
      </c>
      <c r="C186" t="s">
        <v>39</v>
      </c>
      <c r="D186" t="s">
        <v>326</v>
      </c>
      <c r="E186" t="s">
        <v>54</v>
      </c>
      <c r="F186" t="s">
        <v>28</v>
      </c>
      <c r="G186" t="s">
        <v>35</v>
      </c>
      <c r="H186">
        <v>23.8</v>
      </c>
      <c r="I186">
        <v>1033</v>
      </c>
      <c r="J186">
        <v>30</v>
      </c>
      <c r="K186">
        <v>11.7</v>
      </c>
      <c r="L186" t="s">
        <v>78</v>
      </c>
      <c r="M186">
        <v>14911.79</v>
      </c>
      <c r="N186">
        <v>22664</v>
      </c>
      <c r="O186" t="s">
        <v>91</v>
      </c>
      <c r="P186" t="str">
        <f t="shared" si="18"/>
        <v>No</v>
      </c>
      <c r="Q186">
        <f t="shared" si="19"/>
        <v>43.4</v>
      </c>
      <c r="R186">
        <f t="shared" si="20"/>
        <v>14.44</v>
      </c>
      <c r="S186">
        <f t="shared" si="21"/>
        <v>0.66</v>
      </c>
      <c r="T186" t="str">
        <f t="shared" si="22"/>
        <v>On Time</v>
      </c>
      <c r="U186" t="str">
        <f t="shared" si="23"/>
        <v>Low</v>
      </c>
      <c r="V186" t="str">
        <f t="shared" si="24"/>
        <v>Low Risk</v>
      </c>
      <c r="W186" t="str">
        <f t="shared" si="25"/>
        <v>Aug</v>
      </c>
      <c r="X186">
        <f t="shared" si="26"/>
        <v>2025</v>
      </c>
    </row>
    <row r="187" spans="1:24" x14ac:dyDescent="0.35">
      <c r="A187" s="3">
        <v>45906</v>
      </c>
      <c r="B187" t="s">
        <v>148</v>
      </c>
      <c r="C187" t="s">
        <v>109</v>
      </c>
      <c r="D187" t="s">
        <v>327</v>
      </c>
      <c r="E187" t="s">
        <v>55</v>
      </c>
      <c r="F187" t="s">
        <v>28</v>
      </c>
      <c r="G187" t="s">
        <v>29</v>
      </c>
      <c r="H187">
        <v>70.8</v>
      </c>
      <c r="I187">
        <v>1587</v>
      </c>
      <c r="J187">
        <v>93</v>
      </c>
      <c r="K187">
        <v>20.9</v>
      </c>
      <c r="L187" t="s">
        <v>43</v>
      </c>
      <c r="M187">
        <v>44917.1</v>
      </c>
      <c r="N187">
        <v>16506</v>
      </c>
      <c r="O187" t="s">
        <v>59</v>
      </c>
      <c r="P187" t="str">
        <f t="shared" si="18"/>
        <v>Yes</v>
      </c>
      <c r="Q187">
        <f t="shared" si="19"/>
        <v>22.42</v>
      </c>
      <c r="R187">
        <f t="shared" si="20"/>
        <v>28.3</v>
      </c>
      <c r="S187">
        <f t="shared" si="21"/>
        <v>2.72</v>
      </c>
      <c r="T187" t="str">
        <f t="shared" si="22"/>
        <v>Delayed</v>
      </c>
      <c r="U187" t="str">
        <f t="shared" si="23"/>
        <v>High</v>
      </c>
      <c r="V187" t="str">
        <f t="shared" si="24"/>
        <v>Low Risk</v>
      </c>
      <c r="W187" t="str">
        <f t="shared" si="25"/>
        <v>Sep</v>
      </c>
      <c r="X187">
        <f t="shared" si="26"/>
        <v>2025</v>
      </c>
    </row>
    <row r="188" spans="1:24" x14ac:dyDescent="0.35">
      <c r="A188" s="3">
        <v>45990</v>
      </c>
      <c r="B188" t="s">
        <v>56</v>
      </c>
      <c r="C188" t="s">
        <v>57</v>
      </c>
      <c r="D188" t="s">
        <v>328</v>
      </c>
      <c r="E188" t="s">
        <v>41</v>
      </c>
      <c r="F188" t="s">
        <v>48</v>
      </c>
      <c r="G188" t="s">
        <v>71</v>
      </c>
      <c r="H188">
        <v>59.5</v>
      </c>
      <c r="I188">
        <v>2380</v>
      </c>
      <c r="J188">
        <v>75</v>
      </c>
      <c r="K188">
        <v>16.100000000000001</v>
      </c>
      <c r="L188" t="s">
        <v>49</v>
      </c>
      <c r="M188">
        <v>31929.3</v>
      </c>
      <c r="N188">
        <v>13753</v>
      </c>
      <c r="O188" t="s">
        <v>44</v>
      </c>
      <c r="P188" t="str">
        <f t="shared" si="18"/>
        <v>Yes</v>
      </c>
      <c r="Q188">
        <f t="shared" si="19"/>
        <v>40</v>
      </c>
      <c r="R188">
        <f t="shared" si="20"/>
        <v>13.42</v>
      </c>
      <c r="S188">
        <f t="shared" si="21"/>
        <v>2.3199999999999998</v>
      </c>
      <c r="T188" t="str">
        <f t="shared" si="22"/>
        <v>Delayed</v>
      </c>
      <c r="U188" t="str">
        <f t="shared" si="23"/>
        <v>Medium</v>
      </c>
      <c r="V188" t="str">
        <f t="shared" si="24"/>
        <v>High Risk</v>
      </c>
      <c r="W188" t="str">
        <f t="shared" si="25"/>
        <v>Nov</v>
      </c>
      <c r="X188">
        <f t="shared" si="26"/>
        <v>2025</v>
      </c>
    </row>
    <row r="189" spans="1:24" x14ac:dyDescent="0.35">
      <c r="A189" s="3">
        <v>45833</v>
      </c>
      <c r="B189" t="s">
        <v>108</v>
      </c>
      <c r="C189" t="s">
        <v>95</v>
      </c>
      <c r="D189" t="s">
        <v>329</v>
      </c>
      <c r="E189" t="s">
        <v>48</v>
      </c>
      <c r="F189" t="s">
        <v>54</v>
      </c>
      <c r="G189" t="s">
        <v>35</v>
      </c>
      <c r="H189">
        <v>58.5</v>
      </c>
      <c r="I189">
        <v>4160</v>
      </c>
      <c r="J189">
        <v>108</v>
      </c>
      <c r="K189">
        <v>16.399999999999999</v>
      </c>
      <c r="L189" t="s">
        <v>43</v>
      </c>
      <c r="M189">
        <v>36372.04</v>
      </c>
      <c r="N189">
        <v>10422</v>
      </c>
      <c r="O189" t="s">
        <v>84</v>
      </c>
      <c r="P189" t="str">
        <f t="shared" si="18"/>
        <v>Yes</v>
      </c>
      <c r="Q189">
        <f t="shared" si="19"/>
        <v>71.11</v>
      </c>
      <c r="R189">
        <f t="shared" si="20"/>
        <v>8.74</v>
      </c>
      <c r="S189">
        <f t="shared" si="21"/>
        <v>3.49</v>
      </c>
      <c r="T189" t="str">
        <f t="shared" si="22"/>
        <v>Delayed</v>
      </c>
      <c r="U189" t="str">
        <f t="shared" si="23"/>
        <v>Medium</v>
      </c>
      <c r="V189" t="str">
        <f t="shared" si="24"/>
        <v>Low Risk</v>
      </c>
      <c r="W189" t="str">
        <f t="shared" si="25"/>
        <v>Jun</v>
      </c>
      <c r="X189">
        <f t="shared" si="26"/>
        <v>2025</v>
      </c>
    </row>
    <row r="190" spans="1:24" x14ac:dyDescent="0.35">
      <c r="A190" s="3">
        <v>45682</v>
      </c>
      <c r="B190" t="s">
        <v>80</v>
      </c>
      <c r="C190" t="s">
        <v>95</v>
      </c>
      <c r="D190" t="s">
        <v>330</v>
      </c>
      <c r="E190" t="s">
        <v>66</v>
      </c>
      <c r="F190" t="s">
        <v>48</v>
      </c>
      <c r="G190" t="s">
        <v>42</v>
      </c>
      <c r="H190">
        <v>39.799999999999997</v>
      </c>
      <c r="I190">
        <v>4975</v>
      </c>
      <c r="J190">
        <v>48</v>
      </c>
      <c r="K190">
        <v>20.3</v>
      </c>
      <c r="L190" t="s">
        <v>30</v>
      </c>
      <c r="M190">
        <v>24945.09</v>
      </c>
      <c r="N190">
        <v>21493</v>
      </c>
      <c r="O190" t="s">
        <v>67</v>
      </c>
      <c r="P190" t="str">
        <f t="shared" si="18"/>
        <v>Yes</v>
      </c>
      <c r="Q190">
        <f t="shared" si="19"/>
        <v>125</v>
      </c>
      <c r="R190">
        <f t="shared" si="20"/>
        <v>5.01</v>
      </c>
      <c r="S190">
        <f t="shared" si="21"/>
        <v>1.1599999999999999</v>
      </c>
      <c r="T190" t="str">
        <f t="shared" si="22"/>
        <v>Delayed</v>
      </c>
      <c r="U190" t="str">
        <f t="shared" si="23"/>
        <v>Low</v>
      </c>
      <c r="V190" t="str">
        <f t="shared" si="24"/>
        <v>Medium Risk</v>
      </c>
      <c r="W190" t="str">
        <f t="shared" si="25"/>
        <v>Jan</v>
      </c>
      <c r="X190">
        <f t="shared" si="26"/>
        <v>2025</v>
      </c>
    </row>
    <row r="191" spans="1:24" x14ac:dyDescent="0.35">
      <c r="A191" s="3">
        <v>45747</v>
      </c>
      <c r="B191" t="s">
        <v>207</v>
      </c>
      <c r="C191" t="s">
        <v>130</v>
      </c>
      <c r="D191" t="s">
        <v>331</v>
      </c>
      <c r="E191" t="s">
        <v>55</v>
      </c>
      <c r="F191" t="s">
        <v>28</v>
      </c>
      <c r="G191" t="s">
        <v>29</v>
      </c>
      <c r="H191">
        <v>65.7</v>
      </c>
      <c r="I191">
        <v>3791</v>
      </c>
      <c r="J191">
        <v>46</v>
      </c>
      <c r="K191">
        <v>21.7</v>
      </c>
      <c r="L191" t="s">
        <v>49</v>
      </c>
      <c r="M191">
        <v>37233.050000000003</v>
      </c>
      <c r="N191">
        <v>26923</v>
      </c>
      <c r="O191" t="s">
        <v>84</v>
      </c>
      <c r="P191" t="str">
        <f t="shared" si="18"/>
        <v>Yes</v>
      </c>
      <c r="Q191">
        <f t="shared" si="19"/>
        <v>57.7</v>
      </c>
      <c r="R191">
        <f t="shared" si="20"/>
        <v>9.82</v>
      </c>
      <c r="S191">
        <f t="shared" si="21"/>
        <v>1.38</v>
      </c>
      <c r="T191" t="str">
        <f t="shared" si="22"/>
        <v>Delayed</v>
      </c>
      <c r="U191" t="str">
        <f t="shared" si="23"/>
        <v>High</v>
      </c>
      <c r="V191" t="str">
        <f t="shared" si="24"/>
        <v>High Risk</v>
      </c>
      <c r="W191" t="str">
        <f t="shared" si="25"/>
        <v>Mar</v>
      </c>
      <c r="X191">
        <f t="shared" si="26"/>
        <v>2025</v>
      </c>
    </row>
    <row r="192" spans="1:24" x14ac:dyDescent="0.35">
      <c r="A192" s="3">
        <v>45782</v>
      </c>
      <c r="B192" t="s">
        <v>87</v>
      </c>
      <c r="C192" t="s">
        <v>130</v>
      </c>
      <c r="D192" t="s">
        <v>332</v>
      </c>
      <c r="E192" t="s">
        <v>48</v>
      </c>
      <c r="F192" t="s">
        <v>28</v>
      </c>
      <c r="G192" t="s">
        <v>71</v>
      </c>
      <c r="H192">
        <v>23.9</v>
      </c>
      <c r="I192">
        <v>1306</v>
      </c>
      <c r="J192">
        <v>33</v>
      </c>
      <c r="K192">
        <v>10.5</v>
      </c>
      <c r="L192" t="s">
        <v>49</v>
      </c>
      <c r="M192">
        <v>12544.92</v>
      </c>
      <c r="N192">
        <v>5485</v>
      </c>
      <c r="O192" t="s">
        <v>59</v>
      </c>
      <c r="P192" t="str">
        <f t="shared" si="18"/>
        <v>Yes</v>
      </c>
      <c r="Q192">
        <f t="shared" si="19"/>
        <v>54.64</v>
      </c>
      <c r="R192">
        <f t="shared" si="20"/>
        <v>9.61</v>
      </c>
      <c r="S192">
        <f t="shared" si="21"/>
        <v>2.29</v>
      </c>
      <c r="T192" t="str">
        <f t="shared" si="22"/>
        <v>Delayed</v>
      </c>
      <c r="U192" t="str">
        <f t="shared" si="23"/>
        <v>Low</v>
      </c>
      <c r="V192" t="str">
        <f t="shared" si="24"/>
        <v>High Risk</v>
      </c>
      <c r="W192" t="str">
        <f t="shared" si="25"/>
        <v>May</v>
      </c>
      <c r="X192">
        <f t="shared" si="26"/>
        <v>2025</v>
      </c>
    </row>
    <row r="193" spans="1:24" x14ac:dyDescent="0.35">
      <c r="A193" s="3">
        <v>45667</v>
      </c>
      <c r="B193" t="s">
        <v>136</v>
      </c>
      <c r="C193" t="s">
        <v>57</v>
      </c>
      <c r="D193" t="s">
        <v>333</v>
      </c>
      <c r="E193" t="s">
        <v>48</v>
      </c>
      <c r="F193" t="s">
        <v>54</v>
      </c>
      <c r="G193" t="s">
        <v>35</v>
      </c>
      <c r="H193">
        <v>45.5</v>
      </c>
      <c r="I193">
        <v>997</v>
      </c>
      <c r="J193">
        <v>39</v>
      </c>
      <c r="K193">
        <v>11.6</v>
      </c>
      <c r="L193" t="s">
        <v>49</v>
      </c>
      <c r="M193">
        <v>21591.71</v>
      </c>
      <c r="N193">
        <v>18853</v>
      </c>
      <c r="O193" t="s">
        <v>36</v>
      </c>
      <c r="P193" t="str">
        <f t="shared" si="18"/>
        <v>Yes</v>
      </c>
      <c r="Q193">
        <f t="shared" si="19"/>
        <v>21.91</v>
      </c>
      <c r="R193">
        <f t="shared" si="20"/>
        <v>21.66</v>
      </c>
      <c r="S193">
        <f t="shared" si="21"/>
        <v>1.1499999999999999</v>
      </c>
      <c r="T193" t="str">
        <f t="shared" si="22"/>
        <v>Delayed</v>
      </c>
      <c r="U193" t="str">
        <f t="shared" si="23"/>
        <v>Medium</v>
      </c>
      <c r="V193" t="str">
        <f t="shared" si="24"/>
        <v>High Risk</v>
      </c>
      <c r="W193" t="str">
        <f t="shared" si="25"/>
        <v>Jan</v>
      </c>
      <c r="X193">
        <f t="shared" si="26"/>
        <v>2025</v>
      </c>
    </row>
    <row r="194" spans="1:24" x14ac:dyDescent="0.35">
      <c r="A194" s="3">
        <v>46004</v>
      </c>
      <c r="B194" t="s">
        <v>162</v>
      </c>
      <c r="C194" t="s">
        <v>69</v>
      </c>
      <c r="D194" t="s">
        <v>334</v>
      </c>
      <c r="E194" t="s">
        <v>55</v>
      </c>
      <c r="F194" t="s">
        <v>66</v>
      </c>
      <c r="G194" t="s">
        <v>35</v>
      </c>
      <c r="H194">
        <v>42.2</v>
      </c>
      <c r="I194">
        <v>3295</v>
      </c>
      <c r="J194">
        <v>108</v>
      </c>
      <c r="K194">
        <v>12.1</v>
      </c>
      <c r="L194" t="s">
        <v>78</v>
      </c>
      <c r="M194">
        <v>19264.580000000002</v>
      </c>
      <c r="N194">
        <v>8086</v>
      </c>
      <c r="O194" t="s">
        <v>84</v>
      </c>
      <c r="P194" t="str">
        <f t="shared" ref="P194:P257" si="27">IF(OR(L194="Rain",L194="Fog",L194="Storm"),"Yes","No")</f>
        <v>No</v>
      </c>
      <c r="Q194">
        <f t="shared" ref="Q194:Q257" si="28">ROUND(I194/H194,2)</f>
        <v>78.08</v>
      </c>
      <c r="R194">
        <f t="shared" ref="R194:R257" si="29">ROUND(M194/I194,2)</f>
        <v>5.85</v>
      </c>
      <c r="S194">
        <f t="shared" ref="S194:S257" si="30">ROUND(M194/N194,2)</f>
        <v>2.38</v>
      </c>
      <c r="T194" t="str">
        <f t="shared" ref="T194:T257" si="31">IF(P194="Yes","Delayed","On Time")</f>
        <v>On Time</v>
      </c>
      <c r="U194" t="str">
        <f t="shared" ref="U194:U257" si="32">IF(H194&gt;=60,"High",IF(H194&gt;=40,"Medium","Low"))</f>
        <v>Medium</v>
      </c>
      <c r="V194" t="str">
        <f t="shared" ref="V194:V257" si="33">IF(L194="Storm","High Risk",IF(L194="Rain","Medium Risk","Low Risk"))</f>
        <v>Low Risk</v>
      </c>
      <c r="W194" t="str">
        <f t="shared" ref="W194:W257" si="34">TEXT(A194,"mmm")</f>
        <v>Dec</v>
      </c>
      <c r="X194">
        <f t="shared" si="26"/>
        <v>2025</v>
      </c>
    </row>
    <row r="195" spans="1:24" x14ac:dyDescent="0.35">
      <c r="A195" s="3">
        <v>45876</v>
      </c>
      <c r="B195" t="s">
        <v>92</v>
      </c>
      <c r="C195" t="s">
        <v>57</v>
      </c>
      <c r="D195" t="s">
        <v>335</v>
      </c>
      <c r="E195" t="s">
        <v>54</v>
      </c>
      <c r="F195" t="s">
        <v>27</v>
      </c>
      <c r="G195" t="s">
        <v>42</v>
      </c>
      <c r="H195">
        <v>48.6</v>
      </c>
      <c r="I195">
        <v>4366</v>
      </c>
      <c r="J195">
        <v>115</v>
      </c>
      <c r="K195">
        <v>13.8</v>
      </c>
      <c r="L195" t="s">
        <v>43</v>
      </c>
      <c r="M195">
        <v>25762.6</v>
      </c>
      <c r="N195">
        <v>12971</v>
      </c>
      <c r="O195" t="s">
        <v>59</v>
      </c>
      <c r="P195" t="str">
        <f t="shared" si="27"/>
        <v>Yes</v>
      </c>
      <c r="Q195">
        <f t="shared" si="28"/>
        <v>89.84</v>
      </c>
      <c r="R195">
        <f t="shared" si="29"/>
        <v>5.9</v>
      </c>
      <c r="S195">
        <f t="shared" si="30"/>
        <v>1.99</v>
      </c>
      <c r="T195" t="str">
        <f t="shared" si="31"/>
        <v>Delayed</v>
      </c>
      <c r="U195" t="str">
        <f t="shared" si="32"/>
        <v>Medium</v>
      </c>
      <c r="V195" t="str">
        <f t="shared" si="33"/>
        <v>Low Risk</v>
      </c>
      <c r="W195" t="str">
        <f t="shared" si="34"/>
        <v>Aug</v>
      </c>
      <c r="X195">
        <f t="shared" ref="X195:X258" si="35">YEAR(A195)</f>
        <v>2025</v>
      </c>
    </row>
    <row r="196" spans="1:24" x14ac:dyDescent="0.35">
      <c r="A196" s="3">
        <v>45930</v>
      </c>
      <c r="B196" t="s">
        <v>89</v>
      </c>
      <c r="C196" t="s">
        <v>95</v>
      </c>
      <c r="D196" t="s">
        <v>336</v>
      </c>
      <c r="E196" t="s">
        <v>48</v>
      </c>
      <c r="F196" t="s">
        <v>28</v>
      </c>
      <c r="G196" t="s">
        <v>35</v>
      </c>
      <c r="H196">
        <v>24.2</v>
      </c>
      <c r="I196">
        <v>1934</v>
      </c>
      <c r="J196">
        <v>118</v>
      </c>
      <c r="K196">
        <v>14.5</v>
      </c>
      <c r="L196" t="s">
        <v>49</v>
      </c>
      <c r="M196">
        <v>16058.59</v>
      </c>
      <c r="N196">
        <v>27428</v>
      </c>
      <c r="O196" t="s">
        <v>31</v>
      </c>
      <c r="P196" t="str">
        <f t="shared" si="27"/>
        <v>Yes</v>
      </c>
      <c r="Q196">
        <f t="shared" si="28"/>
        <v>79.92</v>
      </c>
      <c r="R196">
        <f t="shared" si="29"/>
        <v>8.3000000000000007</v>
      </c>
      <c r="S196">
        <f t="shared" si="30"/>
        <v>0.59</v>
      </c>
      <c r="T196" t="str">
        <f t="shared" si="31"/>
        <v>Delayed</v>
      </c>
      <c r="U196" t="str">
        <f t="shared" si="32"/>
        <v>Low</v>
      </c>
      <c r="V196" t="str">
        <f t="shared" si="33"/>
        <v>High Risk</v>
      </c>
      <c r="W196" t="str">
        <f t="shared" si="34"/>
        <v>Sep</v>
      </c>
      <c r="X196">
        <f t="shared" si="35"/>
        <v>2025</v>
      </c>
    </row>
    <row r="197" spans="1:24" x14ac:dyDescent="0.35">
      <c r="A197" s="3">
        <v>45797</v>
      </c>
      <c r="B197" t="s">
        <v>201</v>
      </c>
      <c r="C197" t="s">
        <v>95</v>
      </c>
      <c r="D197" t="s">
        <v>337</v>
      </c>
      <c r="E197" t="s">
        <v>63</v>
      </c>
      <c r="F197" t="s">
        <v>41</v>
      </c>
      <c r="G197" t="s">
        <v>35</v>
      </c>
      <c r="H197">
        <v>27.7</v>
      </c>
      <c r="I197">
        <v>3056</v>
      </c>
      <c r="J197">
        <v>98</v>
      </c>
      <c r="K197">
        <v>14.5</v>
      </c>
      <c r="L197" t="s">
        <v>49</v>
      </c>
      <c r="M197">
        <v>14895.62</v>
      </c>
      <c r="N197">
        <v>7606</v>
      </c>
      <c r="O197" t="s">
        <v>91</v>
      </c>
      <c r="P197" t="str">
        <f t="shared" si="27"/>
        <v>Yes</v>
      </c>
      <c r="Q197">
        <f t="shared" si="28"/>
        <v>110.32</v>
      </c>
      <c r="R197">
        <f t="shared" si="29"/>
        <v>4.87</v>
      </c>
      <c r="S197">
        <f t="shared" si="30"/>
        <v>1.96</v>
      </c>
      <c r="T197" t="str">
        <f t="shared" si="31"/>
        <v>Delayed</v>
      </c>
      <c r="U197" t="str">
        <f t="shared" si="32"/>
        <v>Low</v>
      </c>
      <c r="V197" t="str">
        <f t="shared" si="33"/>
        <v>High Risk</v>
      </c>
      <c r="W197" t="str">
        <f t="shared" si="34"/>
        <v>May</v>
      </c>
      <c r="X197">
        <f t="shared" si="35"/>
        <v>2025</v>
      </c>
    </row>
    <row r="198" spans="1:24" x14ac:dyDescent="0.35">
      <c r="A198" s="3">
        <v>45742</v>
      </c>
      <c r="B198" t="s">
        <v>33</v>
      </c>
      <c r="C198" t="s">
        <v>109</v>
      </c>
      <c r="D198" t="s">
        <v>338</v>
      </c>
      <c r="E198" t="s">
        <v>27</v>
      </c>
      <c r="F198" t="s">
        <v>28</v>
      </c>
      <c r="G198" t="s">
        <v>35</v>
      </c>
      <c r="H198">
        <v>70.8</v>
      </c>
      <c r="I198">
        <v>1050</v>
      </c>
      <c r="J198">
        <v>75</v>
      </c>
      <c r="K198">
        <v>21.5</v>
      </c>
      <c r="L198" t="s">
        <v>49</v>
      </c>
      <c r="M198">
        <v>35989.49</v>
      </c>
      <c r="N198">
        <v>15710</v>
      </c>
      <c r="O198" t="s">
        <v>67</v>
      </c>
      <c r="P198" t="str">
        <f t="shared" si="27"/>
        <v>Yes</v>
      </c>
      <c r="Q198">
        <f t="shared" si="28"/>
        <v>14.83</v>
      </c>
      <c r="R198">
        <f t="shared" si="29"/>
        <v>34.28</v>
      </c>
      <c r="S198">
        <f t="shared" si="30"/>
        <v>2.29</v>
      </c>
      <c r="T198" t="str">
        <f t="shared" si="31"/>
        <v>Delayed</v>
      </c>
      <c r="U198" t="str">
        <f t="shared" si="32"/>
        <v>High</v>
      </c>
      <c r="V198" t="str">
        <f t="shared" si="33"/>
        <v>High Risk</v>
      </c>
      <c r="W198" t="str">
        <f t="shared" si="34"/>
        <v>Mar</v>
      </c>
      <c r="X198">
        <f t="shared" si="35"/>
        <v>2025</v>
      </c>
    </row>
    <row r="199" spans="1:24" x14ac:dyDescent="0.35">
      <c r="A199" s="3">
        <v>45935</v>
      </c>
      <c r="B199" t="s">
        <v>56</v>
      </c>
      <c r="C199" t="s">
        <v>25</v>
      </c>
      <c r="D199" t="s">
        <v>339</v>
      </c>
      <c r="E199" t="s">
        <v>48</v>
      </c>
      <c r="F199" t="s">
        <v>66</v>
      </c>
      <c r="G199" t="s">
        <v>35</v>
      </c>
      <c r="H199">
        <v>53.5</v>
      </c>
      <c r="I199">
        <v>4232</v>
      </c>
      <c r="J199">
        <v>24</v>
      </c>
      <c r="K199">
        <v>13.4</v>
      </c>
      <c r="L199" t="s">
        <v>30</v>
      </c>
      <c r="M199">
        <v>28104.34</v>
      </c>
      <c r="N199">
        <v>14298</v>
      </c>
      <c r="O199" t="s">
        <v>84</v>
      </c>
      <c r="P199" t="str">
        <f t="shared" si="27"/>
        <v>Yes</v>
      </c>
      <c r="Q199">
        <f t="shared" si="28"/>
        <v>79.099999999999994</v>
      </c>
      <c r="R199">
        <f t="shared" si="29"/>
        <v>6.64</v>
      </c>
      <c r="S199">
        <f t="shared" si="30"/>
        <v>1.97</v>
      </c>
      <c r="T199" t="str">
        <f t="shared" si="31"/>
        <v>Delayed</v>
      </c>
      <c r="U199" t="str">
        <f t="shared" si="32"/>
        <v>Medium</v>
      </c>
      <c r="V199" t="str">
        <f t="shared" si="33"/>
        <v>Medium Risk</v>
      </c>
      <c r="W199" t="str">
        <f t="shared" si="34"/>
        <v>Oct</v>
      </c>
      <c r="X199">
        <f t="shared" si="35"/>
        <v>2025</v>
      </c>
    </row>
    <row r="200" spans="1:24" x14ac:dyDescent="0.35">
      <c r="A200" s="3">
        <v>45773</v>
      </c>
      <c r="B200" t="s">
        <v>317</v>
      </c>
      <c r="C200" t="s">
        <v>69</v>
      </c>
      <c r="D200" t="s">
        <v>340</v>
      </c>
      <c r="E200" t="s">
        <v>41</v>
      </c>
      <c r="F200" t="s">
        <v>55</v>
      </c>
      <c r="G200" t="s">
        <v>35</v>
      </c>
      <c r="H200">
        <v>62.7</v>
      </c>
      <c r="I200">
        <v>4675</v>
      </c>
      <c r="J200">
        <v>25</v>
      </c>
      <c r="K200">
        <v>18.8</v>
      </c>
      <c r="L200" t="s">
        <v>49</v>
      </c>
      <c r="M200">
        <v>33945.339999999997</v>
      </c>
      <c r="N200">
        <v>10705</v>
      </c>
      <c r="O200" t="s">
        <v>36</v>
      </c>
      <c r="P200" t="str">
        <f t="shared" si="27"/>
        <v>Yes</v>
      </c>
      <c r="Q200">
        <f t="shared" si="28"/>
        <v>74.56</v>
      </c>
      <c r="R200">
        <f t="shared" si="29"/>
        <v>7.26</v>
      </c>
      <c r="S200">
        <f t="shared" si="30"/>
        <v>3.17</v>
      </c>
      <c r="T200" t="str">
        <f t="shared" si="31"/>
        <v>Delayed</v>
      </c>
      <c r="U200" t="str">
        <f t="shared" si="32"/>
        <v>High</v>
      </c>
      <c r="V200" t="str">
        <f t="shared" si="33"/>
        <v>High Risk</v>
      </c>
      <c r="W200" t="str">
        <f t="shared" si="34"/>
        <v>Apr</v>
      </c>
      <c r="X200">
        <f t="shared" si="35"/>
        <v>2025</v>
      </c>
    </row>
    <row r="201" spans="1:24" x14ac:dyDescent="0.35">
      <c r="A201" s="3">
        <v>45924</v>
      </c>
      <c r="B201" t="s">
        <v>159</v>
      </c>
      <c r="C201" t="s">
        <v>95</v>
      </c>
      <c r="D201" t="s">
        <v>341</v>
      </c>
      <c r="E201" t="s">
        <v>54</v>
      </c>
      <c r="F201" t="s">
        <v>63</v>
      </c>
      <c r="G201" t="s">
        <v>42</v>
      </c>
      <c r="H201">
        <v>23.8</v>
      </c>
      <c r="I201">
        <v>4090</v>
      </c>
      <c r="J201">
        <v>75</v>
      </c>
      <c r="K201">
        <v>15.2</v>
      </c>
      <c r="L201" t="s">
        <v>30</v>
      </c>
      <c r="M201">
        <v>14205.26</v>
      </c>
      <c r="N201">
        <v>19429</v>
      </c>
      <c r="O201" t="s">
        <v>36</v>
      </c>
      <c r="P201" t="str">
        <f t="shared" si="27"/>
        <v>Yes</v>
      </c>
      <c r="Q201">
        <f t="shared" si="28"/>
        <v>171.85</v>
      </c>
      <c r="R201">
        <f t="shared" si="29"/>
        <v>3.47</v>
      </c>
      <c r="S201">
        <f t="shared" si="30"/>
        <v>0.73</v>
      </c>
      <c r="T201" t="str">
        <f t="shared" si="31"/>
        <v>Delayed</v>
      </c>
      <c r="U201" t="str">
        <f t="shared" si="32"/>
        <v>Low</v>
      </c>
      <c r="V201" t="str">
        <f t="shared" si="33"/>
        <v>Medium Risk</v>
      </c>
      <c r="W201" t="str">
        <f t="shared" si="34"/>
        <v>Sep</v>
      </c>
      <c r="X201">
        <f t="shared" si="35"/>
        <v>2025</v>
      </c>
    </row>
    <row r="202" spans="1:24" x14ac:dyDescent="0.35">
      <c r="A202" s="3">
        <v>45996</v>
      </c>
      <c r="B202" t="s">
        <v>185</v>
      </c>
      <c r="C202" t="s">
        <v>95</v>
      </c>
      <c r="D202" t="s">
        <v>342</v>
      </c>
      <c r="E202" t="s">
        <v>41</v>
      </c>
      <c r="F202" t="s">
        <v>27</v>
      </c>
      <c r="G202" t="s">
        <v>71</v>
      </c>
      <c r="H202">
        <v>55.9</v>
      </c>
      <c r="I202">
        <v>4415</v>
      </c>
      <c r="J202">
        <v>58</v>
      </c>
      <c r="K202">
        <v>10.4</v>
      </c>
      <c r="L202" t="s">
        <v>78</v>
      </c>
      <c r="M202">
        <v>36279.1</v>
      </c>
      <c r="N202">
        <v>10309</v>
      </c>
      <c r="O202" t="s">
        <v>67</v>
      </c>
      <c r="P202" t="str">
        <f t="shared" si="27"/>
        <v>No</v>
      </c>
      <c r="Q202">
        <f t="shared" si="28"/>
        <v>78.98</v>
      </c>
      <c r="R202">
        <f t="shared" si="29"/>
        <v>8.2200000000000006</v>
      </c>
      <c r="S202">
        <f t="shared" si="30"/>
        <v>3.52</v>
      </c>
      <c r="T202" t="str">
        <f t="shared" si="31"/>
        <v>On Time</v>
      </c>
      <c r="U202" t="str">
        <f t="shared" si="32"/>
        <v>Medium</v>
      </c>
      <c r="V202" t="str">
        <f t="shared" si="33"/>
        <v>Low Risk</v>
      </c>
      <c r="W202" t="str">
        <f t="shared" si="34"/>
        <v>Dec</v>
      </c>
      <c r="X202">
        <f t="shared" si="35"/>
        <v>2025</v>
      </c>
    </row>
    <row r="203" spans="1:24" x14ac:dyDescent="0.35">
      <c r="A203" s="3">
        <v>45824</v>
      </c>
      <c r="B203" t="s">
        <v>300</v>
      </c>
      <c r="C203" t="s">
        <v>69</v>
      </c>
      <c r="D203" t="s">
        <v>343</v>
      </c>
      <c r="E203" t="s">
        <v>54</v>
      </c>
      <c r="F203" t="s">
        <v>55</v>
      </c>
      <c r="G203" t="s">
        <v>35</v>
      </c>
      <c r="H203">
        <v>23.6</v>
      </c>
      <c r="I203">
        <v>4678</v>
      </c>
      <c r="J203">
        <v>23</v>
      </c>
      <c r="K203">
        <v>13.1</v>
      </c>
      <c r="L203" t="s">
        <v>30</v>
      </c>
      <c r="M203">
        <v>14420.45</v>
      </c>
      <c r="N203">
        <v>20623</v>
      </c>
      <c r="O203" t="s">
        <v>67</v>
      </c>
      <c r="P203" t="str">
        <f t="shared" si="27"/>
        <v>Yes</v>
      </c>
      <c r="Q203">
        <f t="shared" si="28"/>
        <v>198.22</v>
      </c>
      <c r="R203">
        <f t="shared" si="29"/>
        <v>3.08</v>
      </c>
      <c r="S203">
        <f t="shared" si="30"/>
        <v>0.7</v>
      </c>
      <c r="T203" t="str">
        <f t="shared" si="31"/>
        <v>Delayed</v>
      </c>
      <c r="U203" t="str">
        <f t="shared" si="32"/>
        <v>Low</v>
      </c>
      <c r="V203" t="str">
        <f t="shared" si="33"/>
        <v>Medium Risk</v>
      </c>
      <c r="W203" t="str">
        <f t="shared" si="34"/>
        <v>Jun</v>
      </c>
      <c r="X203">
        <f t="shared" si="35"/>
        <v>2025</v>
      </c>
    </row>
    <row r="204" spans="1:24" x14ac:dyDescent="0.35">
      <c r="A204" s="3">
        <v>45942</v>
      </c>
      <c r="B204" t="s">
        <v>148</v>
      </c>
      <c r="C204" t="s">
        <v>130</v>
      </c>
      <c r="D204" t="s">
        <v>344</v>
      </c>
      <c r="E204" t="s">
        <v>28</v>
      </c>
      <c r="F204" t="s">
        <v>54</v>
      </c>
      <c r="G204" t="s">
        <v>42</v>
      </c>
      <c r="H204">
        <v>61.7</v>
      </c>
      <c r="I204">
        <v>4580</v>
      </c>
      <c r="J204">
        <v>93</v>
      </c>
      <c r="K204">
        <v>12.4</v>
      </c>
      <c r="L204" t="s">
        <v>49</v>
      </c>
      <c r="M204">
        <v>34673.019999999997</v>
      </c>
      <c r="N204">
        <v>25403</v>
      </c>
      <c r="O204" t="s">
        <v>59</v>
      </c>
      <c r="P204" t="str">
        <f t="shared" si="27"/>
        <v>Yes</v>
      </c>
      <c r="Q204">
        <f t="shared" si="28"/>
        <v>74.23</v>
      </c>
      <c r="R204">
        <f t="shared" si="29"/>
        <v>7.57</v>
      </c>
      <c r="S204">
        <f t="shared" si="30"/>
        <v>1.36</v>
      </c>
      <c r="T204" t="str">
        <f t="shared" si="31"/>
        <v>Delayed</v>
      </c>
      <c r="U204" t="str">
        <f t="shared" si="32"/>
        <v>High</v>
      </c>
      <c r="V204" t="str">
        <f t="shared" si="33"/>
        <v>High Risk</v>
      </c>
      <c r="W204" t="str">
        <f t="shared" si="34"/>
        <v>Oct</v>
      </c>
      <c r="X204">
        <f t="shared" si="35"/>
        <v>2025</v>
      </c>
    </row>
    <row r="205" spans="1:24" x14ac:dyDescent="0.35">
      <c r="A205" s="3">
        <v>45827</v>
      </c>
      <c r="B205" t="s">
        <v>214</v>
      </c>
      <c r="C205" t="s">
        <v>25</v>
      </c>
      <c r="D205" t="s">
        <v>345</v>
      </c>
      <c r="E205" t="s">
        <v>55</v>
      </c>
      <c r="F205" t="s">
        <v>54</v>
      </c>
      <c r="G205" t="s">
        <v>35</v>
      </c>
      <c r="H205">
        <v>37.4</v>
      </c>
      <c r="I205">
        <v>2946</v>
      </c>
      <c r="J205">
        <v>58</v>
      </c>
      <c r="K205">
        <v>21.8</v>
      </c>
      <c r="L205" t="s">
        <v>43</v>
      </c>
      <c r="M205">
        <v>20586.86</v>
      </c>
      <c r="N205">
        <v>12869</v>
      </c>
      <c r="O205" t="s">
        <v>31</v>
      </c>
      <c r="P205" t="str">
        <f t="shared" si="27"/>
        <v>Yes</v>
      </c>
      <c r="Q205">
        <f t="shared" si="28"/>
        <v>78.77</v>
      </c>
      <c r="R205">
        <f t="shared" si="29"/>
        <v>6.99</v>
      </c>
      <c r="S205">
        <f t="shared" si="30"/>
        <v>1.6</v>
      </c>
      <c r="T205" t="str">
        <f t="shared" si="31"/>
        <v>Delayed</v>
      </c>
      <c r="U205" t="str">
        <f t="shared" si="32"/>
        <v>Low</v>
      </c>
      <c r="V205" t="str">
        <f t="shared" si="33"/>
        <v>Low Risk</v>
      </c>
      <c r="W205" t="str">
        <f t="shared" si="34"/>
        <v>Jun</v>
      </c>
      <c r="X205">
        <f t="shared" si="35"/>
        <v>2025</v>
      </c>
    </row>
    <row r="206" spans="1:24" x14ac:dyDescent="0.35">
      <c r="A206" s="3">
        <v>45684</v>
      </c>
      <c r="B206" t="s">
        <v>115</v>
      </c>
      <c r="C206" t="s">
        <v>109</v>
      </c>
      <c r="D206" t="s">
        <v>346</v>
      </c>
      <c r="E206" t="s">
        <v>66</v>
      </c>
      <c r="F206" t="s">
        <v>55</v>
      </c>
      <c r="G206" t="s">
        <v>42</v>
      </c>
      <c r="H206">
        <v>27.6</v>
      </c>
      <c r="I206">
        <v>3865</v>
      </c>
      <c r="J206">
        <v>51</v>
      </c>
      <c r="K206">
        <v>16.5</v>
      </c>
      <c r="L206" t="s">
        <v>30</v>
      </c>
      <c r="M206">
        <v>15816.75</v>
      </c>
      <c r="N206">
        <v>9572</v>
      </c>
      <c r="O206" t="s">
        <v>31</v>
      </c>
      <c r="P206" t="str">
        <f t="shared" si="27"/>
        <v>Yes</v>
      </c>
      <c r="Q206">
        <f t="shared" si="28"/>
        <v>140.04</v>
      </c>
      <c r="R206">
        <f t="shared" si="29"/>
        <v>4.09</v>
      </c>
      <c r="S206">
        <f t="shared" si="30"/>
        <v>1.65</v>
      </c>
      <c r="T206" t="str">
        <f t="shared" si="31"/>
        <v>Delayed</v>
      </c>
      <c r="U206" t="str">
        <f t="shared" si="32"/>
        <v>Low</v>
      </c>
      <c r="V206" t="str">
        <f t="shared" si="33"/>
        <v>Medium Risk</v>
      </c>
      <c r="W206" t="str">
        <f t="shared" si="34"/>
        <v>Jan</v>
      </c>
      <c r="X206">
        <f t="shared" si="35"/>
        <v>2025</v>
      </c>
    </row>
    <row r="207" spans="1:24" x14ac:dyDescent="0.35">
      <c r="A207" s="3">
        <v>45659</v>
      </c>
      <c r="B207" t="s">
        <v>24</v>
      </c>
      <c r="C207" t="s">
        <v>69</v>
      </c>
      <c r="D207" t="s">
        <v>347</v>
      </c>
      <c r="E207" t="s">
        <v>28</v>
      </c>
      <c r="F207" t="s">
        <v>27</v>
      </c>
      <c r="G207" t="s">
        <v>35</v>
      </c>
      <c r="H207">
        <v>57.5</v>
      </c>
      <c r="I207">
        <v>1409</v>
      </c>
      <c r="J207">
        <v>57</v>
      </c>
      <c r="K207">
        <v>10.5</v>
      </c>
      <c r="L207" t="s">
        <v>49</v>
      </c>
      <c r="M207">
        <v>32392.55</v>
      </c>
      <c r="N207">
        <v>14727</v>
      </c>
      <c r="O207" t="s">
        <v>44</v>
      </c>
      <c r="P207" t="str">
        <f t="shared" si="27"/>
        <v>Yes</v>
      </c>
      <c r="Q207">
        <f t="shared" si="28"/>
        <v>24.5</v>
      </c>
      <c r="R207">
        <f t="shared" si="29"/>
        <v>22.99</v>
      </c>
      <c r="S207">
        <f t="shared" si="30"/>
        <v>2.2000000000000002</v>
      </c>
      <c r="T207" t="str">
        <f t="shared" si="31"/>
        <v>Delayed</v>
      </c>
      <c r="U207" t="str">
        <f t="shared" si="32"/>
        <v>Medium</v>
      </c>
      <c r="V207" t="str">
        <f t="shared" si="33"/>
        <v>High Risk</v>
      </c>
      <c r="W207" t="str">
        <f t="shared" si="34"/>
        <v>Jan</v>
      </c>
      <c r="X207">
        <f t="shared" si="35"/>
        <v>2025</v>
      </c>
    </row>
    <row r="208" spans="1:24" x14ac:dyDescent="0.35">
      <c r="A208" s="3">
        <v>45964</v>
      </c>
      <c r="B208" t="s">
        <v>127</v>
      </c>
      <c r="C208" t="s">
        <v>95</v>
      </c>
      <c r="D208" t="s">
        <v>348</v>
      </c>
      <c r="E208" t="s">
        <v>48</v>
      </c>
      <c r="F208" t="s">
        <v>27</v>
      </c>
      <c r="G208" t="s">
        <v>42</v>
      </c>
      <c r="H208">
        <v>44.6</v>
      </c>
      <c r="I208">
        <v>1009</v>
      </c>
      <c r="J208">
        <v>51</v>
      </c>
      <c r="K208">
        <v>16.5</v>
      </c>
      <c r="L208" t="s">
        <v>49</v>
      </c>
      <c r="M208">
        <v>22853.83</v>
      </c>
      <c r="N208">
        <v>22902</v>
      </c>
      <c r="O208" t="s">
        <v>44</v>
      </c>
      <c r="P208" t="str">
        <f t="shared" si="27"/>
        <v>Yes</v>
      </c>
      <c r="Q208">
        <f t="shared" si="28"/>
        <v>22.62</v>
      </c>
      <c r="R208">
        <f t="shared" si="29"/>
        <v>22.65</v>
      </c>
      <c r="S208">
        <f t="shared" si="30"/>
        <v>1</v>
      </c>
      <c r="T208" t="str">
        <f t="shared" si="31"/>
        <v>Delayed</v>
      </c>
      <c r="U208" t="str">
        <f t="shared" si="32"/>
        <v>Medium</v>
      </c>
      <c r="V208" t="str">
        <f t="shared" si="33"/>
        <v>High Risk</v>
      </c>
      <c r="W208" t="str">
        <f t="shared" si="34"/>
        <v>Nov</v>
      </c>
      <c r="X208">
        <f t="shared" si="35"/>
        <v>2025</v>
      </c>
    </row>
    <row r="209" spans="1:24" x14ac:dyDescent="0.35">
      <c r="A209" s="3">
        <v>45796</v>
      </c>
      <c r="B209" t="s">
        <v>349</v>
      </c>
      <c r="C209" t="s">
        <v>39</v>
      </c>
      <c r="D209" t="s">
        <v>350</v>
      </c>
      <c r="E209" t="s">
        <v>41</v>
      </c>
      <c r="F209" t="s">
        <v>54</v>
      </c>
      <c r="G209" t="s">
        <v>71</v>
      </c>
      <c r="H209">
        <v>28.2</v>
      </c>
      <c r="I209">
        <v>2499</v>
      </c>
      <c r="J209">
        <v>89</v>
      </c>
      <c r="K209">
        <v>12.1</v>
      </c>
      <c r="L209" t="s">
        <v>49</v>
      </c>
      <c r="M209">
        <v>15413.23</v>
      </c>
      <c r="N209">
        <v>19213</v>
      </c>
      <c r="O209" t="s">
        <v>31</v>
      </c>
      <c r="P209" t="str">
        <f t="shared" si="27"/>
        <v>Yes</v>
      </c>
      <c r="Q209">
        <f t="shared" si="28"/>
        <v>88.62</v>
      </c>
      <c r="R209">
        <f t="shared" si="29"/>
        <v>6.17</v>
      </c>
      <c r="S209">
        <f t="shared" si="30"/>
        <v>0.8</v>
      </c>
      <c r="T209" t="str">
        <f t="shared" si="31"/>
        <v>Delayed</v>
      </c>
      <c r="U209" t="str">
        <f t="shared" si="32"/>
        <v>Low</v>
      </c>
      <c r="V209" t="str">
        <f t="shared" si="33"/>
        <v>High Risk</v>
      </c>
      <c r="W209" t="str">
        <f t="shared" si="34"/>
        <v>May</v>
      </c>
      <c r="X209">
        <f t="shared" si="35"/>
        <v>2025</v>
      </c>
    </row>
    <row r="210" spans="1:24" x14ac:dyDescent="0.35">
      <c r="A210" s="3">
        <v>45826</v>
      </c>
      <c r="B210" t="s">
        <v>203</v>
      </c>
      <c r="C210" t="s">
        <v>109</v>
      </c>
      <c r="D210" t="s">
        <v>351</v>
      </c>
      <c r="E210" t="s">
        <v>54</v>
      </c>
      <c r="F210" t="s">
        <v>48</v>
      </c>
      <c r="G210" t="s">
        <v>42</v>
      </c>
      <c r="H210">
        <v>39.9</v>
      </c>
      <c r="I210">
        <v>1663</v>
      </c>
      <c r="J210">
        <v>56</v>
      </c>
      <c r="K210">
        <v>21.5</v>
      </c>
      <c r="L210" t="s">
        <v>30</v>
      </c>
      <c r="M210">
        <v>19437.830000000002</v>
      </c>
      <c r="N210">
        <v>8295</v>
      </c>
      <c r="O210" t="s">
        <v>44</v>
      </c>
      <c r="P210" t="str">
        <f t="shared" si="27"/>
        <v>Yes</v>
      </c>
      <c r="Q210">
        <f t="shared" si="28"/>
        <v>41.68</v>
      </c>
      <c r="R210">
        <f t="shared" si="29"/>
        <v>11.69</v>
      </c>
      <c r="S210">
        <f t="shared" si="30"/>
        <v>2.34</v>
      </c>
      <c r="T210" t="str">
        <f t="shared" si="31"/>
        <v>Delayed</v>
      </c>
      <c r="U210" t="str">
        <f t="shared" si="32"/>
        <v>Low</v>
      </c>
      <c r="V210" t="str">
        <f t="shared" si="33"/>
        <v>Medium Risk</v>
      </c>
      <c r="W210" t="str">
        <f t="shared" si="34"/>
        <v>Jun</v>
      </c>
      <c r="X210">
        <f t="shared" si="35"/>
        <v>2025</v>
      </c>
    </row>
    <row r="211" spans="1:24" x14ac:dyDescent="0.35">
      <c r="A211" s="3">
        <v>45909</v>
      </c>
      <c r="B211" t="s">
        <v>309</v>
      </c>
      <c r="C211" t="s">
        <v>109</v>
      </c>
      <c r="D211" t="s">
        <v>352</v>
      </c>
      <c r="E211" t="s">
        <v>66</v>
      </c>
      <c r="F211" t="s">
        <v>48</v>
      </c>
      <c r="G211" t="s">
        <v>71</v>
      </c>
      <c r="H211">
        <v>27.6</v>
      </c>
      <c r="I211">
        <v>2792</v>
      </c>
      <c r="J211">
        <v>106</v>
      </c>
      <c r="K211">
        <v>10.3</v>
      </c>
      <c r="L211" t="s">
        <v>30</v>
      </c>
      <c r="M211">
        <v>16802.490000000002</v>
      </c>
      <c r="N211">
        <v>18979</v>
      </c>
      <c r="O211" t="s">
        <v>84</v>
      </c>
      <c r="P211" t="str">
        <f t="shared" si="27"/>
        <v>Yes</v>
      </c>
      <c r="Q211">
        <f t="shared" si="28"/>
        <v>101.16</v>
      </c>
      <c r="R211">
        <f t="shared" si="29"/>
        <v>6.02</v>
      </c>
      <c r="S211">
        <f t="shared" si="30"/>
        <v>0.89</v>
      </c>
      <c r="T211" t="str">
        <f t="shared" si="31"/>
        <v>Delayed</v>
      </c>
      <c r="U211" t="str">
        <f t="shared" si="32"/>
        <v>Low</v>
      </c>
      <c r="V211" t="str">
        <f t="shared" si="33"/>
        <v>Medium Risk</v>
      </c>
      <c r="W211" t="str">
        <f t="shared" si="34"/>
        <v>Sep</v>
      </c>
      <c r="X211">
        <f t="shared" si="35"/>
        <v>2025</v>
      </c>
    </row>
    <row r="212" spans="1:24" x14ac:dyDescent="0.35">
      <c r="A212" s="3">
        <v>45806</v>
      </c>
      <c r="B212" t="s">
        <v>250</v>
      </c>
      <c r="C212" t="s">
        <v>57</v>
      </c>
      <c r="D212" t="s">
        <v>353</v>
      </c>
      <c r="E212" t="s">
        <v>48</v>
      </c>
      <c r="F212" t="s">
        <v>63</v>
      </c>
      <c r="G212" t="s">
        <v>42</v>
      </c>
      <c r="H212">
        <v>42.7</v>
      </c>
      <c r="I212">
        <v>2132</v>
      </c>
      <c r="J212">
        <v>47</v>
      </c>
      <c r="K212">
        <v>20.100000000000001</v>
      </c>
      <c r="L212" t="s">
        <v>43</v>
      </c>
      <c r="M212">
        <v>21629.919999999998</v>
      </c>
      <c r="N212">
        <v>13082</v>
      </c>
      <c r="O212" t="s">
        <v>44</v>
      </c>
      <c r="P212" t="str">
        <f t="shared" si="27"/>
        <v>Yes</v>
      </c>
      <c r="Q212">
        <f t="shared" si="28"/>
        <v>49.93</v>
      </c>
      <c r="R212">
        <f t="shared" si="29"/>
        <v>10.15</v>
      </c>
      <c r="S212">
        <f t="shared" si="30"/>
        <v>1.65</v>
      </c>
      <c r="T212" t="str">
        <f t="shared" si="31"/>
        <v>Delayed</v>
      </c>
      <c r="U212" t="str">
        <f t="shared" si="32"/>
        <v>Medium</v>
      </c>
      <c r="V212" t="str">
        <f t="shared" si="33"/>
        <v>Low Risk</v>
      </c>
      <c r="W212" t="str">
        <f t="shared" si="34"/>
        <v>May</v>
      </c>
      <c r="X212">
        <f t="shared" si="35"/>
        <v>2025</v>
      </c>
    </row>
    <row r="213" spans="1:24" x14ac:dyDescent="0.35">
      <c r="A213" s="3">
        <v>45663</v>
      </c>
      <c r="B213" t="s">
        <v>68</v>
      </c>
      <c r="C213" t="s">
        <v>130</v>
      </c>
      <c r="D213" t="s">
        <v>354</v>
      </c>
      <c r="E213" t="s">
        <v>27</v>
      </c>
      <c r="F213" t="s">
        <v>41</v>
      </c>
      <c r="G213" t="s">
        <v>71</v>
      </c>
      <c r="H213">
        <v>62.1</v>
      </c>
      <c r="I213">
        <v>4815</v>
      </c>
      <c r="J213">
        <v>114</v>
      </c>
      <c r="K213">
        <v>20.8</v>
      </c>
      <c r="L213" t="s">
        <v>43</v>
      </c>
      <c r="M213">
        <v>40929.550000000003</v>
      </c>
      <c r="N213">
        <v>10703</v>
      </c>
      <c r="O213" t="s">
        <v>84</v>
      </c>
      <c r="P213" t="str">
        <f t="shared" si="27"/>
        <v>Yes</v>
      </c>
      <c r="Q213">
        <f t="shared" si="28"/>
        <v>77.540000000000006</v>
      </c>
      <c r="R213">
        <f t="shared" si="29"/>
        <v>8.5</v>
      </c>
      <c r="S213">
        <f t="shared" si="30"/>
        <v>3.82</v>
      </c>
      <c r="T213" t="str">
        <f t="shared" si="31"/>
        <v>Delayed</v>
      </c>
      <c r="U213" t="str">
        <f t="shared" si="32"/>
        <v>High</v>
      </c>
      <c r="V213" t="str">
        <f t="shared" si="33"/>
        <v>Low Risk</v>
      </c>
      <c r="W213" t="str">
        <f t="shared" si="34"/>
        <v>Jan</v>
      </c>
      <c r="X213">
        <f t="shared" si="35"/>
        <v>2025</v>
      </c>
    </row>
    <row r="214" spans="1:24" x14ac:dyDescent="0.35">
      <c r="A214" s="3">
        <v>45815</v>
      </c>
      <c r="B214" t="s">
        <v>148</v>
      </c>
      <c r="C214" t="s">
        <v>109</v>
      </c>
      <c r="D214" t="s">
        <v>355</v>
      </c>
      <c r="E214" t="s">
        <v>48</v>
      </c>
      <c r="F214" t="s">
        <v>28</v>
      </c>
      <c r="G214" t="s">
        <v>35</v>
      </c>
      <c r="H214">
        <v>73.599999999999994</v>
      </c>
      <c r="I214">
        <v>528</v>
      </c>
      <c r="J214">
        <v>89</v>
      </c>
      <c r="K214">
        <v>16.3</v>
      </c>
      <c r="L214" t="s">
        <v>43</v>
      </c>
      <c r="M214">
        <v>35283.65</v>
      </c>
      <c r="N214">
        <v>22280</v>
      </c>
      <c r="O214" t="s">
        <v>59</v>
      </c>
      <c r="P214" t="str">
        <f t="shared" si="27"/>
        <v>Yes</v>
      </c>
      <c r="Q214">
        <f t="shared" si="28"/>
        <v>7.17</v>
      </c>
      <c r="R214">
        <f t="shared" si="29"/>
        <v>66.83</v>
      </c>
      <c r="S214">
        <f t="shared" si="30"/>
        <v>1.58</v>
      </c>
      <c r="T214" t="str">
        <f t="shared" si="31"/>
        <v>Delayed</v>
      </c>
      <c r="U214" t="str">
        <f t="shared" si="32"/>
        <v>High</v>
      </c>
      <c r="V214" t="str">
        <f t="shared" si="33"/>
        <v>Low Risk</v>
      </c>
      <c r="W214" t="str">
        <f t="shared" si="34"/>
        <v>Jun</v>
      </c>
      <c r="X214">
        <f t="shared" si="35"/>
        <v>2025</v>
      </c>
    </row>
    <row r="215" spans="1:24" x14ac:dyDescent="0.35">
      <c r="A215" s="3">
        <v>45713</v>
      </c>
      <c r="B215" t="s">
        <v>165</v>
      </c>
      <c r="C215" t="s">
        <v>95</v>
      </c>
      <c r="D215" t="s">
        <v>356</v>
      </c>
      <c r="E215" t="s">
        <v>48</v>
      </c>
      <c r="F215" t="s">
        <v>63</v>
      </c>
      <c r="G215" t="s">
        <v>71</v>
      </c>
      <c r="H215">
        <v>56.9</v>
      </c>
      <c r="I215">
        <v>3916</v>
      </c>
      <c r="J215">
        <v>113</v>
      </c>
      <c r="K215">
        <v>11.2</v>
      </c>
      <c r="L215" t="s">
        <v>78</v>
      </c>
      <c r="M215">
        <v>32430.18</v>
      </c>
      <c r="N215">
        <v>11720</v>
      </c>
      <c r="O215" t="s">
        <v>44</v>
      </c>
      <c r="P215" t="str">
        <f t="shared" si="27"/>
        <v>No</v>
      </c>
      <c r="Q215">
        <f t="shared" si="28"/>
        <v>68.819999999999993</v>
      </c>
      <c r="R215">
        <f t="shared" si="29"/>
        <v>8.2799999999999994</v>
      </c>
      <c r="S215">
        <f t="shared" si="30"/>
        <v>2.77</v>
      </c>
      <c r="T215" t="str">
        <f t="shared" si="31"/>
        <v>On Time</v>
      </c>
      <c r="U215" t="str">
        <f t="shared" si="32"/>
        <v>Medium</v>
      </c>
      <c r="V215" t="str">
        <f t="shared" si="33"/>
        <v>Low Risk</v>
      </c>
      <c r="W215" t="str">
        <f t="shared" si="34"/>
        <v>Feb</v>
      </c>
      <c r="X215">
        <f t="shared" si="35"/>
        <v>2025</v>
      </c>
    </row>
    <row r="216" spans="1:24" x14ac:dyDescent="0.35">
      <c r="A216" s="3">
        <v>45716</v>
      </c>
      <c r="B216" t="s">
        <v>291</v>
      </c>
      <c r="C216" t="s">
        <v>109</v>
      </c>
      <c r="D216" t="s">
        <v>357</v>
      </c>
      <c r="E216" t="s">
        <v>27</v>
      </c>
      <c r="F216" t="s">
        <v>41</v>
      </c>
      <c r="G216" t="s">
        <v>35</v>
      </c>
      <c r="H216">
        <v>39.299999999999997</v>
      </c>
      <c r="I216">
        <v>1513</v>
      </c>
      <c r="J216">
        <v>54</v>
      </c>
      <c r="K216">
        <v>21.4</v>
      </c>
      <c r="L216" t="s">
        <v>30</v>
      </c>
      <c r="M216">
        <v>20946.34</v>
      </c>
      <c r="N216">
        <v>8518</v>
      </c>
      <c r="O216" t="s">
        <v>91</v>
      </c>
      <c r="P216" t="str">
        <f t="shared" si="27"/>
        <v>Yes</v>
      </c>
      <c r="Q216">
        <f t="shared" si="28"/>
        <v>38.5</v>
      </c>
      <c r="R216">
        <f t="shared" si="29"/>
        <v>13.84</v>
      </c>
      <c r="S216">
        <f t="shared" si="30"/>
        <v>2.46</v>
      </c>
      <c r="T216" t="str">
        <f t="shared" si="31"/>
        <v>Delayed</v>
      </c>
      <c r="U216" t="str">
        <f t="shared" si="32"/>
        <v>Low</v>
      </c>
      <c r="V216" t="str">
        <f t="shared" si="33"/>
        <v>Medium Risk</v>
      </c>
      <c r="W216" t="str">
        <f t="shared" si="34"/>
        <v>Feb</v>
      </c>
      <c r="X216">
        <f t="shared" si="35"/>
        <v>2025</v>
      </c>
    </row>
    <row r="217" spans="1:24" x14ac:dyDescent="0.35">
      <c r="A217" s="3">
        <v>45836</v>
      </c>
      <c r="B217" t="s">
        <v>199</v>
      </c>
      <c r="C217" t="s">
        <v>52</v>
      </c>
      <c r="D217" t="s">
        <v>358</v>
      </c>
      <c r="E217" t="s">
        <v>48</v>
      </c>
      <c r="F217" t="s">
        <v>41</v>
      </c>
      <c r="G217" t="s">
        <v>42</v>
      </c>
      <c r="H217">
        <v>52.8</v>
      </c>
      <c r="I217">
        <v>2001</v>
      </c>
      <c r="J217">
        <v>68</v>
      </c>
      <c r="K217">
        <v>16.7</v>
      </c>
      <c r="L217" t="s">
        <v>49</v>
      </c>
      <c r="M217">
        <v>36025.730000000003</v>
      </c>
      <c r="N217">
        <v>14514</v>
      </c>
      <c r="O217" t="s">
        <v>31</v>
      </c>
      <c r="P217" t="str">
        <f t="shared" si="27"/>
        <v>Yes</v>
      </c>
      <c r="Q217">
        <f t="shared" si="28"/>
        <v>37.9</v>
      </c>
      <c r="R217">
        <f t="shared" si="29"/>
        <v>18</v>
      </c>
      <c r="S217">
        <f t="shared" si="30"/>
        <v>2.48</v>
      </c>
      <c r="T217" t="str">
        <f t="shared" si="31"/>
        <v>Delayed</v>
      </c>
      <c r="U217" t="str">
        <f t="shared" si="32"/>
        <v>Medium</v>
      </c>
      <c r="V217" t="str">
        <f t="shared" si="33"/>
        <v>High Risk</v>
      </c>
      <c r="W217" t="str">
        <f t="shared" si="34"/>
        <v>Jun</v>
      </c>
      <c r="X217">
        <f t="shared" si="35"/>
        <v>2025</v>
      </c>
    </row>
    <row r="218" spans="1:24" x14ac:dyDescent="0.35">
      <c r="A218" s="3">
        <v>45983</v>
      </c>
      <c r="B218" t="s">
        <v>193</v>
      </c>
      <c r="C218" t="s">
        <v>52</v>
      </c>
      <c r="D218" t="s">
        <v>359</v>
      </c>
      <c r="E218" t="s">
        <v>66</v>
      </c>
      <c r="F218" t="s">
        <v>54</v>
      </c>
      <c r="G218" t="s">
        <v>71</v>
      </c>
      <c r="H218">
        <v>50.7</v>
      </c>
      <c r="I218">
        <v>3703</v>
      </c>
      <c r="J218">
        <v>67</v>
      </c>
      <c r="K218">
        <v>11</v>
      </c>
      <c r="L218" t="s">
        <v>78</v>
      </c>
      <c r="M218">
        <v>28058.2</v>
      </c>
      <c r="N218">
        <v>21204</v>
      </c>
      <c r="O218" t="s">
        <v>31</v>
      </c>
      <c r="P218" t="str">
        <f t="shared" si="27"/>
        <v>No</v>
      </c>
      <c r="Q218">
        <f t="shared" si="28"/>
        <v>73.040000000000006</v>
      </c>
      <c r="R218">
        <f t="shared" si="29"/>
        <v>7.58</v>
      </c>
      <c r="S218">
        <f t="shared" si="30"/>
        <v>1.32</v>
      </c>
      <c r="T218" t="str">
        <f t="shared" si="31"/>
        <v>On Time</v>
      </c>
      <c r="U218" t="str">
        <f t="shared" si="32"/>
        <v>Medium</v>
      </c>
      <c r="V218" t="str">
        <f t="shared" si="33"/>
        <v>Low Risk</v>
      </c>
      <c r="W218" t="str">
        <f t="shared" si="34"/>
        <v>Nov</v>
      </c>
      <c r="X218">
        <f t="shared" si="35"/>
        <v>2025</v>
      </c>
    </row>
    <row r="219" spans="1:24" x14ac:dyDescent="0.35">
      <c r="A219" s="3">
        <v>45851</v>
      </c>
      <c r="B219" t="s">
        <v>201</v>
      </c>
      <c r="C219" t="s">
        <v>109</v>
      </c>
      <c r="D219" t="s">
        <v>360</v>
      </c>
      <c r="E219" t="s">
        <v>63</v>
      </c>
      <c r="F219" t="s">
        <v>55</v>
      </c>
      <c r="G219" t="s">
        <v>35</v>
      </c>
      <c r="H219">
        <v>71.7</v>
      </c>
      <c r="I219">
        <v>4340</v>
      </c>
      <c r="J219">
        <v>70</v>
      </c>
      <c r="K219">
        <v>11.2</v>
      </c>
      <c r="L219" t="s">
        <v>30</v>
      </c>
      <c r="M219">
        <v>47491.37</v>
      </c>
      <c r="N219">
        <v>18218</v>
      </c>
      <c r="O219" t="s">
        <v>44</v>
      </c>
      <c r="P219" t="str">
        <f t="shared" si="27"/>
        <v>Yes</v>
      </c>
      <c r="Q219">
        <f t="shared" si="28"/>
        <v>60.53</v>
      </c>
      <c r="R219">
        <f t="shared" si="29"/>
        <v>10.94</v>
      </c>
      <c r="S219">
        <f t="shared" si="30"/>
        <v>2.61</v>
      </c>
      <c r="T219" t="str">
        <f t="shared" si="31"/>
        <v>Delayed</v>
      </c>
      <c r="U219" t="str">
        <f t="shared" si="32"/>
        <v>High</v>
      </c>
      <c r="V219" t="str">
        <f t="shared" si="33"/>
        <v>Medium Risk</v>
      </c>
      <c r="W219" t="str">
        <f t="shared" si="34"/>
        <v>Jul</v>
      </c>
      <c r="X219">
        <f t="shared" si="35"/>
        <v>2025</v>
      </c>
    </row>
    <row r="220" spans="1:24" x14ac:dyDescent="0.35">
      <c r="A220" s="3">
        <v>45959</v>
      </c>
      <c r="B220" t="s">
        <v>188</v>
      </c>
      <c r="C220" t="s">
        <v>95</v>
      </c>
      <c r="D220" t="s">
        <v>361</v>
      </c>
      <c r="E220" t="s">
        <v>66</v>
      </c>
      <c r="F220" t="s">
        <v>55</v>
      </c>
      <c r="G220" t="s">
        <v>29</v>
      </c>
      <c r="H220">
        <v>61.6</v>
      </c>
      <c r="I220">
        <v>3131</v>
      </c>
      <c r="J220">
        <v>23</v>
      </c>
      <c r="K220">
        <v>16.8</v>
      </c>
      <c r="L220" t="s">
        <v>49</v>
      </c>
      <c r="M220">
        <v>33630.21</v>
      </c>
      <c r="N220">
        <v>28783</v>
      </c>
      <c r="O220" t="s">
        <v>67</v>
      </c>
      <c r="P220" t="str">
        <f t="shared" si="27"/>
        <v>Yes</v>
      </c>
      <c r="Q220">
        <f t="shared" si="28"/>
        <v>50.83</v>
      </c>
      <c r="R220">
        <f t="shared" si="29"/>
        <v>10.74</v>
      </c>
      <c r="S220">
        <f t="shared" si="30"/>
        <v>1.17</v>
      </c>
      <c r="T220" t="str">
        <f t="shared" si="31"/>
        <v>Delayed</v>
      </c>
      <c r="U220" t="str">
        <f t="shared" si="32"/>
        <v>High</v>
      </c>
      <c r="V220" t="str">
        <f t="shared" si="33"/>
        <v>High Risk</v>
      </c>
      <c r="W220" t="str">
        <f t="shared" si="34"/>
        <v>Oct</v>
      </c>
      <c r="X220">
        <f t="shared" si="35"/>
        <v>2025</v>
      </c>
    </row>
    <row r="221" spans="1:24" x14ac:dyDescent="0.35">
      <c r="A221" s="3">
        <v>45861</v>
      </c>
      <c r="B221" t="s">
        <v>300</v>
      </c>
      <c r="C221" t="s">
        <v>57</v>
      </c>
      <c r="D221" t="s">
        <v>362</v>
      </c>
      <c r="E221" t="s">
        <v>48</v>
      </c>
      <c r="F221" t="s">
        <v>55</v>
      </c>
      <c r="G221" t="s">
        <v>42</v>
      </c>
      <c r="H221">
        <v>60.4</v>
      </c>
      <c r="I221">
        <v>3821</v>
      </c>
      <c r="J221">
        <v>63</v>
      </c>
      <c r="K221">
        <v>21.5</v>
      </c>
      <c r="L221" t="s">
        <v>78</v>
      </c>
      <c r="M221">
        <v>33007.69</v>
      </c>
      <c r="N221">
        <v>23944</v>
      </c>
      <c r="O221" t="s">
        <v>36</v>
      </c>
      <c r="P221" t="str">
        <f t="shared" si="27"/>
        <v>No</v>
      </c>
      <c r="Q221">
        <f t="shared" si="28"/>
        <v>63.26</v>
      </c>
      <c r="R221">
        <f t="shared" si="29"/>
        <v>8.64</v>
      </c>
      <c r="S221">
        <f t="shared" si="30"/>
        <v>1.38</v>
      </c>
      <c r="T221" t="str">
        <f t="shared" si="31"/>
        <v>On Time</v>
      </c>
      <c r="U221" t="str">
        <f t="shared" si="32"/>
        <v>High</v>
      </c>
      <c r="V221" t="str">
        <f t="shared" si="33"/>
        <v>Low Risk</v>
      </c>
      <c r="W221" t="str">
        <f t="shared" si="34"/>
        <v>Jul</v>
      </c>
      <c r="X221">
        <f t="shared" si="35"/>
        <v>2025</v>
      </c>
    </row>
    <row r="222" spans="1:24" x14ac:dyDescent="0.35">
      <c r="A222" s="3">
        <v>45978</v>
      </c>
      <c r="B222" t="s">
        <v>210</v>
      </c>
      <c r="C222" t="s">
        <v>25</v>
      </c>
      <c r="D222" t="s">
        <v>363</v>
      </c>
      <c r="E222" t="s">
        <v>27</v>
      </c>
      <c r="F222" t="s">
        <v>41</v>
      </c>
      <c r="G222" t="s">
        <v>42</v>
      </c>
      <c r="H222">
        <v>63.3</v>
      </c>
      <c r="I222">
        <v>2644</v>
      </c>
      <c r="J222">
        <v>73</v>
      </c>
      <c r="K222">
        <v>17.100000000000001</v>
      </c>
      <c r="L222" t="s">
        <v>30</v>
      </c>
      <c r="M222">
        <v>37285.730000000003</v>
      </c>
      <c r="N222">
        <v>10330</v>
      </c>
      <c r="O222" t="s">
        <v>44</v>
      </c>
      <c r="P222" t="str">
        <f t="shared" si="27"/>
        <v>Yes</v>
      </c>
      <c r="Q222">
        <f t="shared" si="28"/>
        <v>41.77</v>
      </c>
      <c r="R222">
        <f t="shared" si="29"/>
        <v>14.1</v>
      </c>
      <c r="S222">
        <f t="shared" si="30"/>
        <v>3.61</v>
      </c>
      <c r="T222" t="str">
        <f t="shared" si="31"/>
        <v>Delayed</v>
      </c>
      <c r="U222" t="str">
        <f t="shared" si="32"/>
        <v>High</v>
      </c>
      <c r="V222" t="str">
        <f t="shared" si="33"/>
        <v>Medium Risk</v>
      </c>
      <c r="W222" t="str">
        <f t="shared" si="34"/>
        <v>Nov</v>
      </c>
      <c r="X222">
        <f t="shared" si="35"/>
        <v>2025</v>
      </c>
    </row>
    <row r="223" spans="1:24" x14ac:dyDescent="0.35">
      <c r="A223" s="3">
        <v>45859</v>
      </c>
      <c r="B223" t="s">
        <v>193</v>
      </c>
      <c r="C223" t="s">
        <v>39</v>
      </c>
      <c r="D223" t="s">
        <v>364</v>
      </c>
      <c r="E223" t="s">
        <v>63</v>
      </c>
      <c r="F223" t="s">
        <v>54</v>
      </c>
      <c r="G223" t="s">
        <v>35</v>
      </c>
      <c r="H223">
        <v>22.7</v>
      </c>
      <c r="I223">
        <v>2881</v>
      </c>
      <c r="J223">
        <v>90</v>
      </c>
      <c r="K223">
        <v>12.4</v>
      </c>
      <c r="L223" t="s">
        <v>43</v>
      </c>
      <c r="M223">
        <v>14995.31</v>
      </c>
      <c r="N223">
        <v>9594</v>
      </c>
      <c r="O223" t="s">
        <v>50</v>
      </c>
      <c r="P223" t="str">
        <f t="shared" si="27"/>
        <v>Yes</v>
      </c>
      <c r="Q223">
        <f t="shared" si="28"/>
        <v>126.92</v>
      </c>
      <c r="R223">
        <f t="shared" si="29"/>
        <v>5.2</v>
      </c>
      <c r="S223">
        <f t="shared" si="30"/>
        <v>1.56</v>
      </c>
      <c r="T223" t="str">
        <f t="shared" si="31"/>
        <v>Delayed</v>
      </c>
      <c r="U223" t="str">
        <f t="shared" si="32"/>
        <v>Low</v>
      </c>
      <c r="V223" t="str">
        <f t="shared" si="33"/>
        <v>Low Risk</v>
      </c>
      <c r="W223" t="str">
        <f t="shared" si="34"/>
        <v>Jul</v>
      </c>
      <c r="X223">
        <f t="shared" si="35"/>
        <v>2025</v>
      </c>
    </row>
    <row r="224" spans="1:24" x14ac:dyDescent="0.35">
      <c r="A224" s="3">
        <v>45907</v>
      </c>
      <c r="B224" t="s">
        <v>203</v>
      </c>
      <c r="C224" t="s">
        <v>57</v>
      </c>
      <c r="D224" t="s">
        <v>365</v>
      </c>
      <c r="E224" t="s">
        <v>28</v>
      </c>
      <c r="F224" t="s">
        <v>48</v>
      </c>
      <c r="G224" t="s">
        <v>29</v>
      </c>
      <c r="H224">
        <v>51.5</v>
      </c>
      <c r="I224">
        <v>3925</v>
      </c>
      <c r="J224">
        <v>32</v>
      </c>
      <c r="K224">
        <v>12.2</v>
      </c>
      <c r="L224" t="s">
        <v>43</v>
      </c>
      <c r="M224">
        <v>28152.080000000002</v>
      </c>
      <c r="N224">
        <v>13755</v>
      </c>
      <c r="O224" t="s">
        <v>59</v>
      </c>
      <c r="P224" t="str">
        <f t="shared" si="27"/>
        <v>Yes</v>
      </c>
      <c r="Q224">
        <f t="shared" si="28"/>
        <v>76.209999999999994</v>
      </c>
      <c r="R224">
        <f t="shared" si="29"/>
        <v>7.17</v>
      </c>
      <c r="S224">
        <f t="shared" si="30"/>
        <v>2.0499999999999998</v>
      </c>
      <c r="T224" t="str">
        <f t="shared" si="31"/>
        <v>Delayed</v>
      </c>
      <c r="U224" t="str">
        <f t="shared" si="32"/>
        <v>Medium</v>
      </c>
      <c r="V224" t="str">
        <f t="shared" si="33"/>
        <v>Low Risk</v>
      </c>
      <c r="W224" t="str">
        <f t="shared" si="34"/>
        <v>Sep</v>
      </c>
      <c r="X224">
        <f t="shared" si="35"/>
        <v>2025</v>
      </c>
    </row>
    <row r="225" spans="1:24" x14ac:dyDescent="0.35">
      <c r="A225" s="3">
        <v>45752</v>
      </c>
      <c r="B225" t="s">
        <v>366</v>
      </c>
      <c r="C225" t="s">
        <v>95</v>
      </c>
      <c r="D225" t="s">
        <v>367</v>
      </c>
      <c r="E225" t="s">
        <v>63</v>
      </c>
      <c r="F225" t="s">
        <v>54</v>
      </c>
      <c r="G225" t="s">
        <v>42</v>
      </c>
      <c r="H225">
        <v>49.1</v>
      </c>
      <c r="I225">
        <v>2229</v>
      </c>
      <c r="J225">
        <v>113</v>
      </c>
      <c r="K225">
        <v>20.3</v>
      </c>
      <c r="L225" t="s">
        <v>49</v>
      </c>
      <c r="M225">
        <v>29711.41</v>
      </c>
      <c r="N225">
        <v>15864</v>
      </c>
      <c r="O225" t="s">
        <v>50</v>
      </c>
      <c r="P225" t="str">
        <f t="shared" si="27"/>
        <v>Yes</v>
      </c>
      <c r="Q225">
        <f t="shared" si="28"/>
        <v>45.4</v>
      </c>
      <c r="R225">
        <f t="shared" si="29"/>
        <v>13.33</v>
      </c>
      <c r="S225">
        <f t="shared" si="30"/>
        <v>1.87</v>
      </c>
      <c r="T225" t="str">
        <f t="shared" si="31"/>
        <v>Delayed</v>
      </c>
      <c r="U225" t="str">
        <f t="shared" si="32"/>
        <v>Medium</v>
      </c>
      <c r="V225" t="str">
        <f t="shared" si="33"/>
        <v>High Risk</v>
      </c>
      <c r="W225" t="str">
        <f t="shared" si="34"/>
        <v>Apr</v>
      </c>
      <c r="X225">
        <f t="shared" si="35"/>
        <v>2025</v>
      </c>
    </row>
    <row r="226" spans="1:24" x14ac:dyDescent="0.35">
      <c r="A226" s="3">
        <v>45868</v>
      </c>
      <c r="B226" t="s">
        <v>368</v>
      </c>
      <c r="C226" t="s">
        <v>25</v>
      </c>
      <c r="D226" t="s">
        <v>369</v>
      </c>
      <c r="E226" t="s">
        <v>48</v>
      </c>
      <c r="F226" t="s">
        <v>27</v>
      </c>
      <c r="G226" t="s">
        <v>42</v>
      </c>
      <c r="H226">
        <v>37.6</v>
      </c>
      <c r="I226">
        <v>1336</v>
      </c>
      <c r="J226">
        <v>96</v>
      </c>
      <c r="K226">
        <v>14.8</v>
      </c>
      <c r="L226" t="s">
        <v>78</v>
      </c>
      <c r="M226">
        <v>20128.099999999999</v>
      </c>
      <c r="N226">
        <v>11880</v>
      </c>
      <c r="O226" t="s">
        <v>91</v>
      </c>
      <c r="P226" t="str">
        <f t="shared" si="27"/>
        <v>No</v>
      </c>
      <c r="Q226">
        <f t="shared" si="28"/>
        <v>35.53</v>
      </c>
      <c r="R226">
        <f t="shared" si="29"/>
        <v>15.07</v>
      </c>
      <c r="S226">
        <f t="shared" si="30"/>
        <v>1.69</v>
      </c>
      <c r="T226" t="str">
        <f t="shared" si="31"/>
        <v>On Time</v>
      </c>
      <c r="U226" t="str">
        <f t="shared" si="32"/>
        <v>Low</v>
      </c>
      <c r="V226" t="str">
        <f t="shared" si="33"/>
        <v>Low Risk</v>
      </c>
      <c r="W226" t="str">
        <f t="shared" si="34"/>
        <v>Jul</v>
      </c>
      <c r="X226">
        <f t="shared" si="35"/>
        <v>2025</v>
      </c>
    </row>
    <row r="227" spans="1:24" x14ac:dyDescent="0.35">
      <c r="A227" s="3">
        <v>45810</v>
      </c>
      <c r="B227" t="s">
        <v>82</v>
      </c>
      <c r="C227" t="s">
        <v>69</v>
      </c>
      <c r="D227" t="s">
        <v>370</v>
      </c>
      <c r="E227" t="s">
        <v>28</v>
      </c>
      <c r="F227" t="s">
        <v>27</v>
      </c>
      <c r="G227" t="s">
        <v>42</v>
      </c>
      <c r="H227">
        <v>61.5</v>
      </c>
      <c r="I227">
        <v>1165</v>
      </c>
      <c r="J227">
        <v>44</v>
      </c>
      <c r="K227">
        <v>15.9</v>
      </c>
      <c r="L227" t="s">
        <v>30</v>
      </c>
      <c r="M227">
        <v>28420.48</v>
      </c>
      <c r="N227">
        <v>8950</v>
      </c>
      <c r="O227" t="s">
        <v>44</v>
      </c>
      <c r="P227" t="str">
        <f t="shared" si="27"/>
        <v>Yes</v>
      </c>
      <c r="Q227">
        <f t="shared" si="28"/>
        <v>18.940000000000001</v>
      </c>
      <c r="R227">
        <f t="shared" si="29"/>
        <v>24.4</v>
      </c>
      <c r="S227">
        <f t="shared" si="30"/>
        <v>3.18</v>
      </c>
      <c r="T227" t="str">
        <f t="shared" si="31"/>
        <v>Delayed</v>
      </c>
      <c r="U227" t="str">
        <f t="shared" si="32"/>
        <v>High</v>
      </c>
      <c r="V227" t="str">
        <f t="shared" si="33"/>
        <v>Medium Risk</v>
      </c>
      <c r="W227" t="str">
        <f t="shared" si="34"/>
        <v>Jun</v>
      </c>
      <c r="X227">
        <f t="shared" si="35"/>
        <v>2025</v>
      </c>
    </row>
    <row r="228" spans="1:24" x14ac:dyDescent="0.35">
      <c r="A228" s="3">
        <v>45834</v>
      </c>
      <c r="B228" t="s">
        <v>152</v>
      </c>
      <c r="C228" t="s">
        <v>57</v>
      </c>
      <c r="D228" t="s">
        <v>371</v>
      </c>
      <c r="E228" t="s">
        <v>54</v>
      </c>
      <c r="F228" t="s">
        <v>27</v>
      </c>
      <c r="G228" t="s">
        <v>71</v>
      </c>
      <c r="H228">
        <v>26.8</v>
      </c>
      <c r="I228">
        <v>749</v>
      </c>
      <c r="J228">
        <v>108</v>
      </c>
      <c r="K228">
        <v>11.1</v>
      </c>
      <c r="L228" t="s">
        <v>30</v>
      </c>
      <c r="M228">
        <v>13495.94</v>
      </c>
      <c r="N228">
        <v>21460</v>
      </c>
      <c r="O228" t="s">
        <v>67</v>
      </c>
      <c r="P228" t="str">
        <f t="shared" si="27"/>
        <v>Yes</v>
      </c>
      <c r="Q228">
        <f t="shared" si="28"/>
        <v>27.95</v>
      </c>
      <c r="R228">
        <f t="shared" si="29"/>
        <v>18.02</v>
      </c>
      <c r="S228">
        <f t="shared" si="30"/>
        <v>0.63</v>
      </c>
      <c r="T228" t="str">
        <f t="shared" si="31"/>
        <v>Delayed</v>
      </c>
      <c r="U228" t="str">
        <f t="shared" si="32"/>
        <v>Low</v>
      </c>
      <c r="V228" t="str">
        <f t="shared" si="33"/>
        <v>Medium Risk</v>
      </c>
      <c r="W228" t="str">
        <f t="shared" si="34"/>
        <v>Jun</v>
      </c>
      <c r="X228">
        <f t="shared" si="35"/>
        <v>2025</v>
      </c>
    </row>
    <row r="229" spans="1:24" x14ac:dyDescent="0.35">
      <c r="A229" s="3">
        <v>45949</v>
      </c>
      <c r="B229" t="s">
        <v>233</v>
      </c>
      <c r="C229" t="s">
        <v>95</v>
      </c>
      <c r="D229" t="s">
        <v>372</v>
      </c>
      <c r="E229" t="s">
        <v>54</v>
      </c>
      <c r="F229" t="s">
        <v>63</v>
      </c>
      <c r="G229" t="s">
        <v>71</v>
      </c>
      <c r="H229">
        <v>44</v>
      </c>
      <c r="I229">
        <v>4477</v>
      </c>
      <c r="J229">
        <v>46</v>
      </c>
      <c r="K229">
        <v>15.1</v>
      </c>
      <c r="L229" t="s">
        <v>43</v>
      </c>
      <c r="M229">
        <v>28935.7</v>
      </c>
      <c r="N229">
        <v>20687</v>
      </c>
      <c r="O229" t="s">
        <v>50</v>
      </c>
      <c r="P229" t="str">
        <f t="shared" si="27"/>
        <v>Yes</v>
      </c>
      <c r="Q229">
        <f t="shared" si="28"/>
        <v>101.75</v>
      </c>
      <c r="R229">
        <f t="shared" si="29"/>
        <v>6.46</v>
      </c>
      <c r="S229">
        <f t="shared" si="30"/>
        <v>1.4</v>
      </c>
      <c r="T229" t="str">
        <f t="shared" si="31"/>
        <v>Delayed</v>
      </c>
      <c r="U229" t="str">
        <f t="shared" si="32"/>
        <v>Medium</v>
      </c>
      <c r="V229" t="str">
        <f t="shared" si="33"/>
        <v>Low Risk</v>
      </c>
      <c r="W229" t="str">
        <f t="shared" si="34"/>
        <v>Oct</v>
      </c>
      <c r="X229">
        <f t="shared" si="35"/>
        <v>2025</v>
      </c>
    </row>
    <row r="230" spans="1:24" x14ac:dyDescent="0.35">
      <c r="A230" s="3">
        <v>45748</v>
      </c>
      <c r="B230" t="s">
        <v>217</v>
      </c>
      <c r="C230" t="s">
        <v>130</v>
      </c>
      <c r="D230" t="s">
        <v>373</v>
      </c>
      <c r="E230" t="s">
        <v>48</v>
      </c>
      <c r="F230" t="s">
        <v>55</v>
      </c>
      <c r="G230" t="s">
        <v>71</v>
      </c>
      <c r="H230">
        <v>53.8</v>
      </c>
      <c r="I230">
        <v>615</v>
      </c>
      <c r="J230">
        <v>108</v>
      </c>
      <c r="K230">
        <v>13.6</v>
      </c>
      <c r="L230" t="s">
        <v>30</v>
      </c>
      <c r="M230">
        <v>36847.370000000003</v>
      </c>
      <c r="N230">
        <v>14415</v>
      </c>
      <c r="O230" t="s">
        <v>67</v>
      </c>
      <c r="P230" t="str">
        <f t="shared" si="27"/>
        <v>Yes</v>
      </c>
      <c r="Q230">
        <f t="shared" si="28"/>
        <v>11.43</v>
      </c>
      <c r="R230">
        <f t="shared" si="29"/>
        <v>59.91</v>
      </c>
      <c r="S230">
        <f t="shared" si="30"/>
        <v>2.56</v>
      </c>
      <c r="T230" t="str">
        <f t="shared" si="31"/>
        <v>Delayed</v>
      </c>
      <c r="U230" t="str">
        <f t="shared" si="32"/>
        <v>Medium</v>
      </c>
      <c r="V230" t="str">
        <f t="shared" si="33"/>
        <v>Medium Risk</v>
      </c>
      <c r="W230" t="str">
        <f t="shared" si="34"/>
        <v>Apr</v>
      </c>
      <c r="X230">
        <f t="shared" si="35"/>
        <v>2025</v>
      </c>
    </row>
    <row r="231" spans="1:24" x14ac:dyDescent="0.35">
      <c r="A231" s="3">
        <v>45789</v>
      </c>
      <c r="B231" t="s">
        <v>76</v>
      </c>
      <c r="C231" t="s">
        <v>57</v>
      </c>
      <c r="D231" t="s">
        <v>374</v>
      </c>
      <c r="E231" t="s">
        <v>54</v>
      </c>
      <c r="F231" t="s">
        <v>41</v>
      </c>
      <c r="G231" t="s">
        <v>42</v>
      </c>
      <c r="H231">
        <v>51.8</v>
      </c>
      <c r="I231">
        <v>2102</v>
      </c>
      <c r="J231">
        <v>42</v>
      </c>
      <c r="K231">
        <v>12</v>
      </c>
      <c r="L231" t="s">
        <v>43</v>
      </c>
      <c r="M231">
        <v>28243.34</v>
      </c>
      <c r="N231">
        <v>26922</v>
      </c>
      <c r="O231" t="s">
        <v>36</v>
      </c>
      <c r="P231" t="str">
        <f t="shared" si="27"/>
        <v>Yes</v>
      </c>
      <c r="Q231">
        <f t="shared" si="28"/>
        <v>40.58</v>
      </c>
      <c r="R231">
        <f t="shared" si="29"/>
        <v>13.44</v>
      </c>
      <c r="S231">
        <f t="shared" si="30"/>
        <v>1.05</v>
      </c>
      <c r="T231" t="str">
        <f t="shared" si="31"/>
        <v>Delayed</v>
      </c>
      <c r="U231" t="str">
        <f t="shared" si="32"/>
        <v>Medium</v>
      </c>
      <c r="V231" t="str">
        <f t="shared" si="33"/>
        <v>Low Risk</v>
      </c>
      <c r="W231" t="str">
        <f t="shared" si="34"/>
        <v>May</v>
      </c>
      <c r="X231">
        <f t="shared" si="35"/>
        <v>2025</v>
      </c>
    </row>
    <row r="232" spans="1:24" x14ac:dyDescent="0.35">
      <c r="A232" s="3">
        <v>45830</v>
      </c>
      <c r="B232" t="s">
        <v>100</v>
      </c>
      <c r="C232" t="s">
        <v>39</v>
      </c>
      <c r="D232" t="s">
        <v>375</v>
      </c>
      <c r="E232" t="s">
        <v>41</v>
      </c>
      <c r="F232" t="s">
        <v>63</v>
      </c>
      <c r="G232" t="s">
        <v>42</v>
      </c>
      <c r="H232">
        <v>66</v>
      </c>
      <c r="I232">
        <v>4044</v>
      </c>
      <c r="J232">
        <v>48</v>
      </c>
      <c r="K232">
        <v>13.1</v>
      </c>
      <c r="L232" t="s">
        <v>30</v>
      </c>
      <c r="M232">
        <v>41379.120000000003</v>
      </c>
      <c r="N232">
        <v>25934</v>
      </c>
      <c r="O232" t="s">
        <v>91</v>
      </c>
      <c r="P232" t="str">
        <f t="shared" si="27"/>
        <v>Yes</v>
      </c>
      <c r="Q232">
        <f t="shared" si="28"/>
        <v>61.27</v>
      </c>
      <c r="R232">
        <f t="shared" si="29"/>
        <v>10.23</v>
      </c>
      <c r="S232">
        <f t="shared" si="30"/>
        <v>1.6</v>
      </c>
      <c r="T232" t="str">
        <f t="shared" si="31"/>
        <v>Delayed</v>
      </c>
      <c r="U232" t="str">
        <f t="shared" si="32"/>
        <v>High</v>
      </c>
      <c r="V232" t="str">
        <f t="shared" si="33"/>
        <v>Medium Risk</v>
      </c>
      <c r="W232" t="str">
        <f t="shared" si="34"/>
        <v>Jun</v>
      </c>
      <c r="X232">
        <f t="shared" si="35"/>
        <v>2025</v>
      </c>
    </row>
    <row r="233" spans="1:24" x14ac:dyDescent="0.35">
      <c r="A233" s="3">
        <v>45832</v>
      </c>
      <c r="B233" t="s">
        <v>64</v>
      </c>
      <c r="C233" t="s">
        <v>39</v>
      </c>
      <c r="D233" t="s">
        <v>376</v>
      </c>
      <c r="E233" t="s">
        <v>48</v>
      </c>
      <c r="F233" t="s">
        <v>63</v>
      </c>
      <c r="G233" t="s">
        <v>29</v>
      </c>
      <c r="H233">
        <v>48</v>
      </c>
      <c r="I233">
        <v>2141</v>
      </c>
      <c r="J233">
        <v>32</v>
      </c>
      <c r="K233">
        <v>13.2</v>
      </c>
      <c r="L233" t="s">
        <v>30</v>
      </c>
      <c r="M233">
        <v>29689.06</v>
      </c>
      <c r="N233">
        <v>26355</v>
      </c>
      <c r="O233" t="s">
        <v>31</v>
      </c>
      <c r="P233" t="str">
        <f t="shared" si="27"/>
        <v>Yes</v>
      </c>
      <c r="Q233">
        <f t="shared" si="28"/>
        <v>44.6</v>
      </c>
      <c r="R233">
        <f t="shared" si="29"/>
        <v>13.87</v>
      </c>
      <c r="S233">
        <f t="shared" si="30"/>
        <v>1.1299999999999999</v>
      </c>
      <c r="T233" t="str">
        <f t="shared" si="31"/>
        <v>Delayed</v>
      </c>
      <c r="U233" t="str">
        <f t="shared" si="32"/>
        <v>Medium</v>
      </c>
      <c r="V233" t="str">
        <f t="shared" si="33"/>
        <v>Medium Risk</v>
      </c>
      <c r="W233" t="str">
        <f t="shared" si="34"/>
        <v>Jun</v>
      </c>
      <c r="X233">
        <f t="shared" si="35"/>
        <v>2025</v>
      </c>
    </row>
    <row r="234" spans="1:24" x14ac:dyDescent="0.35">
      <c r="A234" s="3">
        <v>45973</v>
      </c>
      <c r="B234" t="s">
        <v>120</v>
      </c>
      <c r="C234" t="s">
        <v>109</v>
      </c>
      <c r="D234" t="s">
        <v>377</v>
      </c>
      <c r="E234" t="s">
        <v>63</v>
      </c>
      <c r="F234" t="s">
        <v>28</v>
      </c>
      <c r="G234" t="s">
        <v>42</v>
      </c>
      <c r="H234">
        <v>68.400000000000006</v>
      </c>
      <c r="I234">
        <v>1118</v>
      </c>
      <c r="J234">
        <v>37</v>
      </c>
      <c r="K234">
        <v>10.8</v>
      </c>
      <c r="L234" t="s">
        <v>30</v>
      </c>
      <c r="M234">
        <v>35868.07</v>
      </c>
      <c r="N234">
        <v>24373</v>
      </c>
      <c r="O234" t="s">
        <v>50</v>
      </c>
      <c r="P234" t="str">
        <f t="shared" si="27"/>
        <v>Yes</v>
      </c>
      <c r="Q234">
        <f t="shared" si="28"/>
        <v>16.350000000000001</v>
      </c>
      <c r="R234">
        <f t="shared" si="29"/>
        <v>32.08</v>
      </c>
      <c r="S234">
        <f t="shared" si="30"/>
        <v>1.47</v>
      </c>
      <c r="T234" t="str">
        <f t="shared" si="31"/>
        <v>Delayed</v>
      </c>
      <c r="U234" t="str">
        <f t="shared" si="32"/>
        <v>High</v>
      </c>
      <c r="V234" t="str">
        <f t="shared" si="33"/>
        <v>Medium Risk</v>
      </c>
      <c r="W234" t="str">
        <f t="shared" si="34"/>
        <v>Nov</v>
      </c>
      <c r="X234">
        <f t="shared" si="35"/>
        <v>2025</v>
      </c>
    </row>
    <row r="235" spans="1:24" x14ac:dyDescent="0.35">
      <c r="A235" s="3">
        <v>45909</v>
      </c>
      <c r="B235" t="s">
        <v>236</v>
      </c>
      <c r="C235" t="s">
        <v>95</v>
      </c>
      <c r="D235" t="s">
        <v>378</v>
      </c>
      <c r="E235" t="s">
        <v>48</v>
      </c>
      <c r="F235" t="s">
        <v>41</v>
      </c>
      <c r="G235" t="s">
        <v>35</v>
      </c>
      <c r="H235">
        <v>44.3</v>
      </c>
      <c r="I235">
        <v>1423</v>
      </c>
      <c r="J235">
        <v>84</v>
      </c>
      <c r="K235">
        <v>17.5</v>
      </c>
      <c r="L235" t="s">
        <v>49</v>
      </c>
      <c r="M235">
        <v>24848.73</v>
      </c>
      <c r="N235">
        <v>28286</v>
      </c>
      <c r="O235" t="s">
        <v>31</v>
      </c>
      <c r="P235" t="str">
        <f t="shared" si="27"/>
        <v>Yes</v>
      </c>
      <c r="Q235">
        <f t="shared" si="28"/>
        <v>32.119999999999997</v>
      </c>
      <c r="R235">
        <f t="shared" si="29"/>
        <v>17.46</v>
      </c>
      <c r="S235">
        <f t="shared" si="30"/>
        <v>0.88</v>
      </c>
      <c r="T235" t="str">
        <f t="shared" si="31"/>
        <v>Delayed</v>
      </c>
      <c r="U235" t="str">
        <f t="shared" si="32"/>
        <v>Medium</v>
      </c>
      <c r="V235" t="str">
        <f t="shared" si="33"/>
        <v>High Risk</v>
      </c>
      <c r="W235" t="str">
        <f t="shared" si="34"/>
        <v>Sep</v>
      </c>
      <c r="X235">
        <f t="shared" si="35"/>
        <v>2025</v>
      </c>
    </row>
    <row r="236" spans="1:24" x14ac:dyDescent="0.35">
      <c r="A236" s="3">
        <v>45994</v>
      </c>
      <c r="B236" t="s">
        <v>244</v>
      </c>
      <c r="C236" t="s">
        <v>95</v>
      </c>
      <c r="D236" t="s">
        <v>379</v>
      </c>
      <c r="E236" t="s">
        <v>63</v>
      </c>
      <c r="F236" t="s">
        <v>48</v>
      </c>
      <c r="G236" t="s">
        <v>71</v>
      </c>
      <c r="H236">
        <v>48.2</v>
      </c>
      <c r="I236">
        <v>3942</v>
      </c>
      <c r="J236">
        <v>37</v>
      </c>
      <c r="K236">
        <v>18.8</v>
      </c>
      <c r="L236" t="s">
        <v>43</v>
      </c>
      <c r="M236">
        <v>27159.34</v>
      </c>
      <c r="N236">
        <v>23960</v>
      </c>
      <c r="O236" t="s">
        <v>50</v>
      </c>
      <c r="P236" t="str">
        <f t="shared" si="27"/>
        <v>Yes</v>
      </c>
      <c r="Q236">
        <f t="shared" si="28"/>
        <v>81.78</v>
      </c>
      <c r="R236">
        <f t="shared" si="29"/>
        <v>6.89</v>
      </c>
      <c r="S236">
        <f t="shared" si="30"/>
        <v>1.1299999999999999</v>
      </c>
      <c r="T236" t="str">
        <f t="shared" si="31"/>
        <v>Delayed</v>
      </c>
      <c r="U236" t="str">
        <f t="shared" si="32"/>
        <v>Medium</v>
      </c>
      <c r="V236" t="str">
        <f t="shared" si="33"/>
        <v>Low Risk</v>
      </c>
      <c r="W236" t="str">
        <f t="shared" si="34"/>
        <v>Dec</v>
      </c>
      <c r="X236">
        <f t="shared" si="35"/>
        <v>2025</v>
      </c>
    </row>
    <row r="237" spans="1:24" x14ac:dyDescent="0.35">
      <c r="A237" s="3">
        <v>45710</v>
      </c>
      <c r="B237" t="s">
        <v>236</v>
      </c>
      <c r="C237" t="s">
        <v>95</v>
      </c>
      <c r="D237" t="s">
        <v>380</v>
      </c>
      <c r="E237" t="s">
        <v>66</v>
      </c>
      <c r="F237" t="s">
        <v>27</v>
      </c>
      <c r="G237" t="s">
        <v>35</v>
      </c>
      <c r="H237">
        <v>75.7</v>
      </c>
      <c r="I237">
        <v>3611</v>
      </c>
      <c r="J237">
        <v>88</v>
      </c>
      <c r="K237">
        <v>18.2</v>
      </c>
      <c r="L237" t="s">
        <v>78</v>
      </c>
      <c r="M237">
        <v>42661.48</v>
      </c>
      <c r="N237">
        <v>9966</v>
      </c>
      <c r="O237" t="s">
        <v>67</v>
      </c>
      <c r="P237" t="str">
        <f t="shared" si="27"/>
        <v>No</v>
      </c>
      <c r="Q237">
        <f t="shared" si="28"/>
        <v>47.7</v>
      </c>
      <c r="R237">
        <f t="shared" si="29"/>
        <v>11.81</v>
      </c>
      <c r="S237">
        <f t="shared" si="30"/>
        <v>4.28</v>
      </c>
      <c r="T237" t="str">
        <f t="shared" si="31"/>
        <v>On Time</v>
      </c>
      <c r="U237" t="str">
        <f t="shared" si="32"/>
        <v>High</v>
      </c>
      <c r="V237" t="str">
        <f t="shared" si="33"/>
        <v>Low Risk</v>
      </c>
      <c r="W237" t="str">
        <f t="shared" si="34"/>
        <v>Feb</v>
      </c>
      <c r="X237">
        <f t="shared" si="35"/>
        <v>2025</v>
      </c>
    </row>
    <row r="238" spans="1:24" x14ac:dyDescent="0.35">
      <c r="A238" s="3">
        <v>45791</v>
      </c>
      <c r="B238" t="s">
        <v>61</v>
      </c>
      <c r="C238" t="s">
        <v>25</v>
      </c>
      <c r="D238" t="s">
        <v>381</v>
      </c>
      <c r="E238" t="s">
        <v>63</v>
      </c>
      <c r="F238" t="s">
        <v>27</v>
      </c>
      <c r="G238" t="s">
        <v>35</v>
      </c>
      <c r="H238">
        <v>76.8</v>
      </c>
      <c r="I238">
        <v>3063</v>
      </c>
      <c r="J238">
        <v>100</v>
      </c>
      <c r="K238">
        <v>20</v>
      </c>
      <c r="L238" t="s">
        <v>43</v>
      </c>
      <c r="M238">
        <v>37444.26</v>
      </c>
      <c r="N238">
        <v>11898</v>
      </c>
      <c r="O238" t="s">
        <v>91</v>
      </c>
      <c r="P238" t="str">
        <f t="shared" si="27"/>
        <v>Yes</v>
      </c>
      <c r="Q238">
        <f t="shared" si="28"/>
        <v>39.880000000000003</v>
      </c>
      <c r="R238">
        <f t="shared" si="29"/>
        <v>12.22</v>
      </c>
      <c r="S238">
        <f t="shared" si="30"/>
        <v>3.15</v>
      </c>
      <c r="T238" t="str">
        <f t="shared" si="31"/>
        <v>Delayed</v>
      </c>
      <c r="U238" t="str">
        <f t="shared" si="32"/>
        <v>High</v>
      </c>
      <c r="V238" t="str">
        <f t="shared" si="33"/>
        <v>Low Risk</v>
      </c>
      <c r="W238" t="str">
        <f t="shared" si="34"/>
        <v>May</v>
      </c>
      <c r="X238">
        <f t="shared" si="35"/>
        <v>2025</v>
      </c>
    </row>
    <row r="239" spans="1:24" x14ac:dyDescent="0.35">
      <c r="A239" s="3">
        <v>45938</v>
      </c>
      <c r="B239" t="s">
        <v>167</v>
      </c>
      <c r="C239" t="s">
        <v>109</v>
      </c>
      <c r="D239" t="s">
        <v>382</v>
      </c>
      <c r="E239" t="s">
        <v>28</v>
      </c>
      <c r="F239" t="s">
        <v>41</v>
      </c>
      <c r="G239" t="s">
        <v>35</v>
      </c>
      <c r="H239">
        <v>59.8</v>
      </c>
      <c r="I239">
        <v>775</v>
      </c>
      <c r="J239">
        <v>38</v>
      </c>
      <c r="K239">
        <v>10.4</v>
      </c>
      <c r="L239" t="s">
        <v>49</v>
      </c>
      <c r="M239">
        <v>30294.39</v>
      </c>
      <c r="N239">
        <v>28766</v>
      </c>
      <c r="O239" t="s">
        <v>36</v>
      </c>
      <c r="P239" t="str">
        <f t="shared" si="27"/>
        <v>Yes</v>
      </c>
      <c r="Q239">
        <f t="shared" si="28"/>
        <v>12.96</v>
      </c>
      <c r="R239">
        <f t="shared" si="29"/>
        <v>39.090000000000003</v>
      </c>
      <c r="S239">
        <f t="shared" si="30"/>
        <v>1.05</v>
      </c>
      <c r="T239" t="str">
        <f t="shared" si="31"/>
        <v>Delayed</v>
      </c>
      <c r="U239" t="str">
        <f t="shared" si="32"/>
        <v>Medium</v>
      </c>
      <c r="V239" t="str">
        <f t="shared" si="33"/>
        <v>High Risk</v>
      </c>
      <c r="W239" t="str">
        <f t="shared" si="34"/>
        <v>Oct</v>
      </c>
      <c r="X239">
        <f t="shared" si="35"/>
        <v>2025</v>
      </c>
    </row>
    <row r="240" spans="1:24" x14ac:dyDescent="0.35">
      <c r="A240" s="3">
        <v>45892</v>
      </c>
      <c r="B240" t="s">
        <v>56</v>
      </c>
      <c r="C240" t="s">
        <v>69</v>
      </c>
      <c r="D240" t="s">
        <v>383</v>
      </c>
      <c r="E240" t="s">
        <v>28</v>
      </c>
      <c r="F240" t="s">
        <v>55</v>
      </c>
      <c r="G240" t="s">
        <v>42</v>
      </c>
      <c r="H240">
        <v>29.2</v>
      </c>
      <c r="I240">
        <v>2116</v>
      </c>
      <c r="J240">
        <v>67</v>
      </c>
      <c r="K240">
        <v>20</v>
      </c>
      <c r="L240" t="s">
        <v>49</v>
      </c>
      <c r="M240">
        <v>20349.39</v>
      </c>
      <c r="N240">
        <v>7723</v>
      </c>
      <c r="O240" t="s">
        <v>36</v>
      </c>
      <c r="P240" t="str">
        <f t="shared" si="27"/>
        <v>Yes</v>
      </c>
      <c r="Q240">
        <f t="shared" si="28"/>
        <v>72.47</v>
      </c>
      <c r="R240">
        <f t="shared" si="29"/>
        <v>9.6199999999999992</v>
      </c>
      <c r="S240">
        <f t="shared" si="30"/>
        <v>2.63</v>
      </c>
      <c r="T240" t="str">
        <f t="shared" si="31"/>
        <v>Delayed</v>
      </c>
      <c r="U240" t="str">
        <f t="shared" si="32"/>
        <v>Low</v>
      </c>
      <c r="V240" t="str">
        <f t="shared" si="33"/>
        <v>High Risk</v>
      </c>
      <c r="W240" t="str">
        <f t="shared" si="34"/>
        <v>Aug</v>
      </c>
      <c r="X240">
        <f t="shared" si="35"/>
        <v>2025</v>
      </c>
    </row>
    <row r="241" spans="1:24" x14ac:dyDescent="0.35">
      <c r="A241" s="3">
        <v>45935</v>
      </c>
      <c r="B241" t="s">
        <v>223</v>
      </c>
      <c r="C241" t="s">
        <v>95</v>
      </c>
      <c r="D241" t="s">
        <v>384</v>
      </c>
      <c r="E241" t="s">
        <v>54</v>
      </c>
      <c r="F241" t="s">
        <v>28</v>
      </c>
      <c r="G241" t="s">
        <v>29</v>
      </c>
      <c r="H241">
        <v>54.7</v>
      </c>
      <c r="I241">
        <v>4108</v>
      </c>
      <c r="J241">
        <v>42</v>
      </c>
      <c r="K241">
        <v>16.2</v>
      </c>
      <c r="L241" t="s">
        <v>30</v>
      </c>
      <c r="M241">
        <v>27662.92</v>
      </c>
      <c r="N241">
        <v>8887</v>
      </c>
      <c r="O241" t="s">
        <v>50</v>
      </c>
      <c r="P241" t="str">
        <f t="shared" si="27"/>
        <v>Yes</v>
      </c>
      <c r="Q241">
        <f t="shared" si="28"/>
        <v>75.099999999999994</v>
      </c>
      <c r="R241">
        <f t="shared" si="29"/>
        <v>6.73</v>
      </c>
      <c r="S241">
        <f t="shared" si="30"/>
        <v>3.11</v>
      </c>
      <c r="T241" t="str">
        <f t="shared" si="31"/>
        <v>Delayed</v>
      </c>
      <c r="U241" t="str">
        <f t="shared" si="32"/>
        <v>Medium</v>
      </c>
      <c r="V241" t="str">
        <f t="shared" si="33"/>
        <v>Medium Risk</v>
      </c>
      <c r="W241" t="str">
        <f t="shared" si="34"/>
        <v>Oct</v>
      </c>
      <c r="X241">
        <f t="shared" si="35"/>
        <v>2025</v>
      </c>
    </row>
    <row r="242" spans="1:24" x14ac:dyDescent="0.35">
      <c r="A242" s="3">
        <v>45986</v>
      </c>
      <c r="B242" t="s">
        <v>309</v>
      </c>
      <c r="C242" t="s">
        <v>130</v>
      </c>
      <c r="D242" t="s">
        <v>385</v>
      </c>
      <c r="E242" t="s">
        <v>55</v>
      </c>
      <c r="F242" t="s">
        <v>28</v>
      </c>
      <c r="G242" t="s">
        <v>71</v>
      </c>
      <c r="H242">
        <v>30.1</v>
      </c>
      <c r="I242">
        <v>1242</v>
      </c>
      <c r="J242">
        <v>51</v>
      </c>
      <c r="K242">
        <v>12.5</v>
      </c>
      <c r="L242" t="s">
        <v>30</v>
      </c>
      <c r="M242">
        <v>15019.67</v>
      </c>
      <c r="N242">
        <v>18380</v>
      </c>
      <c r="O242" t="s">
        <v>91</v>
      </c>
      <c r="P242" t="str">
        <f t="shared" si="27"/>
        <v>Yes</v>
      </c>
      <c r="Q242">
        <f t="shared" si="28"/>
        <v>41.26</v>
      </c>
      <c r="R242">
        <f t="shared" si="29"/>
        <v>12.09</v>
      </c>
      <c r="S242">
        <f t="shared" si="30"/>
        <v>0.82</v>
      </c>
      <c r="T242" t="str">
        <f t="shared" si="31"/>
        <v>Delayed</v>
      </c>
      <c r="U242" t="str">
        <f t="shared" si="32"/>
        <v>Low</v>
      </c>
      <c r="V242" t="str">
        <f t="shared" si="33"/>
        <v>Medium Risk</v>
      </c>
      <c r="W242" t="str">
        <f t="shared" si="34"/>
        <v>Nov</v>
      </c>
      <c r="X242">
        <f t="shared" si="35"/>
        <v>2025</v>
      </c>
    </row>
    <row r="243" spans="1:24" x14ac:dyDescent="0.35">
      <c r="A243" s="3">
        <v>45798</v>
      </c>
      <c r="B243" t="s">
        <v>309</v>
      </c>
      <c r="C243" t="s">
        <v>69</v>
      </c>
      <c r="D243" t="s">
        <v>386</v>
      </c>
      <c r="E243" t="s">
        <v>27</v>
      </c>
      <c r="F243" t="s">
        <v>28</v>
      </c>
      <c r="G243" t="s">
        <v>71</v>
      </c>
      <c r="H243">
        <v>53.2</v>
      </c>
      <c r="I243">
        <v>4833</v>
      </c>
      <c r="J243">
        <v>53</v>
      </c>
      <c r="K243">
        <v>18.5</v>
      </c>
      <c r="L243" t="s">
        <v>49</v>
      </c>
      <c r="M243">
        <v>29880.799999999999</v>
      </c>
      <c r="N243">
        <v>11486</v>
      </c>
      <c r="O243" t="s">
        <v>44</v>
      </c>
      <c r="P243" t="str">
        <f t="shared" si="27"/>
        <v>Yes</v>
      </c>
      <c r="Q243">
        <f t="shared" si="28"/>
        <v>90.85</v>
      </c>
      <c r="R243">
        <f t="shared" si="29"/>
        <v>6.18</v>
      </c>
      <c r="S243">
        <f t="shared" si="30"/>
        <v>2.6</v>
      </c>
      <c r="T243" t="str">
        <f t="shared" si="31"/>
        <v>Delayed</v>
      </c>
      <c r="U243" t="str">
        <f t="shared" si="32"/>
        <v>Medium</v>
      </c>
      <c r="V243" t="str">
        <f t="shared" si="33"/>
        <v>High Risk</v>
      </c>
      <c r="W243" t="str">
        <f t="shared" si="34"/>
        <v>May</v>
      </c>
      <c r="X243">
        <f t="shared" si="35"/>
        <v>2025</v>
      </c>
    </row>
    <row r="244" spans="1:24" x14ac:dyDescent="0.35">
      <c r="A244" s="3">
        <v>45673</v>
      </c>
      <c r="B244" t="s">
        <v>111</v>
      </c>
      <c r="C244" t="s">
        <v>109</v>
      </c>
      <c r="D244" t="s">
        <v>387</v>
      </c>
      <c r="E244" t="s">
        <v>63</v>
      </c>
      <c r="F244" t="s">
        <v>28</v>
      </c>
      <c r="G244" t="s">
        <v>42</v>
      </c>
      <c r="H244">
        <v>25.6</v>
      </c>
      <c r="I244">
        <v>3942</v>
      </c>
      <c r="J244">
        <v>55</v>
      </c>
      <c r="K244">
        <v>15.5</v>
      </c>
      <c r="L244" t="s">
        <v>49</v>
      </c>
      <c r="M244">
        <v>13450.61</v>
      </c>
      <c r="N244">
        <v>16529</v>
      </c>
      <c r="O244" t="s">
        <v>36</v>
      </c>
      <c r="P244" t="str">
        <f t="shared" si="27"/>
        <v>Yes</v>
      </c>
      <c r="Q244">
        <f t="shared" si="28"/>
        <v>153.97999999999999</v>
      </c>
      <c r="R244">
        <f t="shared" si="29"/>
        <v>3.41</v>
      </c>
      <c r="S244">
        <f t="shared" si="30"/>
        <v>0.81</v>
      </c>
      <c r="T244" t="str">
        <f t="shared" si="31"/>
        <v>Delayed</v>
      </c>
      <c r="U244" t="str">
        <f t="shared" si="32"/>
        <v>Low</v>
      </c>
      <c r="V244" t="str">
        <f t="shared" si="33"/>
        <v>High Risk</v>
      </c>
      <c r="W244" t="str">
        <f t="shared" si="34"/>
        <v>Jan</v>
      </c>
      <c r="X244">
        <f t="shared" si="35"/>
        <v>2025</v>
      </c>
    </row>
    <row r="245" spans="1:24" x14ac:dyDescent="0.35">
      <c r="A245" s="3">
        <v>45995</v>
      </c>
      <c r="B245" t="s">
        <v>148</v>
      </c>
      <c r="C245" t="s">
        <v>52</v>
      </c>
      <c r="D245" t="s">
        <v>388</v>
      </c>
      <c r="E245" t="s">
        <v>55</v>
      </c>
      <c r="F245" t="s">
        <v>28</v>
      </c>
      <c r="G245" t="s">
        <v>29</v>
      </c>
      <c r="H245">
        <v>39.4</v>
      </c>
      <c r="I245">
        <v>695</v>
      </c>
      <c r="J245">
        <v>78</v>
      </c>
      <c r="K245">
        <v>16.5</v>
      </c>
      <c r="L245" t="s">
        <v>49</v>
      </c>
      <c r="M245">
        <v>25263.46</v>
      </c>
      <c r="N245">
        <v>28188</v>
      </c>
      <c r="O245" t="s">
        <v>59</v>
      </c>
      <c r="P245" t="str">
        <f t="shared" si="27"/>
        <v>Yes</v>
      </c>
      <c r="Q245">
        <f t="shared" si="28"/>
        <v>17.64</v>
      </c>
      <c r="R245">
        <f t="shared" si="29"/>
        <v>36.35</v>
      </c>
      <c r="S245">
        <f t="shared" si="30"/>
        <v>0.9</v>
      </c>
      <c r="T245" t="str">
        <f t="shared" si="31"/>
        <v>Delayed</v>
      </c>
      <c r="U245" t="str">
        <f t="shared" si="32"/>
        <v>Low</v>
      </c>
      <c r="V245" t="str">
        <f t="shared" si="33"/>
        <v>High Risk</v>
      </c>
      <c r="W245" t="str">
        <f t="shared" si="34"/>
        <v>Dec</v>
      </c>
      <c r="X245">
        <f t="shared" si="35"/>
        <v>2025</v>
      </c>
    </row>
    <row r="246" spans="1:24" x14ac:dyDescent="0.35">
      <c r="A246" s="3">
        <v>45970</v>
      </c>
      <c r="B246" t="s">
        <v>349</v>
      </c>
      <c r="C246" t="s">
        <v>52</v>
      </c>
      <c r="D246" t="s">
        <v>389</v>
      </c>
      <c r="E246" t="s">
        <v>66</v>
      </c>
      <c r="F246" t="s">
        <v>41</v>
      </c>
      <c r="G246" t="s">
        <v>42</v>
      </c>
      <c r="H246">
        <v>32.299999999999997</v>
      </c>
      <c r="I246">
        <v>2686</v>
      </c>
      <c r="J246">
        <v>56</v>
      </c>
      <c r="K246">
        <v>13.9</v>
      </c>
      <c r="L246" t="s">
        <v>43</v>
      </c>
      <c r="M246">
        <v>15470.37</v>
      </c>
      <c r="N246">
        <v>5345</v>
      </c>
      <c r="O246" t="s">
        <v>84</v>
      </c>
      <c r="P246" t="str">
        <f t="shared" si="27"/>
        <v>Yes</v>
      </c>
      <c r="Q246">
        <f t="shared" si="28"/>
        <v>83.16</v>
      </c>
      <c r="R246">
        <f t="shared" si="29"/>
        <v>5.76</v>
      </c>
      <c r="S246">
        <f t="shared" si="30"/>
        <v>2.89</v>
      </c>
      <c r="T246" t="str">
        <f t="shared" si="31"/>
        <v>Delayed</v>
      </c>
      <c r="U246" t="str">
        <f t="shared" si="32"/>
        <v>Low</v>
      </c>
      <c r="V246" t="str">
        <f t="shared" si="33"/>
        <v>Low Risk</v>
      </c>
      <c r="W246" t="str">
        <f t="shared" si="34"/>
        <v>Nov</v>
      </c>
      <c r="X246">
        <f t="shared" si="35"/>
        <v>2025</v>
      </c>
    </row>
    <row r="247" spans="1:24" x14ac:dyDescent="0.35">
      <c r="A247" s="3">
        <v>45707</v>
      </c>
      <c r="B247" t="s">
        <v>223</v>
      </c>
      <c r="C247" t="s">
        <v>69</v>
      </c>
      <c r="D247" t="s">
        <v>390</v>
      </c>
      <c r="E247" t="s">
        <v>41</v>
      </c>
      <c r="F247" t="s">
        <v>66</v>
      </c>
      <c r="G247" t="s">
        <v>71</v>
      </c>
      <c r="H247">
        <v>76</v>
      </c>
      <c r="I247">
        <v>4825</v>
      </c>
      <c r="J247">
        <v>114</v>
      </c>
      <c r="K247">
        <v>14.5</v>
      </c>
      <c r="L247" t="s">
        <v>30</v>
      </c>
      <c r="M247">
        <v>47236.3</v>
      </c>
      <c r="N247">
        <v>19301</v>
      </c>
      <c r="O247" t="s">
        <v>84</v>
      </c>
      <c r="P247" t="str">
        <f t="shared" si="27"/>
        <v>Yes</v>
      </c>
      <c r="Q247">
        <f t="shared" si="28"/>
        <v>63.49</v>
      </c>
      <c r="R247">
        <f t="shared" si="29"/>
        <v>9.7899999999999991</v>
      </c>
      <c r="S247">
        <f t="shared" si="30"/>
        <v>2.4500000000000002</v>
      </c>
      <c r="T247" t="str">
        <f t="shared" si="31"/>
        <v>Delayed</v>
      </c>
      <c r="U247" t="str">
        <f t="shared" si="32"/>
        <v>High</v>
      </c>
      <c r="V247" t="str">
        <f t="shared" si="33"/>
        <v>Medium Risk</v>
      </c>
      <c r="W247" t="str">
        <f t="shared" si="34"/>
        <v>Feb</v>
      </c>
      <c r="X247">
        <f t="shared" si="35"/>
        <v>2025</v>
      </c>
    </row>
    <row r="248" spans="1:24" x14ac:dyDescent="0.35">
      <c r="A248" s="3">
        <v>45743</v>
      </c>
      <c r="B248" t="s">
        <v>195</v>
      </c>
      <c r="C248" t="s">
        <v>57</v>
      </c>
      <c r="D248" t="s">
        <v>391</v>
      </c>
      <c r="E248" t="s">
        <v>54</v>
      </c>
      <c r="F248" t="s">
        <v>63</v>
      </c>
      <c r="G248" t="s">
        <v>29</v>
      </c>
      <c r="H248">
        <v>24.5</v>
      </c>
      <c r="I248">
        <v>3662</v>
      </c>
      <c r="J248">
        <v>79</v>
      </c>
      <c r="K248">
        <v>13.3</v>
      </c>
      <c r="L248" t="s">
        <v>43</v>
      </c>
      <c r="M248">
        <v>14911.79</v>
      </c>
      <c r="N248">
        <v>29316</v>
      </c>
      <c r="O248" t="s">
        <v>59</v>
      </c>
      <c r="P248" t="str">
        <f t="shared" si="27"/>
        <v>Yes</v>
      </c>
      <c r="Q248">
        <f t="shared" si="28"/>
        <v>149.47</v>
      </c>
      <c r="R248">
        <f t="shared" si="29"/>
        <v>4.07</v>
      </c>
      <c r="S248">
        <f t="shared" si="30"/>
        <v>0.51</v>
      </c>
      <c r="T248" t="str">
        <f t="shared" si="31"/>
        <v>Delayed</v>
      </c>
      <c r="U248" t="str">
        <f t="shared" si="32"/>
        <v>Low</v>
      </c>
      <c r="V248" t="str">
        <f t="shared" si="33"/>
        <v>Low Risk</v>
      </c>
      <c r="W248" t="str">
        <f t="shared" si="34"/>
        <v>Mar</v>
      </c>
      <c r="X248">
        <f t="shared" si="35"/>
        <v>2025</v>
      </c>
    </row>
    <row r="249" spans="1:24" x14ac:dyDescent="0.35">
      <c r="A249" s="3">
        <v>45982</v>
      </c>
      <c r="B249" t="s">
        <v>199</v>
      </c>
      <c r="C249" t="s">
        <v>39</v>
      </c>
      <c r="D249" t="s">
        <v>392</v>
      </c>
      <c r="E249" t="s">
        <v>54</v>
      </c>
      <c r="F249" t="s">
        <v>55</v>
      </c>
      <c r="G249" t="s">
        <v>42</v>
      </c>
      <c r="H249">
        <v>79.599999999999994</v>
      </c>
      <c r="I249">
        <v>4387</v>
      </c>
      <c r="J249">
        <v>36</v>
      </c>
      <c r="K249">
        <v>12.9</v>
      </c>
      <c r="L249" t="s">
        <v>43</v>
      </c>
      <c r="M249">
        <v>39255.17</v>
      </c>
      <c r="N249">
        <v>6400</v>
      </c>
      <c r="O249" t="s">
        <v>31</v>
      </c>
      <c r="P249" t="str">
        <f t="shared" si="27"/>
        <v>Yes</v>
      </c>
      <c r="Q249">
        <f t="shared" si="28"/>
        <v>55.11</v>
      </c>
      <c r="R249">
        <f t="shared" si="29"/>
        <v>8.9499999999999993</v>
      </c>
      <c r="S249">
        <f t="shared" si="30"/>
        <v>6.13</v>
      </c>
      <c r="T249" t="str">
        <f t="shared" si="31"/>
        <v>Delayed</v>
      </c>
      <c r="U249" t="str">
        <f t="shared" si="32"/>
        <v>High</v>
      </c>
      <c r="V249" t="str">
        <f t="shared" si="33"/>
        <v>Low Risk</v>
      </c>
      <c r="W249" t="str">
        <f t="shared" si="34"/>
        <v>Nov</v>
      </c>
      <c r="X249">
        <f t="shared" si="35"/>
        <v>2025</v>
      </c>
    </row>
    <row r="250" spans="1:24" x14ac:dyDescent="0.35">
      <c r="A250" s="3">
        <v>45837</v>
      </c>
      <c r="B250" t="s">
        <v>136</v>
      </c>
      <c r="C250" t="s">
        <v>130</v>
      </c>
      <c r="D250" t="s">
        <v>393</v>
      </c>
      <c r="E250" t="s">
        <v>55</v>
      </c>
      <c r="F250" t="s">
        <v>66</v>
      </c>
      <c r="G250" t="s">
        <v>35</v>
      </c>
      <c r="H250">
        <v>68.400000000000006</v>
      </c>
      <c r="I250">
        <v>4589</v>
      </c>
      <c r="J250">
        <v>93</v>
      </c>
      <c r="K250">
        <v>20.9</v>
      </c>
      <c r="L250" t="s">
        <v>30</v>
      </c>
      <c r="M250">
        <v>33433.410000000003</v>
      </c>
      <c r="N250">
        <v>6305</v>
      </c>
      <c r="O250" t="s">
        <v>67</v>
      </c>
      <c r="P250" t="str">
        <f t="shared" si="27"/>
        <v>Yes</v>
      </c>
      <c r="Q250">
        <f t="shared" si="28"/>
        <v>67.09</v>
      </c>
      <c r="R250">
        <f t="shared" si="29"/>
        <v>7.29</v>
      </c>
      <c r="S250">
        <f t="shared" si="30"/>
        <v>5.3</v>
      </c>
      <c r="T250" t="str">
        <f t="shared" si="31"/>
        <v>Delayed</v>
      </c>
      <c r="U250" t="str">
        <f t="shared" si="32"/>
        <v>High</v>
      </c>
      <c r="V250" t="str">
        <f t="shared" si="33"/>
        <v>Medium Risk</v>
      </c>
      <c r="W250" t="str">
        <f t="shared" si="34"/>
        <v>Jun</v>
      </c>
      <c r="X250">
        <f t="shared" si="35"/>
        <v>2025</v>
      </c>
    </row>
    <row r="251" spans="1:24" x14ac:dyDescent="0.35">
      <c r="A251" s="3">
        <v>45954</v>
      </c>
      <c r="B251" t="s">
        <v>217</v>
      </c>
      <c r="C251" t="s">
        <v>109</v>
      </c>
      <c r="D251" t="s">
        <v>394</v>
      </c>
      <c r="E251" t="s">
        <v>63</v>
      </c>
      <c r="F251" t="s">
        <v>27</v>
      </c>
      <c r="G251" t="s">
        <v>35</v>
      </c>
      <c r="H251">
        <v>70.099999999999994</v>
      </c>
      <c r="I251">
        <v>946</v>
      </c>
      <c r="J251">
        <v>35</v>
      </c>
      <c r="K251">
        <v>15.2</v>
      </c>
      <c r="L251" t="s">
        <v>43</v>
      </c>
      <c r="M251">
        <v>46140.94</v>
      </c>
      <c r="N251">
        <v>14596</v>
      </c>
      <c r="O251" t="s">
        <v>59</v>
      </c>
      <c r="P251" t="str">
        <f t="shared" si="27"/>
        <v>Yes</v>
      </c>
      <c r="Q251">
        <f t="shared" si="28"/>
        <v>13.5</v>
      </c>
      <c r="R251">
        <f t="shared" si="29"/>
        <v>48.77</v>
      </c>
      <c r="S251">
        <f t="shared" si="30"/>
        <v>3.16</v>
      </c>
      <c r="T251" t="str">
        <f t="shared" si="31"/>
        <v>Delayed</v>
      </c>
      <c r="U251" t="str">
        <f t="shared" si="32"/>
        <v>High</v>
      </c>
      <c r="V251" t="str">
        <f t="shared" si="33"/>
        <v>Low Risk</v>
      </c>
      <c r="W251" t="str">
        <f t="shared" si="34"/>
        <v>Oct</v>
      </c>
      <c r="X251">
        <f t="shared" si="35"/>
        <v>2025</v>
      </c>
    </row>
    <row r="252" spans="1:24" x14ac:dyDescent="0.35">
      <c r="A252" s="3">
        <v>45999</v>
      </c>
      <c r="B252" t="s">
        <v>106</v>
      </c>
      <c r="C252" t="s">
        <v>52</v>
      </c>
      <c r="D252" t="s">
        <v>395</v>
      </c>
      <c r="E252" t="s">
        <v>28</v>
      </c>
      <c r="F252" t="s">
        <v>48</v>
      </c>
      <c r="G252" t="s">
        <v>71</v>
      </c>
      <c r="H252">
        <v>75.5</v>
      </c>
      <c r="I252">
        <v>3843</v>
      </c>
      <c r="J252">
        <v>53</v>
      </c>
      <c r="K252">
        <v>15.6</v>
      </c>
      <c r="L252" t="s">
        <v>78</v>
      </c>
      <c r="M252">
        <v>45442.96</v>
      </c>
      <c r="N252">
        <v>29393</v>
      </c>
      <c r="O252" t="s">
        <v>31</v>
      </c>
      <c r="P252" t="str">
        <f t="shared" si="27"/>
        <v>No</v>
      </c>
      <c r="Q252">
        <f t="shared" si="28"/>
        <v>50.9</v>
      </c>
      <c r="R252">
        <f t="shared" si="29"/>
        <v>11.82</v>
      </c>
      <c r="S252">
        <f t="shared" si="30"/>
        <v>1.55</v>
      </c>
      <c r="T252" t="str">
        <f t="shared" si="31"/>
        <v>On Time</v>
      </c>
      <c r="U252" t="str">
        <f t="shared" si="32"/>
        <v>High</v>
      </c>
      <c r="V252" t="str">
        <f t="shared" si="33"/>
        <v>Low Risk</v>
      </c>
      <c r="W252" t="str">
        <f t="shared" si="34"/>
        <v>Dec</v>
      </c>
      <c r="X252">
        <f t="shared" si="35"/>
        <v>2025</v>
      </c>
    </row>
    <row r="253" spans="1:24" x14ac:dyDescent="0.35">
      <c r="A253" s="3">
        <v>45691</v>
      </c>
      <c r="B253" t="s">
        <v>98</v>
      </c>
      <c r="C253" t="s">
        <v>95</v>
      </c>
      <c r="D253" t="s">
        <v>396</v>
      </c>
      <c r="E253" t="s">
        <v>48</v>
      </c>
      <c r="F253" t="s">
        <v>55</v>
      </c>
      <c r="G253" t="s">
        <v>29</v>
      </c>
      <c r="H253">
        <v>20.399999999999999</v>
      </c>
      <c r="I253">
        <v>2327</v>
      </c>
      <c r="J253">
        <v>24</v>
      </c>
      <c r="K253">
        <v>19.8</v>
      </c>
      <c r="L253" t="s">
        <v>30</v>
      </c>
      <c r="M253">
        <v>12741.92</v>
      </c>
      <c r="N253">
        <v>25677</v>
      </c>
      <c r="O253" t="s">
        <v>36</v>
      </c>
      <c r="P253" t="str">
        <f t="shared" si="27"/>
        <v>Yes</v>
      </c>
      <c r="Q253">
        <f t="shared" si="28"/>
        <v>114.07</v>
      </c>
      <c r="R253">
        <f t="shared" si="29"/>
        <v>5.48</v>
      </c>
      <c r="S253">
        <f t="shared" si="30"/>
        <v>0.5</v>
      </c>
      <c r="T253" t="str">
        <f t="shared" si="31"/>
        <v>Delayed</v>
      </c>
      <c r="U253" t="str">
        <f t="shared" si="32"/>
        <v>Low</v>
      </c>
      <c r="V253" t="str">
        <f t="shared" si="33"/>
        <v>Medium Risk</v>
      </c>
      <c r="W253" t="str">
        <f t="shared" si="34"/>
        <v>Feb</v>
      </c>
      <c r="X253">
        <f t="shared" si="35"/>
        <v>2025</v>
      </c>
    </row>
    <row r="254" spans="1:24" x14ac:dyDescent="0.35">
      <c r="A254" s="3">
        <v>45738</v>
      </c>
      <c r="B254" t="s">
        <v>210</v>
      </c>
      <c r="C254" t="s">
        <v>39</v>
      </c>
      <c r="D254" t="s">
        <v>397</v>
      </c>
      <c r="E254" t="s">
        <v>63</v>
      </c>
      <c r="F254" t="s">
        <v>48</v>
      </c>
      <c r="G254" t="s">
        <v>42</v>
      </c>
      <c r="H254">
        <v>31.8</v>
      </c>
      <c r="I254">
        <v>2120</v>
      </c>
      <c r="J254">
        <v>54</v>
      </c>
      <c r="K254">
        <v>10.3</v>
      </c>
      <c r="L254" t="s">
        <v>78</v>
      </c>
      <c r="M254">
        <v>18552.38</v>
      </c>
      <c r="N254">
        <v>17684</v>
      </c>
      <c r="O254" t="s">
        <v>91</v>
      </c>
      <c r="P254" t="str">
        <f t="shared" si="27"/>
        <v>No</v>
      </c>
      <c r="Q254">
        <f t="shared" si="28"/>
        <v>66.67</v>
      </c>
      <c r="R254">
        <f t="shared" si="29"/>
        <v>8.75</v>
      </c>
      <c r="S254">
        <f t="shared" si="30"/>
        <v>1.05</v>
      </c>
      <c r="T254" t="str">
        <f t="shared" si="31"/>
        <v>On Time</v>
      </c>
      <c r="U254" t="str">
        <f t="shared" si="32"/>
        <v>Low</v>
      </c>
      <c r="V254" t="str">
        <f t="shared" si="33"/>
        <v>Low Risk</v>
      </c>
      <c r="W254" t="str">
        <f t="shared" si="34"/>
        <v>Mar</v>
      </c>
      <c r="X254">
        <f t="shared" si="35"/>
        <v>2025</v>
      </c>
    </row>
    <row r="255" spans="1:24" x14ac:dyDescent="0.35">
      <c r="A255" s="3">
        <v>45954</v>
      </c>
      <c r="B255" t="s">
        <v>165</v>
      </c>
      <c r="C255" t="s">
        <v>25</v>
      </c>
      <c r="D255" t="s">
        <v>398</v>
      </c>
      <c r="E255" t="s">
        <v>48</v>
      </c>
      <c r="F255" t="s">
        <v>55</v>
      </c>
      <c r="G255" t="s">
        <v>42</v>
      </c>
      <c r="H255">
        <v>23.2</v>
      </c>
      <c r="I255">
        <v>3165</v>
      </c>
      <c r="J255">
        <v>39</v>
      </c>
      <c r="K255">
        <v>14.1</v>
      </c>
      <c r="L255" t="s">
        <v>30</v>
      </c>
      <c r="M255">
        <v>11221.7</v>
      </c>
      <c r="N255">
        <v>12202</v>
      </c>
      <c r="O255" t="s">
        <v>50</v>
      </c>
      <c r="P255" t="str">
        <f t="shared" si="27"/>
        <v>Yes</v>
      </c>
      <c r="Q255">
        <f t="shared" si="28"/>
        <v>136.41999999999999</v>
      </c>
      <c r="R255">
        <f t="shared" si="29"/>
        <v>3.55</v>
      </c>
      <c r="S255">
        <f t="shared" si="30"/>
        <v>0.92</v>
      </c>
      <c r="T255" t="str">
        <f t="shared" si="31"/>
        <v>Delayed</v>
      </c>
      <c r="U255" t="str">
        <f t="shared" si="32"/>
        <v>Low</v>
      </c>
      <c r="V255" t="str">
        <f t="shared" si="33"/>
        <v>Medium Risk</v>
      </c>
      <c r="W255" t="str">
        <f t="shared" si="34"/>
        <v>Oct</v>
      </c>
      <c r="X255">
        <f t="shared" si="35"/>
        <v>2025</v>
      </c>
    </row>
    <row r="256" spans="1:24" x14ac:dyDescent="0.35">
      <c r="A256" s="3">
        <v>45686</v>
      </c>
      <c r="B256" t="s">
        <v>214</v>
      </c>
      <c r="C256" t="s">
        <v>25</v>
      </c>
      <c r="D256" t="s">
        <v>399</v>
      </c>
      <c r="E256" t="s">
        <v>55</v>
      </c>
      <c r="F256" t="s">
        <v>66</v>
      </c>
      <c r="G256" t="s">
        <v>71</v>
      </c>
      <c r="H256">
        <v>55.7</v>
      </c>
      <c r="I256">
        <v>3280</v>
      </c>
      <c r="J256">
        <v>78</v>
      </c>
      <c r="K256">
        <v>20.5</v>
      </c>
      <c r="L256" t="s">
        <v>30</v>
      </c>
      <c r="M256">
        <v>32340.33</v>
      </c>
      <c r="N256">
        <v>9463</v>
      </c>
      <c r="O256" t="s">
        <v>44</v>
      </c>
      <c r="P256" t="str">
        <f t="shared" si="27"/>
        <v>Yes</v>
      </c>
      <c r="Q256">
        <f t="shared" si="28"/>
        <v>58.89</v>
      </c>
      <c r="R256">
        <f t="shared" si="29"/>
        <v>9.86</v>
      </c>
      <c r="S256">
        <f t="shared" si="30"/>
        <v>3.42</v>
      </c>
      <c r="T256" t="str">
        <f t="shared" si="31"/>
        <v>Delayed</v>
      </c>
      <c r="U256" t="str">
        <f t="shared" si="32"/>
        <v>Medium</v>
      </c>
      <c r="V256" t="str">
        <f t="shared" si="33"/>
        <v>Medium Risk</v>
      </c>
      <c r="W256" t="str">
        <f t="shared" si="34"/>
        <v>Jan</v>
      </c>
      <c r="X256">
        <f t="shared" si="35"/>
        <v>2025</v>
      </c>
    </row>
    <row r="257" spans="1:24" x14ac:dyDescent="0.35">
      <c r="A257" s="3">
        <v>45739</v>
      </c>
      <c r="B257" t="s">
        <v>73</v>
      </c>
      <c r="C257" t="s">
        <v>57</v>
      </c>
      <c r="D257" t="s">
        <v>400</v>
      </c>
      <c r="E257" t="s">
        <v>66</v>
      </c>
      <c r="F257" t="s">
        <v>41</v>
      </c>
      <c r="G257" t="s">
        <v>71</v>
      </c>
      <c r="H257">
        <v>44</v>
      </c>
      <c r="I257">
        <v>544</v>
      </c>
      <c r="J257">
        <v>104</v>
      </c>
      <c r="K257">
        <v>11</v>
      </c>
      <c r="L257" t="s">
        <v>78</v>
      </c>
      <c r="M257">
        <v>23787.27</v>
      </c>
      <c r="N257">
        <v>20595</v>
      </c>
      <c r="O257" t="s">
        <v>84</v>
      </c>
      <c r="P257" t="str">
        <f t="shared" si="27"/>
        <v>No</v>
      </c>
      <c r="Q257">
        <f t="shared" si="28"/>
        <v>12.36</v>
      </c>
      <c r="R257">
        <f t="shared" si="29"/>
        <v>43.73</v>
      </c>
      <c r="S257">
        <f t="shared" si="30"/>
        <v>1.1599999999999999</v>
      </c>
      <c r="T257" t="str">
        <f t="shared" si="31"/>
        <v>On Time</v>
      </c>
      <c r="U257" t="str">
        <f t="shared" si="32"/>
        <v>Medium</v>
      </c>
      <c r="V257" t="str">
        <f t="shared" si="33"/>
        <v>Low Risk</v>
      </c>
      <c r="W257" t="str">
        <f t="shared" si="34"/>
        <v>Mar</v>
      </c>
      <c r="X257">
        <f t="shared" si="35"/>
        <v>2025</v>
      </c>
    </row>
    <row r="258" spans="1:24" x14ac:dyDescent="0.35">
      <c r="A258" s="3">
        <v>46002</v>
      </c>
      <c r="B258" t="s">
        <v>61</v>
      </c>
      <c r="C258" t="s">
        <v>25</v>
      </c>
      <c r="D258" t="s">
        <v>401</v>
      </c>
      <c r="E258" t="s">
        <v>41</v>
      </c>
      <c r="F258" t="s">
        <v>54</v>
      </c>
      <c r="G258" t="s">
        <v>42</v>
      </c>
      <c r="H258">
        <v>63.2</v>
      </c>
      <c r="I258">
        <v>3723</v>
      </c>
      <c r="J258">
        <v>87</v>
      </c>
      <c r="K258">
        <v>17</v>
      </c>
      <c r="L258" t="s">
        <v>43</v>
      </c>
      <c r="M258">
        <v>39195.86</v>
      </c>
      <c r="N258">
        <v>23612</v>
      </c>
      <c r="O258" t="s">
        <v>44</v>
      </c>
      <c r="P258" t="str">
        <f t="shared" ref="P258:P321" si="36">IF(OR(L258="Rain",L258="Fog",L258="Storm"),"Yes","No")</f>
        <v>Yes</v>
      </c>
      <c r="Q258">
        <f t="shared" ref="Q258:Q321" si="37">ROUND(I258/H258,2)</f>
        <v>58.91</v>
      </c>
      <c r="R258">
        <f t="shared" ref="R258:R321" si="38">ROUND(M258/I258,2)</f>
        <v>10.53</v>
      </c>
      <c r="S258">
        <f t="shared" ref="S258:S321" si="39">ROUND(M258/N258,2)</f>
        <v>1.66</v>
      </c>
      <c r="T258" t="str">
        <f t="shared" ref="T258:T321" si="40">IF(P258="Yes","Delayed","On Time")</f>
        <v>Delayed</v>
      </c>
      <c r="U258" t="str">
        <f t="shared" ref="U258:U321" si="41">IF(H258&gt;=60,"High",IF(H258&gt;=40,"Medium","Low"))</f>
        <v>High</v>
      </c>
      <c r="V258" t="str">
        <f t="shared" ref="V258:V321" si="42">IF(L258="Storm","High Risk",IF(L258="Rain","Medium Risk","Low Risk"))</f>
        <v>Low Risk</v>
      </c>
      <c r="W258" t="str">
        <f t="shared" ref="W258:W321" si="43">TEXT(A258,"mmm")</f>
        <v>Dec</v>
      </c>
      <c r="X258">
        <f t="shared" si="35"/>
        <v>2025</v>
      </c>
    </row>
    <row r="259" spans="1:24" x14ac:dyDescent="0.35">
      <c r="A259" s="3">
        <v>45664</v>
      </c>
      <c r="B259" t="s">
        <v>152</v>
      </c>
      <c r="C259" t="s">
        <v>69</v>
      </c>
      <c r="D259" t="s">
        <v>402</v>
      </c>
      <c r="E259" t="s">
        <v>66</v>
      </c>
      <c r="F259" t="s">
        <v>63</v>
      </c>
      <c r="G259" t="s">
        <v>29</v>
      </c>
      <c r="H259">
        <v>31.1</v>
      </c>
      <c r="I259">
        <v>2224</v>
      </c>
      <c r="J259">
        <v>105</v>
      </c>
      <c r="K259">
        <v>21.6</v>
      </c>
      <c r="L259" t="s">
        <v>30</v>
      </c>
      <c r="M259">
        <v>15822.84</v>
      </c>
      <c r="N259">
        <v>20641</v>
      </c>
      <c r="O259" t="s">
        <v>84</v>
      </c>
      <c r="P259" t="str">
        <f t="shared" si="36"/>
        <v>Yes</v>
      </c>
      <c r="Q259">
        <f t="shared" si="37"/>
        <v>71.510000000000005</v>
      </c>
      <c r="R259">
        <f t="shared" si="38"/>
        <v>7.11</v>
      </c>
      <c r="S259">
        <f t="shared" si="39"/>
        <v>0.77</v>
      </c>
      <c r="T259" t="str">
        <f t="shared" si="40"/>
        <v>Delayed</v>
      </c>
      <c r="U259" t="str">
        <f t="shared" si="41"/>
        <v>Low</v>
      </c>
      <c r="V259" t="str">
        <f t="shared" si="42"/>
        <v>Medium Risk</v>
      </c>
      <c r="W259" t="str">
        <f t="shared" si="43"/>
        <v>Jan</v>
      </c>
      <c r="X259">
        <f t="shared" ref="X259:X322" si="44">YEAR(A259)</f>
        <v>2025</v>
      </c>
    </row>
    <row r="260" spans="1:24" x14ac:dyDescent="0.35">
      <c r="A260" s="3">
        <v>45985</v>
      </c>
      <c r="B260" t="s">
        <v>291</v>
      </c>
      <c r="C260" t="s">
        <v>25</v>
      </c>
      <c r="D260" t="s">
        <v>403</v>
      </c>
      <c r="E260" t="s">
        <v>55</v>
      </c>
      <c r="F260" t="s">
        <v>27</v>
      </c>
      <c r="G260" t="s">
        <v>71</v>
      </c>
      <c r="H260">
        <v>26.2</v>
      </c>
      <c r="I260">
        <v>538</v>
      </c>
      <c r="J260">
        <v>100</v>
      </c>
      <c r="K260">
        <v>19.899999999999999</v>
      </c>
      <c r="L260" t="s">
        <v>78</v>
      </c>
      <c r="M260">
        <v>12117.75</v>
      </c>
      <c r="N260">
        <v>7965</v>
      </c>
      <c r="O260" t="s">
        <v>91</v>
      </c>
      <c r="P260" t="str">
        <f t="shared" si="36"/>
        <v>No</v>
      </c>
      <c r="Q260">
        <f t="shared" si="37"/>
        <v>20.53</v>
      </c>
      <c r="R260">
        <f t="shared" si="38"/>
        <v>22.52</v>
      </c>
      <c r="S260">
        <f t="shared" si="39"/>
        <v>1.52</v>
      </c>
      <c r="T260" t="str">
        <f t="shared" si="40"/>
        <v>On Time</v>
      </c>
      <c r="U260" t="str">
        <f t="shared" si="41"/>
        <v>Low</v>
      </c>
      <c r="V260" t="str">
        <f t="shared" si="42"/>
        <v>Low Risk</v>
      </c>
      <c r="W260" t="str">
        <f t="shared" si="43"/>
        <v>Nov</v>
      </c>
      <c r="X260">
        <f t="shared" si="44"/>
        <v>2025</v>
      </c>
    </row>
    <row r="261" spans="1:24" x14ac:dyDescent="0.35">
      <c r="A261" s="3">
        <v>45682</v>
      </c>
      <c r="B261" t="s">
        <v>236</v>
      </c>
      <c r="C261" t="s">
        <v>69</v>
      </c>
      <c r="D261" t="s">
        <v>404</v>
      </c>
      <c r="E261" t="s">
        <v>27</v>
      </c>
      <c r="F261" t="s">
        <v>41</v>
      </c>
      <c r="G261" t="s">
        <v>35</v>
      </c>
      <c r="H261">
        <v>66.5</v>
      </c>
      <c r="I261">
        <v>872</v>
      </c>
      <c r="J261">
        <v>101</v>
      </c>
      <c r="K261">
        <v>16.100000000000001</v>
      </c>
      <c r="L261" t="s">
        <v>30</v>
      </c>
      <c r="M261">
        <v>33947.75</v>
      </c>
      <c r="N261">
        <v>16239</v>
      </c>
      <c r="O261" t="s">
        <v>50</v>
      </c>
      <c r="P261" t="str">
        <f t="shared" si="36"/>
        <v>Yes</v>
      </c>
      <c r="Q261">
        <f t="shared" si="37"/>
        <v>13.11</v>
      </c>
      <c r="R261">
        <f t="shared" si="38"/>
        <v>38.93</v>
      </c>
      <c r="S261">
        <f t="shared" si="39"/>
        <v>2.09</v>
      </c>
      <c r="T261" t="str">
        <f t="shared" si="40"/>
        <v>Delayed</v>
      </c>
      <c r="U261" t="str">
        <f t="shared" si="41"/>
        <v>High</v>
      </c>
      <c r="V261" t="str">
        <f t="shared" si="42"/>
        <v>Medium Risk</v>
      </c>
      <c r="W261" t="str">
        <f t="shared" si="43"/>
        <v>Jan</v>
      </c>
      <c r="X261">
        <f t="shared" si="44"/>
        <v>2025</v>
      </c>
    </row>
    <row r="262" spans="1:24" x14ac:dyDescent="0.35">
      <c r="A262" s="3">
        <v>45754</v>
      </c>
      <c r="B262" t="s">
        <v>309</v>
      </c>
      <c r="C262" t="s">
        <v>130</v>
      </c>
      <c r="D262" t="s">
        <v>405</v>
      </c>
      <c r="E262" t="s">
        <v>27</v>
      </c>
      <c r="F262" t="s">
        <v>66</v>
      </c>
      <c r="G262" t="s">
        <v>29</v>
      </c>
      <c r="H262">
        <v>26.3</v>
      </c>
      <c r="I262">
        <v>582</v>
      </c>
      <c r="J262">
        <v>73</v>
      </c>
      <c r="K262">
        <v>12.5</v>
      </c>
      <c r="L262" t="s">
        <v>30</v>
      </c>
      <c r="M262">
        <v>14089.4</v>
      </c>
      <c r="N262">
        <v>14175</v>
      </c>
      <c r="O262" t="s">
        <v>36</v>
      </c>
      <c r="P262" t="str">
        <f t="shared" si="36"/>
        <v>Yes</v>
      </c>
      <c r="Q262">
        <f t="shared" si="37"/>
        <v>22.13</v>
      </c>
      <c r="R262">
        <f t="shared" si="38"/>
        <v>24.21</v>
      </c>
      <c r="S262">
        <f t="shared" si="39"/>
        <v>0.99</v>
      </c>
      <c r="T262" t="str">
        <f t="shared" si="40"/>
        <v>Delayed</v>
      </c>
      <c r="U262" t="str">
        <f t="shared" si="41"/>
        <v>Low</v>
      </c>
      <c r="V262" t="str">
        <f t="shared" si="42"/>
        <v>Medium Risk</v>
      </c>
      <c r="W262" t="str">
        <f t="shared" si="43"/>
        <v>Apr</v>
      </c>
      <c r="X262">
        <f t="shared" si="44"/>
        <v>2025</v>
      </c>
    </row>
    <row r="263" spans="1:24" x14ac:dyDescent="0.35">
      <c r="A263" s="3">
        <v>45836</v>
      </c>
      <c r="B263" t="s">
        <v>159</v>
      </c>
      <c r="C263" t="s">
        <v>52</v>
      </c>
      <c r="D263" t="s">
        <v>406</v>
      </c>
      <c r="E263" t="s">
        <v>48</v>
      </c>
      <c r="F263" t="s">
        <v>27</v>
      </c>
      <c r="G263" t="s">
        <v>42</v>
      </c>
      <c r="H263">
        <v>44.9</v>
      </c>
      <c r="I263">
        <v>2593</v>
      </c>
      <c r="J263">
        <v>102</v>
      </c>
      <c r="K263">
        <v>13.8</v>
      </c>
      <c r="L263" t="s">
        <v>78</v>
      </c>
      <c r="M263">
        <v>25558.53</v>
      </c>
      <c r="N263">
        <v>19400</v>
      </c>
      <c r="O263" t="s">
        <v>91</v>
      </c>
      <c r="P263" t="str">
        <f t="shared" si="36"/>
        <v>No</v>
      </c>
      <c r="Q263">
        <f t="shared" si="37"/>
        <v>57.75</v>
      </c>
      <c r="R263">
        <f t="shared" si="38"/>
        <v>9.86</v>
      </c>
      <c r="S263">
        <f t="shared" si="39"/>
        <v>1.32</v>
      </c>
      <c r="T263" t="str">
        <f t="shared" si="40"/>
        <v>On Time</v>
      </c>
      <c r="U263" t="str">
        <f t="shared" si="41"/>
        <v>Medium</v>
      </c>
      <c r="V263" t="str">
        <f t="shared" si="42"/>
        <v>Low Risk</v>
      </c>
      <c r="W263" t="str">
        <f t="shared" si="43"/>
        <v>Jun</v>
      </c>
      <c r="X263">
        <f t="shared" si="44"/>
        <v>2025</v>
      </c>
    </row>
    <row r="264" spans="1:24" x14ac:dyDescent="0.35">
      <c r="A264" s="3">
        <v>45891</v>
      </c>
      <c r="B264" t="s">
        <v>368</v>
      </c>
      <c r="C264" t="s">
        <v>25</v>
      </c>
      <c r="D264" t="s">
        <v>407</v>
      </c>
      <c r="E264" t="s">
        <v>63</v>
      </c>
      <c r="F264" t="s">
        <v>54</v>
      </c>
      <c r="G264" t="s">
        <v>71</v>
      </c>
      <c r="H264">
        <v>61.7</v>
      </c>
      <c r="I264">
        <v>1136</v>
      </c>
      <c r="J264">
        <v>29</v>
      </c>
      <c r="K264">
        <v>16</v>
      </c>
      <c r="L264" t="s">
        <v>43</v>
      </c>
      <c r="M264">
        <v>33166.519999999997</v>
      </c>
      <c r="N264">
        <v>7522</v>
      </c>
      <c r="O264" t="s">
        <v>31</v>
      </c>
      <c r="P264" t="str">
        <f t="shared" si="36"/>
        <v>Yes</v>
      </c>
      <c r="Q264">
        <f t="shared" si="37"/>
        <v>18.41</v>
      </c>
      <c r="R264">
        <f t="shared" si="38"/>
        <v>29.2</v>
      </c>
      <c r="S264">
        <f t="shared" si="39"/>
        <v>4.41</v>
      </c>
      <c r="T264" t="str">
        <f t="shared" si="40"/>
        <v>Delayed</v>
      </c>
      <c r="U264" t="str">
        <f t="shared" si="41"/>
        <v>High</v>
      </c>
      <c r="V264" t="str">
        <f t="shared" si="42"/>
        <v>Low Risk</v>
      </c>
      <c r="W264" t="str">
        <f t="shared" si="43"/>
        <v>Aug</v>
      </c>
      <c r="X264">
        <f t="shared" si="44"/>
        <v>2025</v>
      </c>
    </row>
    <row r="265" spans="1:24" x14ac:dyDescent="0.35">
      <c r="A265" s="3">
        <v>45818</v>
      </c>
      <c r="B265" t="s">
        <v>203</v>
      </c>
      <c r="C265" t="s">
        <v>25</v>
      </c>
      <c r="D265" t="s">
        <v>408</v>
      </c>
      <c r="E265" t="s">
        <v>55</v>
      </c>
      <c r="F265" t="s">
        <v>41</v>
      </c>
      <c r="G265" t="s">
        <v>29</v>
      </c>
      <c r="H265">
        <v>50.7</v>
      </c>
      <c r="I265">
        <v>533</v>
      </c>
      <c r="J265">
        <v>53</v>
      </c>
      <c r="K265">
        <v>18.8</v>
      </c>
      <c r="L265" t="s">
        <v>78</v>
      </c>
      <c r="M265">
        <v>31696.35</v>
      </c>
      <c r="N265">
        <v>24278</v>
      </c>
      <c r="O265" t="s">
        <v>31</v>
      </c>
      <c r="P265" t="str">
        <f t="shared" si="36"/>
        <v>No</v>
      </c>
      <c r="Q265">
        <f t="shared" si="37"/>
        <v>10.51</v>
      </c>
      <c r="R265">
        <f t="shared" si="38"/>
        <v>59.47</v>
      </c>
      <c r="S265">
        <f t="shared" si="39"/>
        <v>1.31</v>
      </c>
      <c r="T265" t="str">
        <f t="shared" si="40"/>
        <v>On Time</v>
      </c>
      <c r="U265" t="str">
        <f t="shared" si="41"/>
        <v>Medium</v>
      </c>
      <c r="V265" t="str">
        <f t="shared" si="42"/>
        <v>Low Risk</v>
      </c>
      <c r="W265" t="str">
        <f t="shared" si="43"/>
        <v>Jun</v>
      </c>
      <c r="X265">
        <f t="shared" si="44"/>
        <v>2025</v>
      </c>
    </row>
    <row r="266" spans="1:24" x14ac:dyDescent="0.35">
      <c r="A266" s="3">
        <v>45705</v>
      </c>
      <c r="B266" t="s">
        <v>118</v>
      </c>
      <c r="C266" t="s">
        <v>52</v>
      </c>
      <c r="D266" t="s">
        <v>409</v>
      </c>
      <c r="E266" t="s">
        <v>48</v>
      </c>
      <c r="F266" t="s">
        <v>63</v>
      </c>
      <c r="G266" t="s">
        <v>29</v>
      </c>
      <c r="H266">
        <v>62.9</v>
      </c>
      <c r="I266">
        <v>705</v>
      </c>
      <c r="J266">
        <v>111</v>
      </c>
      <c r="K266">
        <v>11.8</v>
      </c>
      <c r="L266" t="s">
        <v>49</v>
      </c>
      <c r="M266">
        <v>36115.480000000003</v>
      </c>
      <c r="N266">
        <v>25297</v>
      </c>
      <c r="O266" t="s">
        <v>31</v>
      </c>
      <c r="P266" t="str">
        <f t="shared" si="36"/>
        <v>Yes</v>
      </c>
      <c r="Q266">
        <f t="shared" si="37"/>
        <v>11.21</v>
      </c>
      <c r="R266">
        <f t="shared" si="38"/>
        <v>51.23</v>
      </c>
      <c r="S266">
        <f t="shared" si="39"/>
        <v>1.43</v>
      </c>
      <c r="T266" t="str">
        <f t="shared" si="40"/>
        <v>Delayed</v>
      </c>
      <c r="U266" t="str">
        <f t="shared" si="41"/>
        <v>High</v>
      </c>
      <c r="V266" t="str">
        <f t="shared" si="42"/>
        <v>High Risk</v>
      </c>
      <c r="W266" t="str">
        <f t="shared" si="43"/>
        <v>Feb</v>
      </c>
      <c r="X266">
        <f t="shared" si="44"/>
        <v>2025</v>
      </c>
    </row>
    <row r="267" spans="1:24" x14ac:dyDescent="0.35">
      <c r="A267" s="3">
        <v>45958</v>
      </c>
      <c r="B267" t="s">
        <v>100</v>
      </c>
      <c r="C267" t="s">
        <v>109</v>
      </c>
      <c r="D267" t="s">
        <v>410</v>
      </c>
      <c r="E267" t="s">
        <v>66</v>
      </c>
      <c r="F267" t="s">
        <v>48</v>
      </c>
      <c r="G267" t="s">
        <v>42</v>
      </c>
      <c r="H267">
        <v>78.900000000000006</v>
      </c>
      <c r="I267">
        <v>2597</v>
      </c>
      <c r="J267">
        <v>97</v>
      </c>
      <c r="K267">
        <v>12.7</v>
      </c>
      <c r="L267" t="s">
        <v>30</v>
      </c>
      <c r="M267">
        <v>37442.120000000003</v>
      </c>
      <c r="N267">
        <v>18159</v>
      </c>
      <c r="O267" t="s">
        <v>36</v>
      </c>
      <c r="P267" t="str">
        <f t="shared" si="36"/>
        <v>Yes</v>
      </c>
      <c r="Q267">
        <f t="shared" si="37"/>
        <v>32.92</v>
      </c>
      <c r="R267">
        <f t="shared" si="38"/>
        <v>14.42</v>
      </c>
      <c r="S267">
        <f t="shared" si="39"/>
        <v>2.06</v>
      </c>
      <c r="T267" t="str">
        <f t="shared" si="40"/>
        <v>Delayed</v>
      </c>
      <c r="U267" t="str">
        <f t="shared" si="41"/>
        <v>High</v>
      </c>
      <c r="V267" t="str">
        <f t="shared" si="42"/>
        <v>Medium Risk</v>
      </c>
      <c r="W267" t="str">
        <f t="shared" si="43"/>
        <v>Oct</v>
      </c>
      <c r="X267">
        <f t="shared" si="44"/>
        <v>2025</v>
      </c>
    </row>
    <row r="268" spans="1:24" x14ac:dyDescent="0.35">
      <c r="A268" s="3">
        <v>45794</v>
      </c>
      <c r="B268" t="s">
        <v>24</v>
      </c>
      <c r="C268" t="s">
        <v>109</v>
      </c>
      <c r="D268" t="s">
        <v>411</v>
      </c>
      <c r="E268" t="s">
        <v>63</v>
      </c>
      <c r="F268" t="s">
        <v>28</v>
      </c>
      <c r="G268" t="s">
        <v>29</v>
      </c>
      <c r="H268">
        <v>36.5</v>
      </c>
      <c r="I268">
        <v>1972</v>
      </c>
      <c r="J268">
        <v>99</v>
      </c>
      <c r="K268">
        <v>12.8</v>
      </c>
      <c r="L268" t="s">
        <v>43</v>
      </c>
      <c r="M268">
        <v>20442.87</v>
      </c>
      <c r="N268">
        <v>21750</v>
      </c>
      <c r="O268" t="s">
        <v>67</v>
      </c>
      <c r="P268" t="str">
        <f t="shared" si="36"/>
        <v>Yes</v>
      </c>
      <c r="Q268">
        <f t="shared" si="37"/>
        <v>54.03</v>
      </c>
      <c r="R268">
        <f t="shared" si="38"/>
        <v>10.37</v>
      </c>
      <c r="S268">
        <f t="shared" si="39"/>
        <v>0.94</v>
      </c>
      <c r="T268" t="str">
        <f t="shared" si="40"/>
        <v>Delayed</v>
      </c>
      <c r="U268" t="str">
        <f t="shared" si="41"/>
        <v>Low</v>
      </c>
      <c r="V268" t="str">
        <f t="shared" si="42"/>
        <v>Low Risk</v>
      </c>
      <c r="W268" t="str">
        <f t="shared" si="43"/>
        <v>May</v>
      </c>
      <c r="X268">
        <f t="shared" si="44"/>
        <v>2025</v>
      </c>
    </row>
    <row r="269" spans="1:24" x14ac:dyDescent="0.35">
      <c r="A269" s="3">
        <v>45973</v>
      </c>
      <c r="B269" t="s">
        <v>157</v>
      </c>
      <c r="C269" t="s">
        <v>39</v>
      </c>
      <c r="D269" t="s">
        <v>412</v>
      </c>
      <c r="E269" t="s">
        <v>27</v>
      </c>
      <c r="F269" t="s">
        <v>41</v>
      </c>
      <c r="G269" t="s">
        <v>29</v>
      </c>
      <c r="H269">
        <v>64.3</v>
      </c>
      <c r="I269">
        <v>1275</v>
      </c>
      <c r="J269">
        <v>56</v>
      </c>
      <c r="K269">
        <v>13.5</v>
      </c>
      <c r="L269" t="s">
        <v>43</v>
      </c>
      <c r="M269">
        <v>34478.01</v>
      </c>
      <c r="N269">
        <v>14886</v>
      </c>
      <c r="O269" t="s">
        <v>91</v>
      </c>
      <c r="P269" t="str">
        <f t="shared" si="36"/>
        <v>Yes</v>
      </c>
      <c r="Q269">
        <f t="shared" si="37"/>
        <v>19.829999999999998</v>
      </c>
      <c r="R269">
        <f t="shared" si="38"/>
        <v>27.04</v>
      </c>
      <c r="S269">
        <f t="shared" si="39"/>
        <v>2.3199999999999998</v>
      </c>
      <c r="T269" t="str">
        <f t="shared" si="40"/>
        <v>Delayed</v>
      </c>
      <c r="U269" t="str">
        <f t="shared" si="41"/>
        <v>High</v>
      </c>
      <c r="V269" t="str">
        <f t="shared" si="42"/>
        <v>Low Risk</v>
      </c>
      <c r="W269" t="str">
        <f t="shared" si="43"/>
        <v>Nov</v>
      </c>
      <c r="X269">
        <f t="shared" si="44"/>
        <v>2025</v>
      </c>
    </row>
    <row r="270" spans="1:24" x14ac:dyDescent="0.35">
      <c r="A270" s="3">
        <v>45930</v>
      </c>
      <c r="B270" t="s">
        <v>100</v>
      </c>
      <c r="C270" t="s">
        <v>95</v>
      </c>
      <c r="D270" t="s">
        <v>413</v>
      </c>
      <c r="E270" t="s">
        <v>48</v>
      </c>
      <c r="F270" t="s">
        <v>27</v>
      </c>
      <c r="G270" t="s">
        <v>71</v>
      </c>
      <c r="H270">
        <v>35.799999999999997</v>
      </c>
      <c r="I270">
        <v>4347</v>
      </c>
      <c r="J270">
        <v>46</v>
      </c>
      <c r="K270">
        <v>12.9</v>
      </c>
      <c r="L270" t="s">
        <v>49</v>
      </c>
      <c r="M270">
        <v>16203.93</v>
      </c>
      <c r="N270">
        <v>18538</v>
      </c>
      <c r="O270" t="s">
        <v>36</v>
      </c>
      <c r="P270" t="str">
        <f t="shared" si="36"/>
        <v>Yes</v>
      </c>
      <c r="Q270">
        <f t="shared" si="37"/>
        <v>121.42</v>
      </c>
      <c r="R270">
        <f t="shared" si="38"/>
        <v>3.73</v>
      </c>
      <c r="S270">
        <f t="shared" si="39"/>
        <v>0.87</v>
      </c>
      <c r="T270" t="str">
        <f t="shared" si="40"/>
        <v>Delayed</v>
      </c>
      <c r="U270" t="str">
        <f t="shared" si="41"/>
        <v>Low</v>
      </c>
      <c r="V270" t="str">
        <f t="shared" si="42"/>
        <v>High Risk</v>
      </c>
      <c r="W270" t="str">
        <f t="shared" si="43"/>
        <v>Sep</v>
      </c>
      <c r="X270">
        <f t="shared" si="44"/>
        <v>2025</v>
      </c>
    </row>
    <row r="271" spans="1:24" x14ac:dyDescent="0.35">
      <c r="A271" s="3">
        <v>45793</v>
      </c>
      <c r="B271" t="s">
        <v>56</v>
      </c>
      <c r="C271" t="s">
        <v>69</v>
      </c>
      <c r="D271" t="s">
        <v>414</v>
      </c>
      <c r="E271" t="s">
        <v>54</v>
      </c>
      <c r="F271" t="s">
        <v>55</v>
      </c>
      <c r="G271" t="s">
        <v>42</v>
      </c>
      <c r="H271">
        <v>41.4</v>
      </c>
      <c r="I271">
        <v>2997</v>
      </c>
      <c r="J271">
        <v>20</v>
      </c>
      <c r="K271">
        <v>17.2</v>
      </c>
      <c r="L271" t="s">
        <v>49</v>
      </c>
      <c r="M271">
        <v>25049.59</v>
      </c>
      <c r="N271">
        <v>29182</v>
      </c>
      <c r="O271" t="s">
        <v>84</v>
      </c>
      <c r="P271" t="str">
        <f t="shared" si="36"/>
        <v>Yes</v>
      </c>
      <c r="Q271">
        <f t="shared" si="37"/>
        <v>72.39</v>
      </c>
      <c r="R271">
        <f t="shared" si="38"/>
        <v>8.36</v>
      </c>
      <c r="S271">
        <f t="shared" si="39"/>
        <v>0.86</v>
      </c>
      <c r="T271" t="str">
        <f t="shared" si="40"/>
        <v>Delayed</v>
      </c>
      <c r="U271" t="str">
        <f t="shared" si="41"/>
        <v>Medium</v>
      </c>
      <c r="V271" t="str">
        <f t="shared" si="42"/>
        <v>High Risk</v>
      </c>
      <c r="W271" t="str">
        <f t="shared" si="43"/>
        <v>May</v>
      </c>
      <c r="X271">
        <f t="shared" si="44"/>
        <v>2025</v>
      </c>
    </row>
    <row r="272" spans="1:24" x14ac:dyDescent="0.35">
      <c r="A272" s="3">
        <v>45837</v>
      </c>
      <c r="B272" t="s">
        <v>221</v>
      </c>
      <c r="C272" t="s">
        <v>109</v>
      </c>
      <c r="D272" t="s">
        <v>415</v>
      </c>
      <c r="E272" t="s">
        <v>55</v>
      </c>
      <c r="F272" t="s">
        <v>28</v>
      </c>
      <c r="G272" t="s">
        <v>35</v>
      </c>
      <c r="H272">
        <v>73.099999999999994</v>
      </c>
      <c r="I272">
        <v>2714</v>
      </c>
      <c r="J272">
        <v>55</v>
      </c>
      <c r="K272">
        <v>15.9</v>
      </c>
      <c r="L272" t="s">
        <v>43</v>
      </c>
      <c r="M272">
        <v>49952.78</v>
      </c>
      <c r="N272">
        <v>5860</v>
      </c>
      <c r="O272" t="s">
        <v>84</v>
      </c>
      <c r="P272" t="str">
        <f t="shared" si="36"/>
        <v>Yes</v>
      </c>
      <c r="Q272">
        <f t="shared" si="37"/>
        <v>37.130000000000003</v>
      </c>
      <c r="R272">
        <f t="shared" si="38"/>
        <v>18.41</v>
      </c>
      <c r="S272">
        <f t="shared" si="39"/>
        <v>8.52</v>
      </c>
      <c r="T272" t="str">
        <f t="shared" si="40"/>
        <v>Delayed</v>
      </c>
      <c r="U272" t="str">
        <f t="shared" si="41"/>
        <v>High</v>
      </c>
      <c r="V272" t="str">
        <f t="shared" si="42"/>
        <v>Low Risk</v>
      </c>
      <c r="W272" t="str">
        <f t="shared" si="43"/>
        <v>Jun</v>
      </c>
      <c r="X272">
        <f t="shared" si="44"/>
        <v>2025</v>
      </c>
    </row>
    <row r="273" spans="1:24" x14ac:dyDescent="0.35">
      <c r="A273" s="3">
        <v>45898</v>
      </c>
      <c r="B273" t="s">
        <v>152</v>
      </c>
      <c r="C273" t="s">
        <v>57</v>
      </c>
      <c r="D273" t="s">
        <v>416</v>
      </c>
      <c r="E273" t="s">
        <v>63</v>
      </c>
      <c r="F273" t="s">
        <v>48</v>
      </c>
      <c r="G273" t="s">
        <v>35</v>
      </c>
      <c r="H273">
        <v>75.3</v>
      </c>
      <c r="I273">
        <v>1357</v>
      </c>
      <c r="J273">
        <v>70</v>
      </c>
      <c r="K273">
        <v>16.399999999999999</v>
      </c>
      <c r="L273" t="s">
        <v>30</v>
      </c>
      <c r="M273">
        <v>35699.54</v>
      </c>
      <c r="N273">
        <v>9091</v>
      </c>
      <c r="O273" t="s">
        <v>91</v>
      </c>
      <c r="P273" t="str">
        <f t="shared" si="36"/>
        <v>Yes</v>
      </c>
      <c r="Q273">
        <f t="shared" si="37"/>
        <v>18.02</v>
      </c>
      <c r="R273">
        <f t="shared" si="38"/>
        <v>26.31</v>
      </c>
      <c r="S273">
        <f t="shared" si="39"/>
        <v>3.93</v>
      </c>
      <c r="T273" t="str">
        <f t="shared" si="40"/>
        <v>Delayed</v>
      </c>
      <c r="U273" t="str">
        <f t="shared" si="41"/>
        <v>High</v>
      </c>
      <c r="V273" t="str">
        <f t="shared" si="42"/>
        <v>Medium Risk</v>
      </c>
      <c r="W273" t="str">
        <f t="shared" si="43"/>
        <v>Aug</v>
      </c>
      <c r="X273">
        <f t="shared" si="44"/>
        <v>2025</v>
      </c>
    </row>
    <row r="274" spans="1:24" x14ac:dyDescent="0.35">
      <c r="A274" s="3">
        <v>45891</v>
      </c>
      <c r="B274" t="s">
        <v>417</v>
      </c>
      <c r="C274" t="s">
        <v>25</v>
      </c>
      <c r="D274" t="s">
        <v>418</v>
      </c>
      <c r="E274" t="s">
        <v>63</v>
      </c>
      <c r="F274" t="s">
        <v>28</v>
      </c>
      <c r="G274" t="s">
        <v>71</v>
      </c>
      <c r="H274">
        <v>66.099999999999994</v>
      </c>
      <c r="I274">
        <v>1968</v>
      </c>
      <c r="J274">
        <v>66</v>
      </c>
      <c r="K274">
        <v>21.4</v>
      </c>
      <c r="L274" t="s">
        <v>49</v>
      </c>
      <c r="M274">
        <v>37589.4</v>
      </c>
      <c r="N274">
        <v>29894</v>
      </c>
      <c r="O274" t="s">
        <v>31</v>
      </c>
      <c r="P274" t="str">
        <f t="shared" si="36"/>
        <v>Yes</v>
      </c>
      <c r="Q274">
        <f t="shared" si="37"/>
        <v>29.77</v>
      </c>
      <c r="R274">
        <f t="shared" si="38"/>
        <v>19.100000000000001</v>
      </c>
      <c r="S274">
        <f t="shared" si="39"/>
        <v>1.26</v>
      </c>
      <c r="T274" t="str">
        <f t="shared" si="40"/>
        <v>Delayed</v>
      </c>
      <c r="U274" t="str">
        <f t="shared" si="41"/>
        <v>High</v>
      </c>
      <c r="V274" t="str">
        <f t="shared" si="42"/>
        <v>High Risk</v>
      </c>
      <c r="W274" t="str">
        <f t="shared" si="43"/>
        <v>Aug</v>
      </c>
      <c r="X274">
        <f t="shared" si="44"/>
        <v>2025</v>
      </c>
    </row>
    <row r="275" spans="1:24" x14ac:dyDescent="0.35">
      <c r="A275" s="3">
        <v>45846</v>
      </c>
      <c r="B275" t="s">
        <v>190</v>
      </c>
      <c r="C275" t="s">
        <v>39</v>
      </c>
      <c r="D275" t="s">
        <v>419</v>
      </c>
      <c r="E275" t="s">
        <v>27</v>
      </c>
      <c r="F275" t="s">
        <v>41</v>
      </c>
      <c r="G275" t="s">
        <v>71</v>
      </c>
      <c r="H275">
        <v>41.3</v>
      </c>
      <c r="I275">
        <v>4270</v>
      </c>
      <c r="J275">
        <v>91</v>
      </c>
      <c r="K275">
        <v>20.7</v>
      </c>
      <c r="L275" t="s">
        <v>49</v>
      </c>
      <c r="M275">
        <v>24403.83</v>
      </c>
      <c r="N275">
        <v>26428</v>
      </c>
      <c r="O275" t="s">
        <v>91</v>
      </c>
      <c r="P275" t="str">
        <f t="shared" si="36"/>
        <v>Yes</v>
      </c>
      <c r="Q275">
        <f t="shared" si="37"/>
        <v>103.39</v>
      </c>
      <c r="R275">
        <f t="shared" si="38"/>
        <v>5.72</v>
      </c>
      <c r="S275">
        <f t="shared" si="39"/>
        <v>0.92</v>
      </c>
      <c r="T275" t="str">
        <f t="shared" si="40"/>
        <v>Delayed</v>
      </c>
      <c r="U275" t="str">
        <f t="shared" si="41"/>
        <v>Medium</v>
      </c>
      <c r="V275" t="str">
        <f t="shared" si="42"/>
        <v>High Risk</v>
      </c>
      <c r="W275" t="str">
        <f t="shared" si="43"/>
        <v>Jul</v>
      </c>
      <c r="X275">
        <f t="shared" si="44"/>
        <v>2025</v>
      </c>
    </row>
    <row r="276" spans="1:24" x14ac:dyDescent="0.35">
      <c r="A276" s="3">
        <v>45963</v>
      </c>
      <c r="B276" t="s">
        <v>210</v>
      </c>
      <c r="C276" t="s">
        <v>95</v>
      </c>
      <c r="D276" t="s">
        <v>420</v>
      </c>
      <c r="E276" t="s">
        <v>28</v>
      </c>
      <c r="F276" t="s">
        <v>54</v>
      </c>
      <c r="G276" t="s">
        <v>71</v>
      </c>
      <c r="H276">
        <v>24.5</v>
      </c>
      <c r="I276">
        <v>940</v>
      </c>
      <c r="J276">
        <v>76</v>
      </c>
      <c r="K276">
        <v>15.1</v>
      </c>
      <c r="L276" t="s">
        <v>30</v>
      </c>
      <c r="M276">
        <v>15783.99</v>
      </c>
      <c r="N276">
        <v>20586</v>
      </c>
      <c r="O276" t="s">
        <v>59</v>
      </c>
      <c r="P276" t="str">
        <f t="shared" si="36"/>
        <v>Yes</v>
      </c>
      <c r="Q276">
        <f t="shared" si="37"/>
        <v>38.369999999999997</v>
      </c>
      <c r="R276">
        <f t="shared" si="38"/>
        <v>16.79</v>
      </c>
      <c r="S276">
        <f t="shared" si="39"/>
        <v>0.77</v>
      </c>
      <c r="T276" t="str">
        <f t="shared" si="40"/>
        <v>Delayed</v>
      </c>
      <c r="U276" t="str">
        <f t="shared" si="41"/>
        <v>Low</v>
      </c>
      <c r="V276" t="str">
        <f t="shared" si="42"/>
        <v>Medium Risk</v>
      </c>
      <c r="W276" t="str">
        <f t="shared" si="43"/>
        <v>Nov</v>
      </c>
      <c r="X276">
        <f t="shared" si="44"/>
        <v>2025</v>
      </c>
    </row>
    <row r="277" spans="1:24" x14ac:dyDescent="0.35">
      <c r="A277" s="3">
        <v>45925</v>
      </c>
      <c r="B277" t="s">
        <v>171</v>
      </c>
      <c r="C277" t="s">
        <v>95</v>
      </c>
      <c r="D277" t="s">
        <v>421</v>
      </c>
      <c r="E277" t="s">
        <v>66</v>
      </c>
      <c r="F277" t="s">
        <v>54</v>
      </c>
      <c r="G277" t="s">
        <v>71</v>
      </c>
      <c r="H277">
        <v>50.6</v>
      </c>
      <c r="I277">
        <v>3340</v>
      </c>
      <c r="J277">
        <v>53</v>
      </c>
      <c r="K277">
        <v>10</v>
      </c>
      <c r="L277" t="s">
        <v>43</v>
      </c>
      <c r="M277">
        <v>24133.68</v>
      </c>
      <c r="N277">
        <v>11282</v>
      </c>
      <c r="O277" t="s">
        <v>67</v>
      </c>
      <c r="P277" t="str">
        <f t="shared" si="36"/>
        <v>Yes</v>
      </c>
      <c r="Q277">
        <f t="shared" si="37"/>
        <v>66.010000000000005</v>
      </c>
      <c r="R277">
        <f t="shared" si="38"/>
        <v>7.23</v>
      </c>
      <c r="S277">
        <f t="shared" si="39"/>
        <v>2.14</v>
      </c>
      <c r="T277" t="str">
        <f t="shared" si="40"/>
        <v>Delayed</v>
      </c>
      <c r="U277" t="str">
        <f t="shared" si="41"/>
        <v>Medium</v>
      </c>
      <c r="V277" t="str">
        <f t="shared" si="42"/>
        <v>Low Risk</v>
      </c>
      <c r="W277" t="str">
        <f t="shared" si="43"/>
        <v>Sep</v>
      </c>
      <c r="X277">
        <f t="shared" si="44"/>
        <v>2025</v>
      </c>
    </row>
    <row r="278" spans="1:24" x14ac:dyDescent="0.35">
      <c r="A278" s="3">
        <v>45936</v>
      </c>
      <c r="B278" t="s">
        <v>309</v>
      </c>
      <c r="C278" t="s">
        <v>95</v>
      </c>
      <c r="D278" t="s">
        <v>422</v>
      </c>
      <c r="E278" t="s">
        <v>41</v>
      </c>
      <c r="F278" t="s">
        <v>55</v>
      </c>
      <c r="G278" t="s">
        <v>71</v>
      </c>
      <c r="H278">
        <v>42.6</v>
      </c>
      <c r="I278">
        <v>4625</v>
      </c>
      <c r="J278">
        <v>116</v>
      </c>
      <c r="K278">
        <v>14.7</v>
      </c>
      <c r="L278" t="s">
        <v>30</v>
      </c>
      <c r="M278">
        <v>23385.27</v>
      </c>
      <c r="N278">
        <v>23008</v>
      </c>
      <c r="O278" t="s">
        <v>36</v>
      </c>
      <c r="P278" t="str">
        <f t="shared" si="36"/>
        <v>Yes</v>
      </c>
      <c r="Q278">
        <f t="shared" si="37"/>
        <v>108.57</v>
      </c>
      <c r="R278">
        <f t="shared" si="38"/>
        <v>5.0599999999999996</v>
      </c>
      <c r="S278">
        <f t="shared" si="39"/>
        <v>1.02</v>
      </c>
      <c r="T278" t="str">
        <f t="shared" si="40"/>
        <v>Delayed</v>
      </c>
      <c r="U278" t="str">
        <f t="shared" si="41"/>
        <v>Medium</v>
      </c>
      <c r="V278" t="str">
        <f t="shared" si="42"/>
        <v>Medium Risk</v>
      </c>
      <c r="W278" t="str">
        <f t="shared" si="43"/>
        <v>Oct</v>
      </c>
      <c r="X278">
        <f t="shared" si="44"/>
        <v>2025</v>
      </c>
    </row>
    <row r="279" spans="1:24" x14ac:dyDescent="0.35">
      <c r="A279" s="3">
        <v>45696</v>
      </c>
      <c r="B279" t="s">
        <v>185</v>
      </c>
      <c r="C279" t="s">
        <v>69</v>
      </c>
      <c r="D279" t="s">
        <v>423</v>
      </c>
      <c r="E279" t="s">
        <v>54</v>
      </c>
      <c r="F279" t="s">
        <v>41</v>
      </c>
      <c r="G279" t="s">
        <v>29</v>
      </c>
      <c r="H279">
        <v>53.3</v>
      </c>
      <c r="I279">
        <v>3662</v>
      </c>
      <c r="J279">
        <v>103</v>
      </c>
      <c r="K279">
        <v>11.1</v>
      </c>
      <c r="L279" t="s">
        <v>43</v>
      </c>
      <c r="M279">
        <v>33109.03</v>
      </c>
      <c r="N279">
        <v>12698</v>
      </c>
      <c r="O279" t="s">
        <v>50</v>
      </c>
      <c r="P279" t="str">
        <f t="shared" si="36"/>
        <v>Yes</v>
      </c>
      <c r="Q279">
        <f t="shared" si="37"/>
        <v>68.709999999999994</v>
      </c>
      <c r="R279">
        <f t="shared" si="38"/>
        <v>9.0399999999999991</v>
      </c>
      <c r="S279">
        <f t="shared" si="39"/>
        <v>2.61</v>
      </c>
      <c r="T279" t="str">
        <f t="shared" si="40"/>
        <v>Delayed</v>
      </c>
      <c r="U279" t="str">
        <f t="shared" si="41"/>
        <v>Medium</v>
      </c>
      <c r="V279" t="str">
        <f t="shared" si="42"/>
        <v>Low Risk</v>
      </c>
      <c r="W279" t="str">
        <f t="shared" si="43"/>
        <v>Feb</v>
      </c>
      <c r="X279">
        <f t="shared" si="44"/>
        <v>2025</v>
      </c>
    </row>
    <row r="280" spans="1:24" x14ac:dyDescent="0.35">
      <c r="A280" s="3">
        <v>45836</v>
      </c>
      <c r="B280" t="s">
        <v>68</v>
      </c>
      <c r="C280" t="s">
        <v>57</v>
      </c>
      <c r="D280" t="s">
        <v>424</v>
      </c>
      <c r="E280" t="s">
        <v>55</v>
      </c>
      <c r="F280" t="s">
        <v>48</v>
      </c>
      <c r="G280" t="s">
        <v>35</v>
      </c>
      <c r="H280">
        <v>21.7</v>
      </c>
      <c r="I280">
        <v>2482</v>
      </c>
      <c r="J280">
        <v>46</v>
      </c>
      <c r="K280">
        <v>13.5</v>
      </c>
      <c r="L280" t="s">
        <v>49</v>
      </c>
      <c r="M280">
        <v>11282.57</v>
      </c>
      <c r="N280">
        <v>20931</v>
      </c>
      <c r="O280" t="s">
        <v>59</v>
      </c>
      <c r="P280" t="str">
        <f t="shared" si="36"/>
        <v>Yes</v>
      </c>
      <c r="Q280">
        <f t="shared" si="37"/>
        <v>114.38</v>
      </c>
      <c r="R280">
        <f t="shared" si="38"/>
        <v>4.55</v>
      </c>
      <c r="S280">
        <f t="shared" si="39"/>
        <v>0.54</v>
      </c>
      <c r="T280" t="str">
        <f t="shared" si="40"/>
        <v>Delayed</v>
      </c>
      <c r="U280" t="str">
        <f t="shared" si="41"/>
        <v>Low</v>
      </c>
      <c r="V280" t="str">
        <f t="shared" si="42"/>
        <v>High Risk</v>
      </c>
      <c r="W280" t="str">
        <f t="shared" si="43"/>
        <v>Jun</v>
      </c>
      <c r="X280">
        <f t="shared" si="44"/>
        <v>2025</v>
      </c>
    </row>
    <row r="281" spans="1:24" x14ac:dyDescent="0.35">
      <c r="A281" s="3">
        <v>45882</v>
      </c>
      <c r="B281" t="s">
        <v>82</v>
      </c>
      <c r="C281" t="s">
        <v>57</v>
      </c>
      <c r="D281" t="s">
        <v>425</v>
      </c>
      <c r="E281" t="s">
        <v>66</v>
      </c>
      <c r="F281" t="s">
        <v>48</v>
      </c>
      <c r="G281" t="s">
        <v>35</v>
      </c>
      <c r="H281">
        <v>32.799999999999997</v>
      </c>
      <c r="I281">
        <v>3636</v>
      </c>
      <c r="J281">
        <v>45</v>
      </c>
      <c r="K281">
        <v>19.8</v>
      </c>
      <c r="L281" t="s">
        <v>49</v>
      </c>
      <c r="M281">
        <v>15822.91</v>
      </c>
      <c r="N281">
        <v>22082</v>
      </c>
      <c r="O281" t="s">
        <v>36</v>
      </c>
      <c r="P281" t="str">
        <f t="shared" si="36"/>
        <v>Yes</v>
      </c>
      <c r="Q281">
        <f t="shared" si="37"/>
        <v>110.85</v>
      </c>
      <c r="R281">
        <f t="shared" si="38"/>
        <v>4.3499999999999996</v>
      </c>
      <c r="S281">
        <f t="shared" si="39"/>
        <v>0.72</v>
      </c>
      <c r="T281" t="str">
        <f t="shared" si="40"/>
        <v>Delayed</v>
      </c>
      <c r="U281" t="str">
        <f t="shared" si="41"/>
        <v>Low</v>
      </c>
      <c r="V281" t="str">
        <f t="shared" si="42"/>
        <v>High Risk</v>
      </c>
      <c r="W281" t="str">
        <f t="shared" si="43"/>
        <v>Aug</v>
      </c>
      <c r="X281">
        <f t="shared" si="44"/>
        <v>2025</v>
      </c>
    </row>
    <row r="282" spans="1:24" x14ac:dyDescent="0.35">
      <c r="A282" s="3">
        <v>45865</v>
      </c>
      <c r="B282" t="s">
        <v>154</v>
      </c>
      <c r="C282" t="s">
        <v>95</v>
      </c>
      <c r="D282" t="s">
        <v>426</v>
      </c>
      <c r="E282" t="s">
        <v>27</v>
      </c>
      <c r="F282" t="s">
        <v>28</v>
      </c>
      <c r="G282" t="s">
        <v>35</v>
      </c>
      <c r="H282">
        <v>66.599999999999994</v>
      </c>
      <c r="I282">
        <v>3945</v>
      </c>
      <c r="J282">
        <v>58</v>
      </c>
      <c r="K282">
        <v>12.7</v>
      </c>
      <c r="L282" t="s">
        <v>43</v>
      </c>
      <c r="M282">
        <v>30236.51</v>
      </c>
      <c r="N282">
        <v>25055</v>
      </c>
      <c r="O282" t="s">
        <v>44</v>
      </c>
      <c r="P282" t="str">
        <f t="shared" si="36"/>
        <v>Yes</v>
      </c>
      <c r="Q282">
        <f t="shared" si="37"/>
        <v>59.23</v>
      </c>
      <c r="R282">
        <f t="shared" si="38"/>
        <v>7.66</v>
      </c>
      <c r="S282">
        <f t="shared" si="39"/>
        <v>1.21</v>
      </c>
      <c r="T282" t="str">
        <f t="shared" si="40"/>
        <v>Delayed</v>
      </c>
      <c r="U282" t="str">
        <f t="shared" si="41"/>
        <v>High</v>
      </c>
      <c r="V282" t="str">
        <f t="shared" si="42"/>
        <v>Low Risk</v>
      </c>
      <c r="W282" t="str">
        <f t="shared" si="43"/>
        <v>Jul</v>
      </c>
      <c r="X282">
        <f t="shared" si="44"/>
        <v>2025</v>
      </c>
    </row>
    <row r="283" spans="1:24" x14ac:dyDescent="0.35">
      <c r="A283" s="3">
        <v>45933</v>
      </c>
      <c r="B283" t="s">
        <v>100</v>
      </c>
      <c r="C283" t="s">
        <v>57</v>
      </c>
      <c r="D283" t="s">
        <v>427</v>
      </c>
      <c r="E283" t="s">
        <v>66</v>
      </c>
      <c r="F283" t="s">
        <v>27</v>
      </c>
      <c r="G283" t="s">
        <v>42</v>
      </c>
      <c r="H283">
        <v>51.8</v>
      </c>
      <c r="I283">
        <v>2009</v>
      </c>
      <c r="J283">
        <v>105</v>
      </c>
      <c r="K283">
        <v>21.1</v>
      </c>
      <c r="L283" t="s">
        <v>49</v>
      </c>
      <c r="M283">
        <v>34844.07</v>
      </c>
      <c r="N283">
        <v>26479</v>
      </c>
      <c r="O283" t="s">
        <v>44</v>
      </c>
      <c r="P283" t="str">
        <f t="shared" si="36"/>
        <v>Yes</v>
      </c>
      <c r="Q283">
        <f t="shared" si="37"/>
        <v>38.78</v>
      </c>
      <c r="R283">
        <f t="shared" si="38"/>
        <v>17.34</v>
      </c>
      <c r="S283">
        <f t="shared" si="39"/>
        <v>1.32</v>
      </c>
      <c r="T283" t="str">
        <f t="shared" si="40"/>
        <v>Delayed</v>
      </c>
      <c r="U283" t="str">
        <f t="shared" si="41"/>
        <v>Medium</v>
      </c>
      <c r="V283" t="str">
        <f t="shared" si="42"/>
        <v>High Risk</v>
      </c>
      <c r="W283" t="str">
        <f t="shared" si="43"/>
        <v>Oct</v>
      </c>
      <c r="X283">
        <f t="shared" si="44"/>
        <v>2025</v>
      </c>
    </row>
    <row r="284" spans="1:24" x14ac:dyDescent="0.35">
      <c r="A284" s="3">
        <v>45784</v>
      </c>
      <c r="B284" t="s">
        <v>80</v>
      </c>
      <c r="C284" t="s">
        <v>25</v>
      </c>
      <c r="D284" t="s">
        <v>428</v>
      </c>
      <c r="E284" t="s">
        <v>27</v>
      </c>
      <c r="F284" t="s">
        <v>63</v>
      </c>
      <c r="G284" t="s">
        <v>35</v>
      </c>
      <c r="H284">
        <v>75.099999999999994</v>
      </c>
      <c r="I284">
        <v>945</v>
      </c>
      <c r="J284">
        <v>25</v>
      </c>
      <c r="K284">
        <v>10.9</v>
      </c>
      <c r="L284" t="s">
        <v>49</v>
      </c>
      <c r="M284">
        <v>49221.51</v>
      </c>
      <c r="N284">
        <v>22501</v>
      </c>
      <c r="O284" t="s">
        <v>67</v>
      </c>
      <c r="P284" t="str">
        <f t="shared" si="36"/>
        <v>Yes</v>
      </c>
      <c r="Q284">
        <f t="shared" si="37"/>
        <v>12.58</v>
      </c>
      <c r="R284">
        <f t="shared" si="38"/>
        <v>52.09</v>
      </c>
      <c r="S284">
        <f t="shared" si="39"/>
        <v>2.19</v>
      </c>
      <c r="T284" t="str">
        <f t="shared" si="40"/>
        <v>Delayed</v>
      </c>
      <c r="U284" t="str">
        <f t="shared" si="41"/>
        <v>High</v>
      </c>
      <c r="V284" t="str">
        <f t="shared" si="42"/>
        <v>High Risk</v>
      </c>
      <c r="W284" t="str">
        <f t="shared" si="43"/>
        <v>May</v>
      </c>
      <c r="X284">
        <f t="shared" si="44"/>
        <v>2025</v>
      </c>
    </row>
    <row r="285" spans="1:24" x14ac:dyDescent="0.35">
      <c r="A285" s="3">
        <v>45821</v>
      </c>
      <c r="B285" t="s">
        <v>190</v>
      </c>
      <c r="C285" t="s">
        <v>130</v>
      </c>
      <c r="D285" t="s">
        <v>429</v>
      </c>
      <c r="E285" t="s">
        <v>27</v>
      </c>
      <c r="F285" t="s">
        <v>28</v>
      </c>
      <c r="G285" t="s">
        <v>71</v>
      </c>
      <c r="H285">
        <v>56.6</v>
      </c>
      <c r="I285">
        <v>1450</v>
      </c>
      <c r="J285">
        <v>54</v>
      </c>
      <c r="K285">
        <v>16.100000000000001</v>
      </c>
      <c r="L285" t="s">
        <v>43</v>
      </c>
      <c r="M285">
        <v>37394.17</v>
      </c>
      <c r="N285">
        <v>14044</v>
      </c>
      <c r="O285" t="s">
        <v>44</v>
      </c>
      <c r="P285" t="str">
        <f t="shared" si="36"/>
        <v>Yes</v>
      </c>
      <c r="Q285">
        <f t="shared" si="37"/>
        <v>25.62</v>
      </c>
      <c r="R285">
        <f t="shared" si="38"/>
        <v>25.79</v>
      </c>
      <c r="S285">
        <f t="shared" si="39"/>
        <v>2.66</v>
      </c>
      <c r="T285" t="str">
        <f t="shared" si="40"/>
        <v>Delayed</v>
      </c>
      <c r="U285" t="str">
        <f t="shared" si="41"/>
        <v>Medium</v>
      </c>
      <c r="V285" t="str">
        <f t="shared" si="42"/>
        <v>Low Risk</v>
      </c>
      <c r="W285" t="str">
        <f t="shared" si="43"/>
        <v>Jun</v>
      </c>
      <c r="X285">
        <f t="shared" si="44"/>
        <v>2025</v>
      </c>
    </row>
    <row r="286" spans="1:24" x14ac:dyDescent="0.35">
      <c r="A286" s="3">
        <v>45708</v>
      </c>
      <c r="B286" t="s">
        <v>430</v>
      </c>
      <c r="C286" t="s">
        <v>39</v>
      </c>
      <c r="D286" t="s">
        <v>431</v>
      </c>
      <c r="E286" t="s">
        <v>28</v>
      </c>
      <c r="F286" t="s">
        <v>54</v>
      </c>
      <c r="G286" t="s">
        <v>29</v>
      </c>
      <c r="H286">
        <v>30.9</v>
      </c>
      <c r="I286">
        <v>3137</v>
      </c>
      <c r="J286">
        <v>109</v>
      </c>
      <c r="K286">
        <v>10.5</v>
      </c>
      <c r="L286" t="s">
        <v>49</v>
      </c>
      <c r="M286">
        <v>21315.41</v>
      </c>
      <c r="N286">
        <v>26002</v>
      </c>
      <c r="O286" t="s">
        <v>84</v>
      </c>
      <c r="P286" t="str">
        <f t="shared" si="36"/>
        <v>Yes</v>
      </c>
      <c r="Q286">
        <f t="shared" si="37"/>
        <v>101.52</v>
      </c>
      <c r="R286">
        <f t="shared" si="38"/>
        <v>6.79</v>
      </c>
      <c r="S286">
        <f t="shared" si="39"/>
        <v>0.82</v>
      </c>
      <c r="T286" t="str">
        <f t="shared" si="40"/>
        <v>Delayed</v>
      </c>
      <c r="U286" t="str">
        <f t="shared" si="41"/>
        <v>Low</v>
      </c>
      <c r="V286" t="str">
        <f t="shared" si="42"/>
        <v>High Risk</v>
      </c>
      <c r="W286" t="str">
        <f t="shared" si="43"/>
        <v>Feb</v>
      </c>
      <c r="X286">
        <f t="shared" si="44"/>
        <v>2025</v>
      </c>
    </row>
    <row r="287" spans="1:24" x14ac:dyDescent="0.35">
      <c r="A287" s="3">
        <v>45807</v>
      </c>
      <c r="B287" t="s">
        <v>201</v>
      </c>
      <c r="C287" t="s">
        <v>57</v>
      </c>
      <c r="D287" t="s">
        <v>432</v>
      </c>
      <c r="E287" t="s">
        <v>27</v>
      </c>
      <c r="F287" t="s">
        <v>48</v>
      </c>
      <c r="G287" t="s">
        <v>29</v>
      </c>
      <c r="H287">
        <v>52.6</v>
      </c>
      <c r="I287">
        <v>1906</v>
      </c>
      <c r="J287">
        <v>93</v>
      </c>
      <c r="K287">
        <v>11.3</v>
      </c>
      <c r="L287" t="s">
        <v>49</v>
      </c>
      <c r="M287">
        <v>28991.7</v>
      </c>
      <c r="N287">
        <v>15520</v>
      </c>
      <c r="O287" t="s">
        <v>36</v>
      </c>
      <c r="P287" t="str">
        <f t="shared" si="36"/>
        <v>Yes</v>
      </c>
      <c r="Q287">
        <f t="shared" si="37"/>
        <v>36.24</v>
      </c>
      <c r="R287">
        <f t="shared" si="38"/>
        <v>15.21</v>
      </c>
      <c r="S287">
        <f t="shared" si="39"/>
        <v>1.87</v>
      </c>
      <c r="T287" t="str">
        <f t="shared" si="40"/>
        <v>Delayed</v>
      </c>
      <c r="U287" t="str">
        <f t="shared" si="41"/>
        <v>Medium</v>
      </c>
      <c r="V287" t="str">
        <f t="shared" si="42"/>
        <v>High Risk</v>
      </c>
      <c r="W287" t="str">
        <f t="shared" si="43"/>
        <v>May</v>
      </c>
      <c r="X287">
        <f t="shared" si="44"/>
        <v>2025</v>
      </c>
    </row>
    <row r="288" spans="1:24" x14ac:dyDescent="0.35">
      <c r="A288" s="3">
        <v>45900</v>
      </c>
      <c r="B288" t="s">
        <v>73</v>
      </c>
      <c r="C288" t="s">
        <v>39</v>
      </c>
      <c r="D288" t="s">
        <v>433</v>
      </c>
      <c r="E288" t="s">
        <v>28</v>
      </c>
      <c r="F288" t="s">
        <v>48</v>
      </c>
      <c r="G288" t="s">
        <v>71</v>
      </c>
      <c r="H288">
        <v>32.6</v>
      </c>
      <c r="I288">
        <v>4132</v>
      </c>
      <c r="J288">
        <v>61</v>
      </c>
      <c r="K288">
        <v>15.4</v>
      </c>
      <c r="L288" t="s">
        <v>49</v>
      </c>
      <c r="M288">
        <v>18479.21</v>
      </c>
      <c r="N288">
        <v>8473</v>
      </c>
      <c r="O288" t="s">
        <v>50</v>
      </c>
      <c r="P288" t="str">
        <f t="shared" si="36"/>
        <v>Yes</v>
      </c>
      <c r="Q288">
        <f t="shared" si="37"/>
        <v>126.75</v>
      </c>
      <c r="R288">
        <f t="shared" si="38"/>
        <v>4.47</v>
      </c>
      <c r="S288">
        <f t="shared" si="39"/>
        <v>2.1800000000000002</v>
      </c>
      <c r="T288" t="str">
        <f t="shared" si="40"/>
        <v>Delayed</v>
      </c>
      <c r="U288" t="str">
        <f t="shared" si="41"/>
        <v>Low</v>
      </c>
      <c r="V288" t="str">
        <f t="shared" si="42"/>
        <v>High Risk</v>
      </c>
      <c r="W288" t="str">
        <f t="shared" si="43"/>
        <v>Aug</v>
      </c>
      <c r="X288">
        <f t="shared" si="44"/>
        <v>2025</v>
      </c>
    </row>
    <row r="289" spans="1:24" x14ac:dyDescent="0.35">
      <c r="A289" s="3">
        <v>45800</v>
      </c>
      <c r="B289" t="s">
        <v>80</v>
      </c>
      <c r="C289" t="s">
        <v>69</v>
      </c>
      <c r="D289" t="s">
        <v>434</v>
      </c>
      <c r="E289" t="s">
        <v>66</v>
      </c>
      <c r="F289" t="s">
        <v>41</v>
      </c>
      <c r="G289" t="s">
        <v>29</v>
      </c>
      <c r="H289">
        <v>25.4</v>
      </c>
      <c r="I289">
        <v>2045</v>
      </c>
      <c r="J289">
        <v>53</v>
      </c>
      <c r="K289">
        <v>19.600000000000001</v>
      </c>
      <c r="L289" t="s">
        <v>30</v>
      </c>
      <c r="M289">
        <v>13779.35</v>
      </c>
      <c r="N289">
        <v>8490</v>
      </c>
      <c r="O289" t="s">
        <v>84</v>
      </c>
      <c r="P289" t="str">
        <f t="shared" si="36"/>
        <v>Yes</v>
      </c>
      <c r="Q289">
        <f t="shared" si="37"/>
        <v>80.510000000000005</v>
      </c>
      <c r="R289">
        <f t="shared" si="38"/>
        <v>6.74</v>
      </c>
      <c r="S289">
        <f t="shared" si="39"/>
        <v>1.62</v>
      </c>
      <c r="T289" t="str">
        <f t="shared" si="40"/>
        <v>Delayed</v>
      </c>
      <c r="U289" t="str">
        <f t="shared" si="41"/>
        <v>Low</v>
      </c>
      <c r="V289" t="str">
        <f t="shared" si="42"/>
        <v>Medium Risk</v>
      </c>
      <c r="W289" t="str">
        <f t="shared" si="43"/>
        <v>May</v>
      </c>
      <c r="X289">
        <f t="shared" si="44"/>
        <v>2025</v>
      </c>
    </row>
    <row r="290" spans="1:24" x14ac:dyDescent="0.35">
      <c r="A290" s="3">
        <v>45895</v>
      </c>
      <c r="B290" t="s">
        <v>64</v>
      </c>
      <c r="C290" t="s">
        <v>95</v>
      </c>
      <c r="D290" t="s">
        <v>435</v>
      </c>
      <c r="E290" t="s">
        <v>41</v>
      </c>
      <c r="F290" t="s">
        <v>63</v>
      </c>
      <c r="G290" t="s">
        <v>29</v>
      </c>
      <c r="H290">
        <v>75.2</v>
      </c>
      <c r="I290">
        <v>3739</v>
      </c>
      <c r="J290">
        <v>50</v>
      </c>
      <c r="K290">
        <v>20</v>
      </c>
      <c r="L290" t="s">
        <v>78</v>
      </c>
      <c r="M290">
        <v>47816.81</v>
      </c>
      <c r="N290">
        <v>13527</v>
      </c>
      <c r="O290" t="s">
        <v>31</v>
      </c>
      <c r="P290" t="str">
        <f t="shared" si="36"/>
        <v>No</v>
      </c>
      <c r="Q290">
        <f t="shared" si="37"/>
        <v>49.72</v>
      </c>
      <c r="R290">
        <f t="shared" si="38"/>
        <v>12.79</v>
      </c>
      <c r="S290">
        <f t="shared" si="39"/>
        <v>3.53</v>
      </c>
      <c r="T290" t="str">
        <f t="shared" si="40"/>
        <v>On Time</v>
      </c>
      <c r="U290" t="str">
        <f t="shared" si="41"/>
        <v>High</v>
      </c>
      <c r="V290" t="str">
        <f t="shared" si="42"/>
        <v>Low Risk</v>
      </c>
      <c r="W290" t="str">
        <f t="shared" si="43"/>
        <v>Aug</v>
      </c>
      <c r="X290">
        <f t="shared" si="44"/>
        <v>2025</v>
      </c>
    </row>
    <row r="291" spans="1:24" x14ac:dyDescent="0.35">
      <c r="A291" s="3">
        <v>45773</v>
      </c>
      <c r="B291" t="s">
        <v>195</v>
      </c>
      <c r="C291" t="s">
        <v>57</v>
      </c>
      <c r="D291" t="s">
        <v>436</v>
      </c>
      <c r="E291" t="s">
        <v>27</v>
      </c>
      <c r="F291" t="s">
        <v>28</v>
      </c>
      <c r="G291" t="s">
        <v>71</v>
      </c>
      <c r="H291">
        <v>32.299999999999997</v>
      </c>
      <c r="I291">
        <v>2882</v>
      </c>
      <c r="J291">
        <v>114</v>
      </c>
      <c r="K291">
        <v>11.2</v>
      </c>
      <c r="L291" t="s">
        <v>78</v>
      </c>
      <c r="M291">
        <v>14962.27</v>
      </c>
      <c r="N291">
        <v>24208</v>
      </c>
      <c r="O291" t="s">
        <v>44</v>
      </c>
      <c r="P291" t="str">
        <f t="shared" si="36"/>
        <v>No</v>
      </c>
      <c r="Q291">
        <f t="shared" si="37"/>
        <v>89.23</v>
      </c>
      <c r="R291">
        <f t="shared" si="38"/>
        <v>5.19</v>
      </c>
      <c r="S291">
        <f t="shared" si="39"/>
        <v>0.62</v>
      </c>
      <c r="T291" t="str">
        <f t="shared" si="40"/>
        <v>On Time</v>
      </c>
      <c r="U291" t="str">
        <f t="shared" si="41"/>
        <v>Low</v>
      </c>
      <c r="V291" t="str">
        <f t="shared" si="42"/>
        <v>Low Risk</v>
      </c>
      <c r="W291" t="str">
        <f t="shared" si="43"/>
        <v>Apr</v>
      </c>
      <c r="X291">
        <f t="shared" si="44"/>
        <v>2025</v>
      </c>
    </row>
    <row r="292" spans="1:24" x14ac:dyDescent="0.35">
      <c r="A292" s="3">
        <v>45726</v>
      </c>
      <c r="B292" t="s">
        <v>152</v>
      </c>
      <c r="C292" t="s">
        <v>39</v>
      </c>
      <c r="D292" t="s">
        <v>437</v>
      </c>
      <c r="E292" t="s">
        <v>66</v>
      </c>
      <c r="F292" t="s">
        <v>55</v>
      </c>
      <c r="G292" t="s">
        <v>71</v>
      </c>
      <c r="H292">
        <v>65.099999999999994</v>
      </c>
      <c r="I292">
        <v>2244</v>
      </c>
      <c r="J292">
        <v>98</v>
      </c>
      <c r="K292">
        <v>16.3</v>
      </c>
      <c r="L292" t="s">
        <v>78</v>
      </c>
      <c r="M292">
        <v>38019.61</v>
      </c>
      <c r="N292">
        <v>17749</v>
      </c>
      <c r="O292" t="s">
        <v>67</v>
      </c>
      <c r="P292" t="str">
        <f t="shared" si="36"/>
        <v>No</v>
      </c>
      <c r="Q292">
        <f t="shared" si="37"/>
        <v>34.47</v>
      </c>
      <c r="R292">
        <f t="shared" si="38"/>
        <v>16.940000000000001</v>
      </c>
      <c r="S292">
        <f t="shared" si="39"/>
        <v>2.14</v>
      </c>
      <c r="T292" t="str">
        <f t="shared" si="40"/>
        <v>On Time</v>
      </c>
      <c r="U292" t="str">
        <f t="shared" si="41"/>
        <v>High</v>
      </c>
      <c r="V292" t="str">
        <f t="shared" si="42"/>
        <v>Low Risk</v>
      </c>
      <c r="W292" t="str">
        <f t="shared" si="43"/>
        <v>Mar</v>
      </c>
      <c r="X292">
        <f t="shared" si="44"/>
        <v>2025</v>
      </c>
    </row>
    <row r="293" spans="1:24" x14ac:dyDescent="0.35">
      <c r="A293" s="3">
        <v>45679</v>
      </c>
      <c r="B293" t="s">
        <v>246</v>
      </c>
      <c r="C293" t="s">
        <v>25</v>
      </c>
      <c r="D293" t="s">
        <v>438</v>
      </c>
      <c r="E293" t="s">
        <v>63</v>
      </c>
      <c r="F293" t="s">
        <v>27</v>
      </c>
      <c r="G293" t="s">
        <v>42</v>
      </c>
      <c r="H293">
        <v>30.2</v>
      </c>
      <c r="I293">
        <v>1302</v>
      </c>
      <c r="J293">
        <v>105</v>
      </c>
      <c r="K293">
        <v>17.399999999999999</v>
      </c>
      <c r="L293" t="s">
        <v>78</v>
      </c>
      <c r="M293">
        <v>19630.990000000002</v>
      </c>
      <c r="N293">
        <v>19841</v>
      </c>
      <c r="O293" t="s">
        <v>31</v>
      </c>
      <c r="P293" t="str">
        <f t="shared" si="36"/>
        <v>No</v>
      </c>
      <c r="Q293">
        <f t="shared" si="37"/>
        <v>43.11</v>
      </c>
      <c r="R293">
        <f t="shared" si="38"/>
        <v>15.08</v>
      </c>
      <c r="S293">
        <f t="shared" si="39"/>
        <v>0.99</v>
      </c>
      <c r="T293" t="str">
        <f t="shared" si="40"/>
        <v>On Time</v>
      </c>
      <c r="U293" t="str">
        <f t="shared" si="41"/>
        <v>Low</v>
      </c>
      <c r="V293" t="str">
        <f t="shared" si="42"/>
        <v>Low Risk</v>
      </c>
      <c r="W293" t="str">
        <f t="shared" si="43"/>
        <v>Jan</v>
      </c>
      <c r="X293">
        <f t="shared" si="44"/>
        <v>2025</v>
      </c>
    </row>
    <row r="294" spans="1:24" x14ac:dyDescent="0.35">
      <c r="A294" s="3">
        <v>45834</v>
      </c>
      <c r="B294" t="s">
        <v>73</v>
      </c>
      <c r="C294" t="s">
        <v>57</v>
      </c>
      <c r="D294" t="s">
        <v>439</v>
      </c>
      <c r="E294" t="s">
        <v>54</v>
      </c>
      <c r="F294" t="s">
        <v>55</v>
      </c>
      <c r="G294" t="s">
        <v>29</v>
      </c>
      <c r="H294">
        <v>76.900000000000006</v>
      </c>
      <c r="I294">
        <v>1939</v>
      </c>
      <c r="J294">
        <v>73</v>
      </c>
      <c r="K294">
        <v>16.399999999999999</v>
      </c>
      <c r="L294" t="s">
        <v>78</v>
      </c>
      <c r="M294">
        <v>49635.38</v>
      </c>
      <c r="N294">
        <v>10917</v>
      </c>
      <c r="O294" t="s">
        <v>31</v>
      </c>
      <c r="P294" t="str">
        <f t="shared" si="36"/>
        <v>No</v>
      </c>
      <c r="Q294">
        <f t="shared" si="37"/>
        <v>25.21</v>
      </c>
      <c r="R294">
        <f t="shared" si="38"/>
        <v>25.6</v>
      </c>
      <c r="S294">
        <f t="shared" si="39"/>
        <v>4.55</v>
      </c>
      <c r="T294" t="str">
        <f t="shared" si="40"/>
        <v>On Time</v>
      </c>
      <c r="U294" t="str">
        <f t="shared" si="41"/>
        <v>High</v>
      </c>
      <c r="V294" t="str">
        <f t="shared" si="42"/>
        <v>Low Risk</v>
      </c>
      <c r="W294" t="str">
        <f t="shared" si="43"/>
        <v>Jun</v>
      </c>
      <c r="X294">
        <f t="shared" si="44"/>
        <v>2025</v>
      </c>
    </row>
    <row r="295" spans="1:24" x14ac:dyDescent="0.35">
      <c r="A295" s="3">
        <v>45854</v>
      </c>
      <c r="B295" t="s">
        <v>173</v>
      </c>
      <c r="C295" t="s">
        <v>95</v>
      </c>
      <c r="D295" t="s">
        <v>440</v>
      </c>
      <c r="E295" t="s">
        <v>41</v>
      </c>
      <c r="F295" t="s">
        <v>55</v>
      </c>
      <c r="G295" t="s">
        <v>42</v>
      </c>
      <c r="H295">
        <v>74.2</v>
      </c>
      <c r="I295">
        <v>4787</v>
      </c>
      <c r="J295">
        <v>66</v>
      </c>
      <c r="K295">
        <v>17.899999999999999</v>
      </c>
      <c r="L295" t="s">
        <v>49</v>
      </c>
      <c r="M295">
        <v>39629.410000000003</v>
      </c>
      <c r="N295">
        <v>18903</v>
      </c>
      <c r="O295" t="s">
        <v>91</v>
      </c>
      <c r="P295" t="str">
        <f t="shared" si="36"/>
        <v>Yes</v>
      </c>
      <c r="Q295">
        <f t="shared" si="37"/>
        <v>64.510000000000005</v>
      </c>
      <c r="R295">
        <f t="shared" si="38"/>
        <v>8.2799999999999994</v>
      </c>
      <c r="S295">
        <f t="shared" si="39"/>
        <v>2.1</v>
      </c>
      <c r="T295" t="str">
        <f t="shared" si="40"/>
        <v>Delayed</v>
      </c>
      <c r="U295" t="str">
        <f t="shared" si="41"/>
        <v>High</v>
      </c>
      <c r="V295" t="str">
        <f t="shared" si="42"/>
        <v>High Risk</v>
      </c>
      <c r="W295" t="str">
        <f t="shared" si="43"/>
        <v>Jul</v>
      </c>
      <c r="X295">
        <f t="shared" si="44"/>
        <v>2025</v>
      </c>
    </row>
    <row r="296" spans="1:24" x14ac:dyDescent="0.35">
      <c r="A296" s="3">
        <v>45790</v>
      </c>
      <c r="B296" t="s">
        <v>82</v>
      </c>
      <c r="C296" t="s">
        <v>69</v>
      </c>
      <c r="D296" t="s">
        <v>441</v>
      </c>
      <c r="E296" t="s">
        <v>63</v>
      </c>
      <c r="F296" t="s">
        <v>41</v>
      </c>
      <c r="G296" t="s">
        <v>35</v>
      </c>
      <c r="H296">
        <v>68.599999999999994</v>
      </c>
      <c r="I296">
        <v>4860</v>
      </c>
      <c r="J296">
        <v>52</v>
      </c>
      <c r="K296">
        <v>15.9</v>
      </c>
      <c r="L296" t="s">
        <v>43</v>
      </c>
      <c r="M296">
        <v>32990.57</v>
      </c>
      <c r="N296">
        <v>20332</v>
      </c>
      <c r="O296" t="s">
        <v>67</v>
      </c>
      <c r="P296" t="str">
        <f t="shared" si="36"/>
        <v>Yes</v>
      </c>
      <c r="Q296">
        <f t="shared" si="37"/>
        <v>70.849999999999994</v>
      </c>
      <c r="R296">
        <f t="shared" si="38"/>
        <v>6.79</v>
      </c>
      <c r="S296">
        <f t="shared" si="39"/>
        <v>1.62</v>
      </c>
      <c r="T296" t="str">
        <f t="shared" si="40"/>
        <v>Delayed</v>
      </c>
      <c r="U296" t="str">
        <f t="shared" si="41"/>
        <v>High</v>
      </c>
      <c r="V296" t="str">
        <f t="shared" si="42"/>
        <v>Low Risk</v>
      </c>
      <c r="W296" t="str">
        <f t="shared" si="43"/>
        <v>May</v>
      </c>
      <c r="X296">
        <f t="shared" si="44"/>
        <v>2025</v>
      </c>
    </row>
    <row r="297" spans="1:24" x14ac:dyDescent="0.35">
      <c r="A297" s="3">
        <v>45939</v>
      </c>
      <c r="B297" t="s">
        <v>203</v>
      </c>
      <c r="C297" t="s">
        <v>95</v>
      </c>
      <c r="D297" t="s">
        <v>442</v>
      </c>
      <c r="E297" t="s">
        <v>27</v>
      </c>
      <c r="F297" t="s">
        <v>48</v>
      </c>
      <c r="G297" t="s">
        <v>42</v>
      </c>
      <c r="H297">
        <v>52.7</v>
      </c>
      <c r="I297">
        <v>2237</v>
      </c>
      <c r="J297">
        <v>58</v>
      </c>
      <c r="K297">
        <v>12.7</v>
      </c>
      <c r="L297" t="s">
        <v>43</v>
      </c>
      <c r="M297">
        <v>32777.550000000003</v>
      </c>
      <c r="N297">
        <v>5479</v>
      </c>
      <c r="O297" t="s">
        <v>59</v>
      </c>
      <c r="P297" t="str">
        <f t="shared" si="36"/>
        <v>Yes</v>
      </c>
      <c r="Q297">
        <f t="shared" si="37"/>
        <v>42.45</v>
      </c>
      <c r="R297">
        <f t="shared" si="38"/>
        <v>14.65</v>
      </c>
      <c r="S297">
        <f t="shared" si="39"/>
        <v>5.98</v>
      </c>
      <c r="T297" t="str">
        <f t="shared" si="40"/>
        <v>Delayed</v>
      </c>
      <c r="U297" t="str">
        <f t="shared" si="41"/>
        <v>Medium</v>
      </c>
      <c r="V297" t="str">
        <f t="shared" si="42"/>
        <v>Low Risk</v>
      </c>
      <c r="W297" t="str">
        <f t="shared" si="43"/>
        <v>Oct</v>
      </c>
      <c r="X297">
        <f t="shared" si="44"/>
        <v>2025</v>
      </c>
    </row>
    <row r="298" spans="1:24" x14ac:dyDescent="0.35">
      <c r="A298" s="3">
        <v>45919</v>
      </c>
      <c r="B298" t="s">
        <v>146</v>
      </c>
      <c r="C298" t="s">
        <v>69</v>
      </c>
      <c r="D298" t="s">
        <v>443</v>
      </c>
      <c r="E298" t="s">
        <v>55</v>
      </c>
      <c r="F298" t="s">
        <v>66</v>
      </c>
      <c r="G298" t="s">
        <v>35</v>
      </c>
      <c r="H298">
        <v>29.9</v>
      </c>
      <c r="I298">
        <v>4778</v>
      </c>
      <c r="J298">
        <v>111</v>
      </c>
      <c r="K298">
        <v>21.1</v>
      </c>
      <c r="L298" t="s">
        <v>49</v>
      </c>
      <c r="M298">
        <v>13818.8</v>
      </c>
      <c r="N298">
        <v>16702</v>
      </c>
      <c r="O298" t="s">
        <v>84</v>
      </c>
      <c r="P298" t="str">
        <f t="shared" si="36"/>
        <v>Yes</v>
      </c>
      <c r="Q298">
        <f t="shared" si="37"/>
        <v>159.80000000000001</v>
      </c>
      <c r="R298">
        <f t="shared" si="38"/>
        <v>2.89</v>
      </c>
      <c r="S298">
        <f t="shared" si="39"/>
        <v>0.83</v>
      </c>
      <c r="T298" t="str">
        <f t="shared" si="40"/>
        <v>Delayed</v>
      </c>
      <c r="U298" t="str">
        <f t="shared" si="41"/>
        <v>Low</v>
      </c>
      <c r="V298" t="str">
        <f t="shared" si="42"/>
        <v>High Risk</v>
      </c>
      <c r="W298" t="str">
        <f t="shared" si="43"/>
        <v>Sep</v>
      </c>
      <c r="X298">
        <f t="shared" si="44"/>
        <v>2025</v>
      </c>
    </row>
    <row r="299" spans="1:24" x14ac:dyDescent="0.35">
      <c r="A299" s="3">
        <v>45746</v>
      </c>
      <c r="B299" t="s">
        <v>82</v>
      </c>
      <c r="C299" t="s">
        <v>25</v>
      </c>
      <c r="D299" t="s">
        <v>444</v>
      </c>
      <c r="E299" t="s">
        <v>54</v>
      </c>
      <c r="F299" t="s">
        <v>48</v>
      </c>
      <c r="G299" t="s">
        <v>71</v>
      </c>
      <c r="H299">
        <v>69.599999999999994</v>
      </c>
      <c r="I299">
        <v>4180</v>
      </c>
      <c r="J299">
        <v>81</v>
      </c>
      <c r="K299">
        <v>17.100000000000001</v>
      </c>
      <c r="L299" t="s">
        <v>43</v>
      </c>
      <c r="M299">
        <v>37321.370000000003</v>
      </c>
      <c r="N299">
        <v>11020</v>
      </c>
      <c r="O299" t="s">
        <v>50</v>
      </c>
      <c r="P299" t="str">
        <f t="shared" si="36"/>
        <v>Yes</v>
      </c>
      <c r="Q299">
        <f t="shared" si="37"/>
        <v>60.06</v>
      </c>
      <c r="R299">
        <f t="shared" si="38"/>
        <v>8.93</v>
      </c>
      <c r="S299">
        <f t="shared" si="39"/>
        <v>3.39</v>
      </c>
      <c r="T299" t="str">
        <f t="shared" si="40"/>
        <v>Delayed</v>
      </c>
      <c r="U299" t="str">
        <f t="shared" si="41"/>
        <v>High</v>
      </c>
      <c r="V299" t="str">
        <f t="shared" si="42"/>
        <v>Low Risk</v>
      </c>
      <c r="W299" t="str">
        <f t="shared" si="43"/>
        <v>Mar</v>
      </c>
      <c r="X299">
        <f t="shared" si="44"/>
        <v>2025</v>
      </c>
    </row>
    <row r="300" spans="1:24" x14ac:dyDescent="0.35">
      <c r="A300" s="3">
        <v>46000</v>
      </c>
      <c r="B300" t="s">
        <v>56</v>
      </c>
      <c r="C300" t="s">
        <v>109</v>
      </c>
      <c r="D300" t="s">
        <v>445</v>
      </c>
      <c r="E300" t="s">
        <v>54</v>
      </c>
      <c r="F300" t="s">
        <v>28</v>
      </c>
      <c r="G300" t="s">
        <v>35</v>
      </c>
      <c r="H300">
        <v>54.5</v>
      </c>
      <c r="I300">
        <v>1230</v>
      </c>
      <c r="J300">
        <v>55</v>
      </c>
      <c r="K300">
        <v>16.2</v>
      </c>
      <c r="L300" t="s">
        <v>78</v>
      </c>
      <c r="M300">
        <v>30951.15</v>
      </c>
      <c r="N300">
        <v>14317</v>
      </c>
      <c r="O300" t="s">
        <v>67</v>
      </c>
      <c r="P300" t="str">
        <f t="shared" si="36"/>
        <v>No</v>
      </c>
      <c r="Q300">
        <f t="shared" si="37"/>
        <v>22.57</v>
      </c>
      <c r="R300">
        <f t="shared" si="38"/>
        <v>25.16</v>
      </c>
      <c r="S300">
        <f t="shared" si="39"/>
        <v>2.16</v>
      </c>
      <c r="T300" t="str">
        <f t="shared" si="40"/>
        <v>On Time</v>
      </c>
      <c r="U300" t="str">
        <f t="shared" si="41"/>
        <v>Medium</v>
      </c>
      <c r="V300" t="str">
        <f t="shared" si="42"/>
        <v>Low Risk</v>
      </c>
      <c r="W300" t="str">
        <f t="shared" si="43"/>
        <v>Dec</v>
      </c>
      <c r="X300">
        <f t="shared" si="44"/>
        <v>2025</v>
      </c>
    </row>
    <row r="301" spans="1:24" x14ac:dyDescent="0.35">
      <c r="A301" s="3">
        <v>45984</v>
      </c>
      <c r="B301" t="s">
        <v>139</v>
      </c>
      <c r="C301" t="s">
        <v>69</v>
      </c>
      <c r="D301" t="s">
        <v>446</v>
      </c>
      <c r="E301" t="s">
        <v>63</v>
      </c>
      <c r="F301" t="s">
        <v>54</v>
      </c>
      <c r="G301" t="s">
        <v>35</v>
      </c>
      <c r="H301">
        <v>66.900000000000006</v>
      </c>
      <c r="I301">
        <v>3860</v>
      </c>
      <c r="J301">
        <v>75</v>
      </c>
      <c r="K301">
        <v>12.3</v>
      </c>
      <c r="L301" t="s">
        <v>43</v>
      </c>
      <c r="M301">
        <v>44641.64</v>
      </c>
      <c r="N301">
        <v>19584</v>
      </c>
      <c r="O301" t="s">
        <v>44</v>
      </c>
      <c r="P301" t="str">
        <f t="shared" si="36"/>
        <v>Yes</v>
      </c>
      <c r="Q301">
        <f t="shared" si="37"/>
        <v>57.7</v>
      </c>
      <c r="R301">
        <f t="shared" si="38"/>
        <v>11.57</v>
      </c>
      <c r="S301">
        <f t="shared" si="39"/>
        <v>2.2799999999999998</v>
      </c>
      <c r="T301" t="str">
        <f t="shared" si="40"/>
        <v>Delayed</v>
      </c>
      <c r="U301" t="str">
        <f t="shared" si="41"/>
        <v>High</v>
      </c>
      <c r="V301" t="str">
        <f t="shared" si="42"/>
        <v>Low Risk</v>
      </c>
      <c r="W301" t="str">
        <f t="shared" si="43"/>
        <v>Nov</v>
      </c>
      <c r="X301">
        <f t="shared" si="44"/>
        <v>2025</v>
      </c>
    </row>
    <row r="302" spans="1:24" x14ac:dyDescent="0.35">
      <c r="A302" s="3">
        <v>45826</v>
      </c>
      <c r="B302" t="s">
        <v>80</v>
      </c>
      <c r="C302" t="s">
        <v>69</v>
      </c>
      <c r="D302" t="s">
        <v>447</v>
      </c>
      <c r="E302" t="s">
        <v>66</v>
      </c>
      <c r="F302" t="s">
        <v>41</v>
      </c>
      <c r="G302" t="s">
        <v>29</v>
      </c>
      <c r="H302">
        <v>64</v>
      </c>
      <c r="I302">
        <v>2070</v>
      </c>
      <c r="J302">
        <v>70</v>
      </c>
      <c r="K302">
        <v>19.2</v>
      </c>
      <c r="L302" t="s">
        <v>49</v>
      </c>
      <c r="M302">
        <v>34250.36</v>
      </c>
      <c r="N302">
        <v>12302</v>
      </c>
      <c r="O302" t="s">
        <v>84</v>
      </c>
      <c r="P302" t="str">
        <f t="shared" si="36"/>
        <v>Yes</v>
      </c>
      <c r="Q302">
        <f t="shared" si="37"/>
        <v>32.340000000000003</v>
      </c>
      <c r="R302">
        <f t="shared" si="38"/>
        <v>16.55</v>
      </c>
      <c r="S302">
        <f t="shared" si="39"/>
        <v>2.78</v>
      </c>
      <c r="T302" t="str">
        <f t="shared" si="40"/>
        <v>Delayed</v>
      </c>
      <c r="U302" t="str">
        <f t="shared" si="41"/>
        <v>High</v>
      </c>
      <c r="V302" t="str">
        <f t="shared" si="42"/>
        <v>High Risk</v>
      </c>
      <c r="W302" t="str">
        <f t="shared" si="43"/>
        <v>Jun</v>
      </c>
      <c r="X302">
        <f t="shared" si="44"/>
        <v>2025</v>
      </c>
    </row>
    <row r="303" spans="1:24" x14ac:dyDescent="0.35">
      <c r="A303" s="3">
        <v>45916</v>
      </c>
      <c r="B303" t="s">
        <v>317</v>
      </c>
      <c r="C303" t="s">
        <v>52</v>
      </c>
      <c r="D303" t="s">
        <v>448</v>
      </c>
      <c r="E303" t="s">
        <v>28</v>
      </c>
      <c r="F303" t="s">
        <v>55</v>
      </c>
      <c r="G303" t="s">
        <v>71</v>
      </c>
      <c r="H303">
        <v>54.2</v>
      </c>
      <c r="I303">
        <v>3024</v>
      </c>
      <c r="J303">
        <v>93</v>
      </c>
      <c r="K303">
        <v>14.7</v>
      </c>
      <c r="L303" t="s">
        <v>43</v>
      </c>
      <c r="M303">
        <v>27175.7</v>
      </c>
      <c r="N303">
        <v>17353</v>
      </c>
      <c r="O303" t="s">
        <v>50</v>
      </c>
      <c r="P303" t="str">
        <f t="shared" si="36"/>
        <v>Yes</v>
      </c>
      <c r="Q303">
        <f t="shared" si="37"/>
        <v>55.79</v>
      </c>
      <c r="R303">
        <f t="shared" si="38"/>
        <v>8.99</v>
      </c>
      <c r="S303">
        <f t="shared" si="39"/>
        <v>1.57</v>
      </c>
      <c r="T303" t="str">
        <f t="shared" si="40"/>
        <v>Delayed</v>
      </c>
      <c r="U303" t="str">
        <f t="shared" si="41"/>
        <v>Medium</v>
      </c>
      <c r="V303" t="str">
        <f t="shared" si="42"/>
        <v>Low Risk</v>
      </c>
      <c r="W303" t="str">
        <f t="shared" si="43"/>
        <v>Sep</v>
      </c>
      <c r="X303">
        <f t="shared" si="44"/>
        <v>2025</v>
      </c>
    </row>
    <row r="304" spans="1:24" x14ac:dyDescent="0.35">
      <c r="A304" s="3">
        <v>45831</v>
      </c>
      <c r="B304" t="s">
        <v>73</v>
      </c>
      <c r="C304" t="s">
        <v>57</v>
      </c>
      <c r="D304" t="s">
        <v>449</v>
      </c>
      <c r="E304" t="s">
        <v>63</v>
      </c>
      <c r="F304" t="s">
        <v>55</v>
      </c>
      <c r="G304" t="s">
        <v>71</v>
      </c>
      <c r="H304">
        <v>64.400000000000006</v>
      </c>
      <c r="I304">
        <v>1023</v>
      </c>
      <c r="J304">
        <v>40</v>
      </c>
      <c r="K304">
        <v>19.399999999999999</v>
      </c>
      <c r="L304" t="s">
        <v>49</v>
      </c>
      <c r="M304">
        <v>32874.870000000003</v>
      </c>
      <c r="N304">
        <v>8818</v>
      </c>
      <c r="O304" t="s">
        <v>44</v>
      </c>
      <c r="P304" t="str">
        <f t="shared" si="36"/>
        <v>Yes</v>
      </c>
      <c r="Q304">
        <f t="shared" si="37"/>
        <v>15.89</v>
      </c>
      <c r="R304">
        <f t="shared" si="38"/>
        <v>32.14</v>
      </c>
      <c r="S304">
        <f t="shared" si="39"/>
        <v>3.73</v>
      </c>
      <c r="T304" t="str">
        <f t="shared" si="40"/>
        <v>Delayed</v>
      </c>
      <c r="U304" t="str">
        <f t="shared" si="41"/>
        <v>High</v>
      </c>
      <c r="V304" t="str">
        <f t="shared" si="42"/>
        <v>High Risk</v>
      </c>
      <c r="W304" t="str">
        <f t="shared" si="43"/>
        <v>Jun</v>
      </c>
      <c r="X304">
        <f t="shared" si="44"/>
        <v>2025</v>
      </c>
    </row>
    <row r="305" spans="1:24" x14ac:dyDescent="0.35">
      <c r="A305" s="3">
        <v>45958</v>
      </c>
      <c r="B305" t="s">
        <v>311</v>
      </c>
      <c r="C305" t="s">
        <v>57</v>
      </c>
      <c r="D305" t="s">
        <v>450</v>
      </c>
      <c r="E305" t="s">
        <v>54</v>
      </c>
      <c r="F305" t="s">
        <v>63</v>
      </c>
      <c r="G305" t="s">
        <v>71</v>
      </c>
      <c r="H305">
        <v>77.400000000000006</v>
      </c>
      <c r="I305">
        <v>2917</v>
      </c>
      <c r="J305">
        <v>93</v>
      </c>
      <c r="K305">
        <v>10.5</v>
      </c>
      <c r="L305" t="s">
        <v>30</v>
      </c>
      <c r="M305">
        <v>38127.01</v>
      </c>
      <c r="N305">
        <v>16056</v>
      </c>
      <c r="O305" t="s">
        <v>36</v>
      </c>
      <c r="P305" t="str">
        <f t="shared" si="36"/>
        <v>Yes</v>
      </c>
      <c r="Q305">
        <f t="shared" si="37"/>
        <v>37.69</v>
      </c>
      <c r="R305">
        <f t="shared" si="38"/>
        <v>13.07</v>
      </c>
      <c r="S305">
        <f t="shared" si="39"/>
        <v>2.37</v>
      </c>
      <c r="T305" t="str">
        <f t="shared" si="40"/>
        <v>Delayed</v>
      </c>
      <c r="U305" t="str">
        <f t="shared" si="41"/>
        <v>High</v>
      </c>
      <c r="V305" t="str">
        <f t="shared" si="42"/>
        <v>Medium Risk</v>
      </c>
      <c r="W305" t="str">
        <f t="shared" si="43"/>
        <v>Oct</v>
      </c>
      <c r="X305">
        <f t="shared" si="44"/>
        <v>2025</v>
      </c>
    </row>
    <row r="306" spans="1:24" x14ac:dyDescent="0.35">
      <c r="A306" s="3">
        <v>45723</v>
      </c>
      <c r="B306" t="s">
        <v>82</v>
      </c>
      <c r="C306" t="s">
        <v>25</v>
      </c>
      <c r="D306" t="s">
        <v>451</v>
      </c>
      <c r="E306" t="s">
        <v>48</v>
      </c>
      <c r="F306" t="s">
        <v>54</v>
      </c>
      <c r="G306" t="s">
        <v>29</v>
      </c>
      <c r="H306">
        <v>48.5</v>
      </c>
      <c r="I306">
        <v>2495</v>
      </c>
      <c r="J306">
        <v>47</v>
      </c>
      <c r="K306">
        <v>13.9</v>
      </c>
      <c r="L306" t="s">
        <v>78</v>
      </c>
      <c r="M306">
        <v>26200.39</v>
      </c>
      <c r="N306">
        <v>14563</v>
      </c>
      <c r="O306" t="s">
        <v>59</v>
      </c>
      <c r="P306" t="str">
        <f t="shared" si="36"/>
        <v>No</v>
      </c>
      <c r="Q306">
        <f t="shared" si="37"/>
        <v>51.44</v>
      </c>
      <c r="R306">
        <f t="shared" si="38"/>
        <v>10.5</v>
      </c>
      <c r="S306">
        <f t="shared" si="39"/>
        <v>1.8</v>
      </c>
      <c r="T306" t="str">
        <f t="shared" si="40"/>
        <v>On Time</v>
      </c>
      <c r="U306" t="str">
        <f t="shared" si="41"/>
        <v>Medium</v>
      </c>
      <c r="V306" t="str">
        <f t="shared" si="42"/>
        <v>Low Risk</v>
      </c>
      <c r="W306" t="str">
        <f t="shared" si="43"/>
        <v>Mar</v>
      </c>
      <c r="X306">
        <f t="shared" si="44"/>
        <v>2025</v>
      </c>
    </row>
    <row r="307" spans="1:24" x14ac:dyDescent="0.35">
      <c r="A307" s="3">
        <v>45954</v>
      </c>
      <c r="B307" t="s">
        <v>162</v>
      </c>
      <c r="C307" t="s">
        <v>95</v>
      </c>
      <c r="D307" t="s">
        <v>452</v>
      </c>
      <c r="E307" t="s">
        <v>63</v>
      </c>
      <c r="F307" t="s">
        <v>55</v>
      </c>
      <c r="G307" t="s">
        <v>71</v>
      </c>
      <c r="H307">
        <v>58.3</v>
      </c>
      <c r="I307">
        <v>1879</v>
      </c>
      <c r="J307">
        <v>58</v>
      </c>
      <c r="K307">
        <v>17</v>
      </c>
      <c r="L307" t="s">
        <v>30</v>
      </c>
      <c r="M307">
        <v>30488.080000000002</v>
      </c>
      <c r="N307">
        <v>8314</v>
      </c>
      <c r="O307" t="s">
        <v>36</v>
      </c>
      <c r="P307" t="str">
        <f t="shared" si="36"/>
        <v>Yes</v>
      </c>
      <c r="Q307">
        <f t="shared" si="37"/>
        <v>32.229999999999997</v>
      </c>
      <c r="R307">
        <f t="shared" si="38"/>
        <v>16.23</v>
      </c>
      <c r="S307">
        <f t="shared" si="39"/>
        <v>3.67</v>
      </c>
      <c r="T307" t="str">
        <f t="shared" si="40"/>
        <v>Delayed</v>
      </c>
      <c r="U307" t="str">
        <f t="shared" si="41"/>
        <v>Medium</v>
      </c>
      <c r="V307" t="str">
        <f t="shared" si="42"/>
        <v>Medium Risk</v>
      </c>
      <c r="W307" t="str">
        <f t="shared" si="43"/>
        <v>Oct</v>
      </c>
      <c r="X307">
        <f t="shared" si="44"/>
        <v>2025</v>
      </c>
    </row>
    <row r="308" spans="1:24" x14ac:dyDescent="0.35">
      <c r="A308" s="3">
        <v>46003</v>
      </c>
      <c r="B308" t="s">
        <v>82</v>
      </c>
      <c r="C308" t="s">
        <v>57</v>
      </c>
      <c r="D308" t="s">
        <v>453</v>
      </c>
      <c r="E308" t="s">
        <v>28</v>
      </c>
      <c r="F308" t="s">
        <v>63</v>
      </c>
      <c r="G308" t="s">
        <v>35</v>
      </c>
      <c r="H308">
        <v>34.9</v>
      </c>
      <c r="I308">
        <v>3965</v>
      </c>
      <c r="J308">
        <v>55</v>
      </c>
      <c r="K308">
        <v>15</v>
      </c>
      <c r="L308" t="s">
        <v>30</v>
      </c>
      <c r="M308">
        <v>15962.47</v>
      </c>
      <c r="N308">
        <v>8298</v>
      </c>
      <c r="O308" t="s">
        <v>67</v>
      </c>
      <c r="P308" t="str">
        <f t="shared" si="36"/>
        <v>Yes</v>
      </c>
      <c r="Q308">
        <f t="shared" si="37"/>
        <v>113.61</v>
      </c>
      <c r="R308">
        <f t="shared" si="38"/>
        <v>4.03</v>
      </c>
      <c r="S308">
        <f t="shared" si="39"/>
        <v>1.92</v>
      </c>
      <c r="T308" t="str">
        <f t="shared" si="40"/>
        <v>Delayed</v>
      </c>
      <c r="U308" t="str">
        <f t="shared" si="41"/>
        <v>Low</v>
      </c>
      <c r="V308" t="str">
        <f t="shared" si="42"/>
        <v>Medium Risk</v>
      </c>
      <c r="W308" t="str">
        <f t="shared" si="43"/>
        <v>Dec</v>
      </c>
      <c r="X308">
        <f t="shared" si="44"/>
        <v>2025</v>
      </c>
    </row>
    <row r="309" spans="1:24" x14ac:dyDescent="0.35">
      <c r="A309" s="3">
        <v>45784</v>
      </c>
      <c r="B309" t="s">
        <v>129</v>
      </c>
      <c r="C309" t="s">
        <v>57</v>
      </c>
      <c r="D309" t="s">
        <v>454</v>
      </c>
      <c r="E309" t="s">
        <v>48</v>
      </c>
      <c r="F309" t="s">
        <v>54</v>
      </c>
      <c r="G309" t="s">
        <v>29</v>
      </c>
      <c r="H309">
        <v>49.3</v>
      </c>
      <c r="I309">
        <v>1543</v>
      </c>
      <c r="J309">
        <v>21</v>
      </c>
      <c r="K309">
        <v>15.6</v>
      </c>
      <c r="L309" t="s">
        <v>78</v>
      </c>
      <c r="M309">
        <v>27474.5</v>
      </c>
      <c r="N309">
        <v>17037</v>
      </c>
      <c r="O309" t="s">
        <v>31</v>
      </c>
      <c r="P309" t="str">
        <f t="shared" si="36"/>
        <v>No</v>
      </c>
      <c r="Q309">
        <f t="shared" si="37"/>
        <v>31.3</v>
      </c>
      <c r="R309">
        <f t="shared" si="38"/>
        <v>17.809999999999999</v>
      </c>
      <c r="S309">
        <f t="shared" si="39"/>
        <v>1.61</v>
      </c>
      <c r="T309" t="str">
        <f t="shared" si="40"/>
        <v>On Time</v>
      </c>
      <c r="U309" t="str">
        <f t="shared" si="41"/>
        <v>Medium</v>
      </c>
      <c r="V309" t="str">
        <f t="shared" si="42"/>
        <v>Low Risk</v>
      </c>
      <c r="W309" t="str">
        <f t="shared" si="43"/>
        <v>May</v>
      </c>
      <c r="X309">
        <f t="shared" si="44"/>
        <v>2025</v>
      </c>
    </row>
    <row r="310" spans="1:24" x14ac:dyDescent="0.35">
      <c r="A310" s="3">
        <v>45702</v>
      </c>
      <c r="B310" t="s">
        <v>277</v>
      </c>
      <c r="C310" t="s">
        <v>52</v>
      </c>
      <c r="D310" t="s">
        <v>455</v>
      </c>
      <c r="E310" t="s">
        <v>41</v>
      </c>
      <c r="F310" t="s">
        <v>48</v>
      </c>
      <c r="G310" t="s">
        <v>35</v>
      </c>
      <c r="H310">
        <v>42.4</v>
      </c>
      <c r="I310">
        <v>2186</v>
      </c>
      <c r="J310">
        <v>37</v>
      </c>
      <c r="K310">
        <v>20.5</v>
      </c>
      <c r="L310" t="s">
        <v>43</v>
      </c>
      <c r="M310">
        <v>22469.53</v>
      </c>
      <c r="N310">
        <v>28189</v>
      </c>
      <c r="O310" t="s">
        <v>84</v>
      </c>
      <c r="P310" t="str">
        <f t="shared" si="36"/>
        <v>Yes</v>
      </c>
      <c r="Q310">
        <f t="shared" si="37"/>
        <v>51.56</v>
      </c>
      <c r="R310">
        <f t="shared" si="38"/>
        <v>10.28</v>
      </c>
      <c r="S310">
        <f t="shared" si="39"/>
        <v>0.8</v>
      </c>
      <c r="T310" t="str">
        <f t="shared" si="40"/>
        <v>Delayed</v>
      </c>
      <c r="U310" t="str">
        <f t="shared" si="41"/>
        <v>Medium</v>
      </c>
      <c r="V310" t="str">
        <f t="shared" si="42"/>
        <v>Low Risk</v>
      </c>
      <c r="W310" t="str">
        <f t="shared" si="43"/>
        <v>Feb</v>
      </c>
      <c r="X310">
        <f t="shared" si="44"/>
        <v>2025</v>
      </c>
    </row>
    <row r="311" spans="1:24" x14ac:dyDescent="0.35">
      <c r="A311" s="3">
        <v>45811</v>
      </c>
      <c r="B311" t="s">
        <v>201</v>
      </c>
      <c r="C311" t="s">
        <v>39</v>
      </c>
      <c r="D311" t="s">
        <v>456</v>
      </c>
      <c r="E311" t="s">
        <v>41</v>
      </c>
      <c r="F311" t="s">
        <v>27</v>
      </c>
      <c r="G311" t="s">
        <v>29</v>
      </c>
      <c r="H311">
        <v>37</v>
      </c>
      <c r="I311">
        <v>1167</v>
      </c>
      <c r="J311">
        <v>50</v>
      </c>
      <c r="K311">
        <v>12.3</v>
      </c>
      <c r="L311" t="s">
        <v>49</v>
      </c>
      <c r="M311">
        <v>21334.23</v>
      </c>
      <c r="N311">
        <v>22948</v>
      </c>
      <c r="O311" t="s">
        <v>44</v>
      </c>
      <c r="P311" t="str">
        <f t="shared" si="36"/>
        <v>Yes</v>
      </c>
      <c r="Q311">
        <f t="shared" si="37"/>
        <v>31.54</v>
      </c>
      <c r="R311">
        <f t="shared" si="38"/>
        <v>18.28</v>
      </c>
      <c r="S311">
        <f t="shared" si="39"/>
        <v>0.93</v>
      </c>
      <c r="T311" t="str">
        <f t="shared" si="40"/>
        <v>Delayed</v>
      </c>
      <c r="U311" t="str">
        <f t="shared" si="41"/>
        <v>Low</v>
      </c>
      <c r="V311" t="str">
        <f t="shared" si="42"/>
        <v>High Risk</v>
      </c>
      <c r="W311" t="str">
        <f t="shared" si="43"/>
        <v>Jun</v>
      </c>
      <c r="X311">
        <f t="shared" si="44"/>
        <v>2025</v>
      </c>
    </row>
    <row r="312" spans="1:24" x14ac:dyDescent="0.35">
      <c r="A312" s="3">
        <v>45930</v>
      </c>
      <c r="B312" t="s">
        <v>98</v>
      </c>
      <c r="C312" t="s">
        <v>52</v>
      </c>
      <c r="D312" t="s">
        <v>457</v>
      </c>
      <c r="E312" t="s">
        <v>63</v>
      </c>
      <c r="F312" t="s">
        <v>66</v>
      </c>
      <c r="G312" t="s">
        <v>71</v>
      </c>
      <c r="H312">
        <v>64.7</v>
      </c>
      <c r="I312">
        <v>3279</v>
      </c>
      <c r="J312">
        <v>76</v>
      </c>
      <c r="K312">
        <v>11.7</v>
      </c>
      <c r="L312" t="s">
        <v>43</v>
      </c>
      <c r="M312">
        <v>32801.269999999997</v>
      </c>
      <c r="N312">
        <v>27465</v>
      </c>
      <c r="O312" t="s">
        <v>91</v>
      </c>
      <c r="P312" t="str">
        <f t="shared" si="36"/>
        <v>Yes</v>
      </c>
      <c r="Q312">
        <f t="shared" si="37"/>
        <v>50.68</v>
      </c>
      <c r="R312">
        <f t="shared" si="38"/>
        <v>10</v>
      </c>
      <c r="S312">
        <f t="shared" si="39"/>
        <v>1.19</v>
      </c>
      <c r="T312" t="str">
        <f t="shared" si="40"/>
        <v>Delayed</v>
      </c>
      <c r="U312" t="str">
        <f t="shared" si="41"/>
        <v>High</v>
      </c>
      <c r="V312" t="str">
        <f t="shared" si="42"/>
        <v>Low Risk</v>
      </c>
      <c r="W312" t="str">
        <f t="shared" si="43"/>
        <v>Sep</v>
      </c>
      <c r="X312">
        <f t="shared" si="44"/>
        <v>2025</v>
      </c>
    </row>
    <row r="313" spans="1:24" x14ac:dyDescent="0.35">
      <c r="A313" s="3">
        <v>45909</v>
      </c>
      <c r="B313" t="s">
        <v>73</v>
      </c>
      <c r="C313" t="s">
        <v>95</v>
      </c>
      <c r="D313" t="s">
        <v>458</v>
      </c>
      <c r="E313" t="s">
        <v>48</v>
      </c>
      <c r="F313" t="s">
        <v>41</v>
      </c>
      <c r="G313" t="s">
        <v>71</v>
      </c>
      <c r="H313">
        <v>75.8</v>
      </c>
      <c r="I313">
        <v>2859</v>
      </c>
      <c r="J313">
        <v>53</v>
      </c>
      <c r="K313">
        <v>10.8</v>
      </c>
      <c r="L313" t="s">
        <v>49</v>
      </c>
      <c r="M313">
        <v>35493.919999999998</v>
      </c>
      <c r="N313">
        <v>21289</v>
      </c>
      <c r="O313" t="s">
        <v>67</v>
      </c>
      <c r="P313" t="str">
        <f t="shared" si="36"/>
        <v>Yes</v>
      </c>
      <c r="Q313">
        <f t="shared" si="37"/>
        <v>37.72</v>
      </c>
      <c r="R313">
        <f t="shared" si="38"/>
        <v>12.41</v>
      </c>
      <c r="S313">
        <f t="shared" si="39"/>
        <v>1.67</v>
      </c>
      <c r="T313" t="str">
        <f t="shared" si="40"/>
        <v>Delayed</v>
      </c>
      <c r="U313" t="str">
        <f t="shared" si="41"/>
        <v>High</v>
      </c>
      <c r="V313" t="str">
        <f t="shared" si="42"/>
        <v>High Risk</v>
      </c>
      <c r="W313" t="str">
        <f t="shared" si="43"/>
        <v>Sep</v>
      </c>
      <c r="X313">
        <f t="shared" si="44"/>
        <v>2025</v>
      </c>
    </row>
    <row r="314" spans="1:24" x14ac:dyDescent="0.35">
      <c r="A314" s="3">
        <v>46001</v>
      </c>
      <c r="B314" t="s">
        <v>233</v>
      </c>
      <c r="C314" t="s">
        <v>25</v>
      </c>
      <c r="D314" t="s">
        <v>459</v>
      </c>
      <c r="E314" t="s">
        <v>41</v>
      </c>
      <c r="F314" t="s">
        <v>27</v>
      </c>
      <c r="G314" t="s">
        <v>42</v>
      </c>
      <c r="H314">
        <v>22.3</v>
      </c>
      <c r="I314">
        <v>3482</v>
      </c>
      <c r="J314">
        <v>99</v>
      </c>
      <c r="K314">
        <v>21.4</v>
      </c>
      <c r="L314" t="s">
        <v>49</v>
      </c>
      <c r="M314">
        <v>13730.49</v>
      </c>
      <c r="N314">
        <v>5259</v>
      </c>
      <c r="O314" t="s">
        <v>67</v>
      </c>
      <c r="P314" t="str">
        <f t="shared" si="36"/>
        <v>Yes</v>
      </c>
      <c r="Q314">
        <f t="shared" si="37"/>
        <v>156.13999999999999</v>
      </c>
      <c r="R314">
        <f t="shared" si="38"/>
        <v>3.94</v>
      </c>
      <c r="S314">
        <f t="shared" si="39"/>
        <v>2.61</v>
      </c>
      <c r="T314" t="str">
        <f t="shared" si="40"/>
        <v>Delayed</v>
      </c>
      <c r="U314" t="str">
        <f t="shared" si="41"/>
        <v>Low</v>
      </c>
      <c r="V314" t="str">
        <f t="shared" si="42"/>
        <v>High Risk</v>
      </c>
      <c r="W314" t="str">
        <f t="shared" si="43"/>
        <v>Dec</v>
      </c>
      <c r="X314">
        <f t="shared" si="44"/>
        <v>2025</v>
      </c>
    </row>
    <row r="315" spans="1:24" x14ac:dyDescent="0.35">
      <c r="A315" s="3">
        <v>45754</v>
      </c>
      <c r="B315" t="s">
        <v>300</v>
      </c>
      <c r="C315" t="s">
        <v>25</v>
      </c>
      <c r="D315" t="s">
        <v>460</v>
      </c>
      <c r="E315" t="s">
        <v>63</v>
      </c>
      <c r="F315" t="s">
        <v>27</v>
      </c>
      <c r="G315" t="s">
        <v>42</v>
      </c>
      <c r="H315">
        <v>29</v>
      </c>
      <c r="I315">
        <v>3116</v>
      </c>
      <c r="J315">
        <v>29</v>
      </c>
      <c r="K315">
        <v>17.899999999999999</v>
      </c>
      <c r="L315" t="s">
        <v>49</v>
      </c>
      <c r="M315">
        <v>13812.22</v>
      </c>
      <c r="N315">
        <v>27445</v>
      </c>
      <c r="O315" t="s">
        <v>84</v>
      </c>
      <c r="P315" t="str">
        <f t="shared" si="36"/>
        <v>Yes</v>
      </c>
      <c r="Q315">
        <f t="shared" si="37"/>
        <v>107.45</v>
      </c>
      <c r="R315">
        <f t="shared" si="38"/>
        <v>4.43</v>
      </c>
      <c r="S315">
        <f t="shared" si="39"/>
        <v>0.5</v>
      </c>
      <c r="T315" t="str">
        <f t="shared" si="40"/>
        <v>Delayed</v>
      </c>
      <c r="U315" t="str">
        <f t="shared" si="41"/>
        <v>Low</v>
      </c>
      <c r="V315" t="str">
        <f t="shared" si="42"/>
        <v>High Risk</v>
      </c>
      <c r="W315" t="str">
        <f t="shared" si="43"/>
        <v>Apr</v>
      </c>
      <c r="X315">
        <f t="shared" si="44"/>
        <v>2025</v>
      </c>
    </row>
    <row r="316" spans="1:24" x14ac:dyDescent="0.35">
      <c r="A316" s="3">
        <v>45910</v>
      </c>
      <c r="B316" t="s">
        <v>24</v>
      </c>
      <c r="C316" t="s">
        <v>69</v>
      </c>
      <c r="D316" t="s">
        <v>461</v>
      </c>
      <c r="E316" t="s">
        <v>41</v>
      </c>
      <c r="F316" t="s">
        <v>63</v>
      </c>
      <c r="G316" t="s">
        <v>29</v>
      </c>
      <c r="H316">
        <v>74.099999999999994</v>
      </c>
      <c r="I316">
        <v>2226</v>
      </c>
      <c r="J316">
        <v>116</v>
      </c>
      <c r="K316">
        <v>21.8</v>
      </c>
      <c r="L316" t="s">
        <v>43</v>
      </c>
      <c r="M316">
        <v>41560.410000000003</v>
      </c>
      <c r="N316">
        <v>6393</v>
      </c>
      <c r="O316" t="s">
        <v>44</v>
      </c>
      <c r="P316" t="str">
        <f t="shared" si="36"/>
        <v>Yes</v>
      </c>
      <c r="Q316">
        <f t="shared" si="37"/>
        <v>30.04</v>
      </c>
      <c r="R316">
        <f t="shared" si="38"/>
        <v>18.670000000000002</v>
      </c>
      <c r="S316">
        <f t="shared" si="39"/>
        <v>6.5</v>
      </c>
      <c r="T316" t="str">
        <f t="shared" si="40"/>
        <v>Delayed</v>
      </c>
      <c r="U316" t="str">
        <f t="shared" si="41"/>
        <v>High</v>
      </c>
      <c r="V316" t="str">
        <f t="shared" si="42"/>
        <v>Low Risk</v>
      </c>
      <c r="W316" t="str">
        <f t="shared" si="43"/>
        <v>Sep</v>
      </c>
      <c r="X316">
        <f t="shared" si="44"/>
        <v>2025</v>
      </c>
    </row>
    <row r="317" spans="1:24" x14ac:dyDescent="0.35">
      <c r="A317" s="3">
        <v>45853</v>
      </c>
      <c r="B317" t="s">
        <v>33</v>
      </c>
      <c r="C317" t="s">
        <v>109</v>
      </c>
      <c r="D317" t="s">
        <v>462</v>
      </c>
      <c r="E317" t="s">
        <v>41</v>
      </c>
      <c r="F317" t="s">
        <v>48</v>
      </c>
      <c r="G317" t="s">
        <v>35</v>
      </c>
      <c r="H317">
        <v>20.5</v>
      </c>
      <c r="I317">
        <v>4945</v>
      </c>
      <c r="J317">
        <v>118</v>
      </c>
      <c r="K317">
        <v>14</v>
      </c>
      <c r="L317" t="s">
        <v>49</v>
      </c>
      <c r="M317">
        <v>9781.0400000000009</v>
      </c>
      <c r="N317">
        <v>19706</v>
      </c>
      <c r="O317" t="s">
        <v>84</v>
      </c>
      <c r="P317" t="str">
        <f t="shared" si="36"/>
        <v>Yes</v>
      </c>
      <c r="Q317">
        <f t="shared" si="37"/>
        <v>241.22</v>
      </c>
      <c r="R317">
        <f t="shared" si="38"/>
        <v>1.98</v>
      </c>
      <c r="S317">
        <f t="shared" si="39"/>
        <v>0.5</v>
      </c>
      <c r="T317" t="str">
        <f t="shared" si="40"/>
        <v>Delayed</v>
      </c>
      <c r="U317" t="str">
        <f t="shared" si="41"/>
        <v>Low</v>
      </c>
      <c r="V317" t="str">
        <f t="shared" si="42"/>
        <v>High Risk</v>
      </c>
      <c r="W317" t="str">
        <f t="shared" si="43"/>
        <v>Jul</v>
      </c>
      <c r="X317">
        <f t="shared" si="44"/>
        <v>2025</v>
      </c>
    </row>
    <row r="318" spans="1:24" x14ac:dyDescent="0.35">
      <c r="A318" s="3">
        <v>45869</v>
      </c>
      <c r="B318" t="s">
        <v>463</v>
      </c>
      <c r="C318" t="s">
        <v>52</v>
      </c>
      <c r="D318" t="s">
        <v>464</v>
      </c>
      <c r="E318" t="s">
        <v>27</v>
      </c>
      <c r="F318" t="s">
        <v>66</v>
      </c>
      <c r="G318" t="s">
        <v>29</v>
      </c>
      <c r="H318">
        <v>25.3</v>
      </c>
      <c r="I318">
        <v>4472</v>
      </c>
      <c r="J318">
        <v>68</v>
      </c>
      <c r="K318">
        <v>20</v>
      </c>
      <c r="L318" t="s">
        <v>43</v>
      </c>
      <c r="M318">
        <v>15612.77</v>
      </c>
      <c r="N318">
        <v>16927</v>
      </c>
      <c r="O318" t="s">
        <v>36</v>
      </c>
      <c r="P318" t="str">
        <f t="shared" si="36"/>
        <v>Yes</v>
      </c>
      <c r="Q318">
        <f t="shared" si="37"/>
        <v>176.76</v>
      </c>
      <c r="R318">
        <f t="shared" si="38"/>
        <v>3.49</v>
      </c>
      <c r="S318">
        <f t="shared" si="39"/>
        <v>0.92</v>
      </c>
      <c r="T318" t="str">
        <f t="shared" si="40"/>
        <v>Delayed</v>
      </c>
      <c r="U318" t="str">
        <f t="shared" si="41"/>
        <v>Low</v>
      </c>
      <c r="V318" t="str">
        <f t="shared" si="42"/>
        <v>Low Risk</v>
      </c>
      <c r="W318" t="str">
        <f t="shared" si="43"/>
        <v>Jul</v>
      </c>
      <c r="X318">
        <f t="shared" si="44"/>
        <v>2025</v>
      </c>
    </row>
    <row r="319" spans="1:24" x14ac:dyDescent="0.35">
      <c r="A319" s="3">
        <v>45849</v>
      </c>
      <c r="B319" t="s">
        <v>33</v>
      </c>
      <c r="C319" t="s">
        <v>52</v>
      </c>
      <c r="D319" t="s">
        <v>465</v>
      </c>
      <c r="E319" t="s">
        <v>27</v>
      </c>
      <c r="F319" t="s">
        <v>48</v>
      </c>
      <c r="G319" t="s">
        <v>71</v>
      </c>
      <c r="H319">
        <v>48.1</v>
      </c>
      <c r="I319">
        <v>3187</v>
      </c>
      <c r="J319">
        <v>57</v>
      </c>
      <c r="K319">
        <v>14</v>
      </c>
      <c r="L319" t="s">
        <v>78</v>
      </c>
      <c r="M319">
        <v>28395.52</v>
      </c>
      <c r="N319">
        <v>12704</v>
      </c>
      <c r="O319" t="s">
        <v>44</v>
      </c>
      <c r="P319" t="str">
        <f t="shared" si="36"/>
        <v>No</v>
      </c>
      <c r="Q319">
        <f t="shared" si="37"/>
        <v>66.260000000000005</v>
      </c>
      <c r="R319">
        <f t="shared" si="38"/>
        <v>8.91</v>
      </c>
      <c r="S319">
        <f t="shared" si="39"/>
        <v>2.2400000000000002</v>
      </c>
      <c r="T319" t="str">
        <f t="shared" si="40"/>
        <v>On Time</v>
      </c>
      <c r="U319" t="str">
        <f t="shared" si="41"/>
        <v>Medium</v>
      </c>
      <c r="V319" t="str">
        <f t="shared" si="42"/>
        <v>Low Risk</v>
      </c>
      <c r="W319" t="str">
        <f t="shared" si="43"/>
        <v>Jul</v>
      </c>
      <c r="X319">
        <f t="shared" si="44"/>
        <v>2025</v>
      </c>
    </row>
    <row r="320" spans="1:24" x14ac:dyDescent="0.35">
      <c r="A320" s="3">
        <v>45924</v>
      </c>
      <c r="B320" t="s">
        <v>221</v>
      </c>
      <c r="C320" t="s">
        <v>39</v>
      </c>
      <c r="D320" t="s">
        <v>466</v>
      </c>
      <c r="E320" t="s">
        <v>63</v>
      </c>
      <c r="F320" t="s">
        <v>66</v>
      </c>
      <c r="G320" t="s">
        <v>71</v>
      </c>
      <c r="H320">
        <v>76.7</v>
      </c>
      <c r="I320">
        <v>3947</v>
      </c>
      <c r="J320">
        <v>71</v>
      </c>
      <c r="K320">
        <v>15.3</v>
      </c>
      <c r="L320" t="s">
        <v>78</v>
      </c>
      <c r="M320">
        <v>50966</v>
      </c>
      <c r="N320">
        <v>11950</v>
      </c>
      <c r="O320" t="s">
        <v>50</v>
      </c>
      <c r="P320" t="str">
        <f t="shared" si="36"/>
        <v>No</v>
      </c>
      <c r="Q320">
        <f t="shared" si="37"/>
        <v>51.46</v>
      </c>
      <c r="R320">
        <f t="shared" si="38"/>
        <v>12.91</v>
      </c>
      <c r="S320">
        <f t="shared" si="39"/>
        <v>4.26</v>
      </c>
      <c r="T320" t="str">
        <f t="shared" si="40"/>
        <v>On Time</v>
      </c>
      <c r="U320" t="str">
        <f t="shared" si="41"/>
        <v>High</v>
      </c>
      <c r="V320" t="str">
        <f t="shared" si="42"/>
        <v>Low Risk</v>
      </c>
      <c r="W320" t="str">
        <f t="shared" si="43"/>
        <v>Sep</v>
      </c>
      <c r="X320">
        <f t="shared" si="44"/>
        <v>2025</v>
      </c>
    </row>
    <row r="321" spans="1:24" x14ac:dyDescent="0.35">
      <c r="A321" s="3">
        <v>45750</v>
      </c>
      <c r="B321" t="s">
        <v>214</v>
      </c>
      <c r="C321" t="s">
        <v>39</v>
      </c>
      <c r="D321" t="s">
        <v>467</v>
      </c>
      <c r="E321" t="s">
        <v>28</v>
      </c>
      <c r="F321" t="s">
        <v>48</v>
      </c>
      <c r="G321" t="s">
        <v>71</v>
      </c>
      <c r="H321">
        <v>62.4</v>
      </c>
      <c r="I321">
        <v>1475</v>
      </c>
      <c r="J321">
        <v>54</v>
      </c>
      <c r="K321">
        <v>10.1</v>
      </c>
      <c r="L321" t="s">
        <v>78</v>
      </c>
      <c r="M321">
        <v>28246.93</v>
      </c>
      <c r="N321">
        <v>10627</v>
      </c>
      <c r="O321" t="s">
        <v>50</v>
      </c>
      <c r="P321" t="str">
        <f t="shared" si="36"/>
        <v>No</v>
      </c>
      <c r="Q321">
        <f t="shared" si="37"/>
        <v>23.64</v>
      </c>
      <c r="R321">
        <f t="shared" si="38"/>
        <v>19.149999999999999</v>
      </c>
      <c r="S321">
        <f t="shared" si="39"/>
        <v>2.66</v>
      </c>
      <c r="T321" t="str">
        <f t="shared" si="40"/>
        <v>On Time</v>
      </c>
      <c r="U321" t="str">
        <f t="shared" si="41"/>
        <v>High</v>
      </c>
      <c r="V321" t="str">
        <f t="shared" si="42"/>
        <v>Low Risk</v>
      </c>
      <c r="W321" t="str">
        <f t="shared" si="43"/>
        <v>Apr</v>
      </c>
      <c r="X321">
        <f t="shared" si="44"/>
        <v>2025</v>
      </c>
    </row>
    <row r="322" spans="1:24" x14ac:dyDescent="0.35">
      <c r="A322" s="3">
        <v>45730</v>
      </c>
      <c r="B322" t="s">
        <v>173</v>
      </c>
      <c r="C322" t="s">
        <v>109</v>
      </c>
      <c r="D322" t="s">
        <v>468</v>
      </c>
      <c r="E322" t="s">
        <v>41</v>
      </c>
      <c r="F322" t="s">
        <v>55</v>
      </c>
      <c r="G322" t="s">
        <v>71</v>
      </c>
      <c r="H322">
        <v>44.9</v>
      </c>
      <c r="I322">
        <v>3275</v>
      </c>
      <c r="J322">
        <v>47</v>
      </c>
      <c r="K322">
        <v>12.2</v>
      </c>
      <c r="L322" t="s">
        <v>49</v>
      </c>
      <c r="M322">
        <v>20598</v>
      </c>
      <c r="N322">
        <v>6806</v>
      </c>
      <c r="O322" t="s">
        <v>50</v>
      </c>
      <c r="P322" t="str">
        <f t="shared" ref="P322:P385" si="45">IF(OR(L322="Rain",L322="Fog",L322="Storm"),"Yes","No")</f>
        <v>Yes</v>
      </c>
      <c r="Q322">
        <f t="shared" ref="Q322:Q385" si="46">ROUND(I322/H322,2)</f>
        <v>72.94</v>
      </c>
      <c r="R322">
        <f t="shared" ref="R322:R385" si="47">ROUND(M322/I322,2)</f>
        <v>6.29</v>
      </c>
      <c r="S322">
        <f t="shared" ref="S322:S385" si="48">ROUND(M322/N322,2)</f>
        <v>3.03</v>
      </c>
      <c r="T322" t="str">
        <f t="shared" ref="T322:T385" si="49">IF(P322="Yes","Delayed","On Time")</f>
        <v>Delayed</v>
      </c>
      <c r="U322" t="str">
        <f t="shared" ref="U322:U385" si="50">IF(H322&gt;=60,"High",IF(H322&gt;=40,"Medium","Low"))</f>
        <v>Medium</v>
      </c>
      <c r="V322" t="str">
        <f t="shared" ref="V322:V385" si="51">IF(L322="Storm","High Risk",IF(L322="Rain","Medium Risk","Low Risk"))</f>
        <v>High Risk</v>
      </c>
      <c r="W322" t="str">
        <f t="shared" ref="W322:W385" si="52">TEXT(A322,"mmm")</f>
        <v>Mar</v>
      </c>
      <c r="X322">
        <f t="shared" si="44"/>
        <v>2025</v>
      </c>
    </row>
    <row r="323" spans="1:24" x14ac:dyDescent="0.35">
      <c r="A323" s="3">
        <v>45996</v>
      </c>
      <c r="B323" t="s">
        <v>195</v>
      </c>
      <c r="C323" t="s">
        <v>95</v>
      </c>
      <c r="D323" t="s">
        <v>469</v>
      </c>
      <c r="E323" t="s">
        <v>55</v>
      </c>
      <c r="F323" t="s">
        <v>54</v>
      </c>
      <c r="G323" t="s">
        <v>29</v>
      </c>
      <c r="H323">
        <v>36.799999999999997</v>
      </c>
      <c r="I323">
        <v>557</v>
      </c>
      <c r="J323">
        <v>60</v>
      </c>
      <c r="K323">
        <v>12</v>
      </c>
      <c r="L323" t="s">
        <v>49</v>
      </c>
      <c r="M323">
        <v>21210.06</v>
      </c>
      <c r="N323">
        <v>20333</v>
      </c>
      <c r="O323" t="s">
        <v>67</v>
      </c>
      <c r="P323" t="str">
        <f t="shared" si="45"/>
        <v>Yes</v>
      </c>
      <c r="Q323">
        <f t="shared" si="46"/>
        <v>15.14</v>
      </c>
      <c r="R323">
        <f t="shared" si="47"/>
        <v>38.08</v>
      </c>
      <c r="S323">
        <f t="shared" si="48"/>
        <v>1.04</v>
      </c>
      <c r="T323" t="str">
        <f t="shared" si="49"/>
        <v>Delayed</v>
      </c>
      <c r="U323" t="str">
        <f t="shared" si="50"/>
        <v>Low</v>
      </c>
      <c r="V323" t="str">
        <f t="shared" si="51"/>
        <v>High Risk</v>
      </c>
      <c r="W323" t="str">
        <f t="shared" si="52"/>
        <v>Dec</v>
      </c>
      <c r="X323">
        <f t="shared" ref="X323:X386" si="53">YEAR(A323)</f>
        <v>2025</v>
      </c>
    </row>
    <row r="324" spans="1:24" x14ac:dyDescent="0.35">
      <c r="A324" s="3">
        <v>45809</v>
      </c>
      <c r="B324" t="s">
        <v>82</v>
      </c>
      <c r="C324" t="s">
        <v>39</v>
      </c>
      <c r="D324" t="s">
        <v>470</v>
      </c>
      <c r="E324" t="s">
        <v>27</v>
      </c>
      <c r="F324" t="s">
        <v>41</v>
      </c>
      <c r="G324" t="s">
        <v>42</v>
      </c>
      <c r="H324">
        <v>73.8</v>
      </c>
      <c r="I324">
        <v>4446</v>
      </c>
      <c r="J324">
        <v>26</v>
      </c>
      <c r="K324">
        <v>20.7</v>
      </c>
      <c r="L324" t="s">
        <v>30</v>
      </c>
      <c r="M324">
        <v>46442.720000000001</v>
      </c>
      <c r="N324">
        <v>20894</v>
      </c>
      <c r="O324" t="s">
        <v>44</v>
      </c>
      <c r="P324" t="str">
        <f t="shared" si="45"/>
        <v>Yes</v>
      </c>
      <c r="Q324">
        <f t="shared" si="46"/>
        <v>60.24</v>
      </c>
      <c r="R324">
        <f t="shared" si="47"/>
        <v>10.45</v>
      </c>
      <c r="S324">
        <f t="shared" si="48"/>
        <v>2.2200000000000002</v>
      </c>
      <c r="T324" t="str">
        <f t="shared" si="49"/>
        <v>Delayed</v>
      </c>
      <c r="U324" t="str">
        <f t="shared" si="50"/>
        <v>High</v>
      </c>
      <c r="V324" t="str">
        <f t="shared" si="51"/>
        <v>Medium Risk</v>
      </c>
      <c r="W324" t="str">
        <f t="shared" si="52"/>
        <v>Jun</v>
      </c>
      <c r="X324">
        <f t="shared" si="53"/>
        <v>2025</v>
      </c>
    </row>
    <row r="325" spans="1:24" x14ac:dyDescent="0.35">
      <c r="A325" s="3">
        <v>45775</v>
      </c>
      <c r="B325" t="s">
        <v>33</v>
      </c>
      <c r="C325" t="s">
        <v>130</v>
      </c>
      <c r="D325" t="s">
        <v>471</v>
      </c>
      <c r="E325" t="s">
        <v>41</v>
      </c>
      <c r="F325" t="s">
        <v>48</v>
      </c>
      <c r="G325" t="s">
        <v>35</v>
      </c>
      <c r="H325">
        <v>22.1</v>
      </c>
      <c r="I325">
        <v>4985</v>
      </c>
      <c r="J325">
        <v>109</v>
      </c>
      <c r="K325">
        <v>12.3</v>
      </c>
      <c r="L325" t="s">
        <v>49</v>
      </c>
      <c r="M325">
        <v>13551.95</v>
      </c>
      <c r="N325">
        <v>19524</v>
      </c>
      <c r="O325" t="s">
        <v>59</v>
      </c>
      <c r="P325" t="str">
        <f t="shared" si="45"/>
        <v>Yes</v>
      </c>
      <c r="Q325">
        <f t="shared" si="46"/>
        <v>225.57</v>
      </c>
      <c r="R325">
        <f t="shared" si="47"/>
        <v>2.72</v>
      </c>
      <c r="S325">
        <f t="shared" si="48"/>
        <v>0.69</v>
      </c>
      <c r="T325" t="str">
        <f t="shared" si="49"/>
        <v>Delayed</v>
      </c>
      <c r="U325" t="str">
        <f t="shared" si="50"/>
        <v>Low</v>
      </c>
      <c r="V325" t="str">
        <f t="shared" si="51"/>
        <v>High Risk</v>
      </c>
      <c r="W325" t="str">
        <f t="shared" si="52"/>
        <v>Apr</v>
      </c>
      <c r="X325">
        <f t="shared" si="53"/>
        <v>2025</v>
      </c>
    </row>
    <row r="326" spans="1:24" x14ac:dyDescent="0.35">
      <c r="A326" s="3">
        <v>45875</v>
      </c>
      <c r="B326" t="s">
        <v>167</v>
      </c>
      <c r="C326" t="s">
        <v>39</v>
      </c>
      <c r="D326" t="s">
        <v>472</v>
      </c>
      <c r="E326" t="s">
        <v>55</v>
      </c>
      <c r="F326" t="s">
        <v>63</v>
      </c>
      <c r="G326" t="s">
        <v>71</v>
      </c>
      <c r="H326">
        <v>63</v>
      </c>
      <c r="I326">
        <v>880</v>
      </c>
      <c r="J326">
        <v>95</v>
      </c>
      <c r="K326">
        <v>18.600000000000001</v>
      </c>
      <c r="L326" t="s">
        <v>30</v>
      </c>
      <c r="M326">
        <v>29949.18</v>
      </c>
      <c r="N326">
        <v>9347</v>
      </c>
      <c r="O326" t="s">
        <v>59</v>
      </c>
      <c r="P326" t="str">
        <f t="shared" si="45"/>
        <v>Yes</v>
      </c>
      <c r="Q326">
        <f t="shared" si="46"/>
        <v>13.97</v>
      </c>
      <c r="R326">
        <f t="shared" si="47"/>
        <v>34.03</v>
      </c>
      <c r="S326">
        <f t="shared" si="48"/>
        <v>3.2</v>
      </c>
      <c r="T326" t="str">
        <f t="shared" si="49"/>
        <v>Delayed</v>
      </c>
      <c r="U326" t="str">
        <f t="shared" si="50"/>
        <v>High</v>
      </c>
      <c r="V326" t="str">
        <f t="shared" si="51"/>
        <v>Medium Risk</v>
      </c>
      <c r="W326" t="str">
        <f t="shared" si="52"/>
        <v>Aug</v>
      </c>
      <c r="X326">
        <f t="shared" si="53"/>
        <v>2025</v>
      </c>
    </row>
    <row r="327" spans="1:24" x14ac:dyDescent="0.35">
      <c r="A327" s="3">
        <v>45674</v>
      </c>
      <c r="B327" t="s">
        <v>277</v>
      </c>
      <c r="C327" t="s">
        <v>69</v>
      </c>
      <c r="D327" t="s">
        <v>473</v>
      </c>
      <c r="E327" t="s">
        <v>48</v>
      </c>
      <c r="F327" t="s">
        <v>28</v>
      </c>
      <c r="G327" t="s">
        <v>71</v>
      </c>
      <c r="H327">
        <v>31.9</v>
      </c>
      <c r="I327">
        <v>3984</v>
      </c>
      <c r="J327">
        <v>53</v>
      </c>
      <c r="K327">
        <v>16.3</v>
      </c>
      <c r="L327" t="s">
        <v>30</v>
      </c>
      <c r="M327">
        <v>19785.400000000001</v>
      </c>
      <c r="N327">
        <v>15967</v>
      </c>
      <c r="O327" t="s">
        <v>50</v>
      </c>
      <c r="P327" t="str">
        <f t="shared" si="45"/>
        <v>Yes</v>
      </c>
      <c r="Q327">
        <f t="shared" si="46"/>
        <v>124.89</v>
      </c>
      <c r="R327">
        <f t="shared" si="47"/>
        <v>4.97</v>
      </c>
      <c r="S327">
        <f t="shared" si="48"/>
        <v>1.24</v>
      </c>
      <c r="T327" t="str">
        <f t="shared" si="49"/>
        <v>Delayed</v>
      </c>
      <c r="U327" t="str">
        <f t="shared" si="50"/>
        <v>Low</v>
      </c>
      <c r="V327" t="str">
        <f t="shared" si="51"/>
        <v>Medium Risk</v>
      </c>
      <c r="W327" t="str">
        <f t="shared" si="52"/>
        <v>Jan</v>
      </c>
      <c r="X327">
        <f t="shared" si="53"/>
        <v>2025</v>
      </c>
    </row>
    <row r="328" spans="1:24" x14ac:dyDescent="0.35">
      <c r="A328" s="3">
        <v>45949</v>
      </c>
      <c r="B328" t="s">
        <v>102</v>
      </c>
      <c r="C328" t="s">
        <v>69</v>
      </c>
      <c r="D328" t="s">
        <v>474</v>
      </c>
      <c r="E328" t="s">
        <v>54</v>
      </c>
      <c r="F328" t="s">
        <v>41</v>
      </c>
      <c r="G328" t="s">
        <v>29</v>
      </c>
      <c r="H328">
        <v>50</v>
      </c>
      <c r="I328">
        <v>2110</v>
      </c>
      <c r="J328">
        <v>65</v>
      </c>
      <c r="K328">
        <v>16.3</v>
      </c>
      <c r="L328" t="s">
        <v>78</v>
      </c>
      <c r="M328">
        <v>27772.27</v>
      </c>
      <c r="N328">
        <v>18850</v>
      </c>
      <c r="O328" t="s">
        <v>31</v>
      </c>
      <c r="P328" t="str">
        <f t="shared" si="45"/>
        <v>No</v>
      </c>
      <c r="Q328">
        <f t="shared" si="46"/>
        <v>42.2</v>
      </c>
      <c r="R328">
        <f t="shared" si="47"/>
        <v>13.16</v>
      </c>
      <c r="S328">
        <f t="shared" si="48"/>
        <v>1.47</v>
      </c>
      <c r="T328" t="str">
        <f t="shared" si="49"/>
        <v>On Time</v>
      </c>
      <c r="U328" t="str">
        <f t="shared" si="50"/>
        <v>Medium</v>
      </c>
      <c r="V328" t="str">
        <f t="shared" si="51"/>
        <v>Low Risk</v>
      </c>
      <c r="W328" t="str">
        <f t="shared" si="52"/>
        <v>Oct</v>
      </c>
      <c r="X328">
        <f t="shared" si="53"/>
        <v>2025</v>
      </c>
    </row>
    <row r="329" spans="1:24" x14ac:dyDescent="0.35">
      <c r="A329" s="3">
        <v>45891</v>
      </c>
      <c r="B329" t="s">
        <v>417</v>
      </c>
      <c r="C329" t="s">
        <v>39</v>
      </c>
      <c r="D329" t="s">
        <v>475</v>
      </c>
      <c r="E329" t="s">
        <v>41</v>
      </c>
      <c r="F329" t="s">
        <v>28</v>
      </c>
      <c r="G329" t="s">
        <v>42</v>
      </c>
      <c r="H329">
        <v>77.400000000000006</v>
      </c>
      <c r="I329">
        <v>1986</v>
      </c>
      <c r="J329">
        <v>68</v>
      </c>
      <c r="K329">
        <v>21.8</v>
      </c>
      <c r="L329" t="s">
        <v>43</v>
      </c>
      <c r="M329">
        <v>48479.73</v>
      </c>
      <c r="N329">
        <v>26342</v>
      </c>
      <c r="O329" t="s">
        <v>44</v>
      </c>
      <c r="P329" t="str">
        <f t="shared" si="45"/>
        <v>Yes</v>
      </c>
      <c r="Q329">
        <f t="shared" si="46"/>
        <v>25.66</v>
      </c>
      <c r="R329">
        <f t="shared" si="47"/>
        <v>24.41</v>
      </c>
      <c r="S329">
        <f t="shared" si="48"/>
        <v>1.84</v>
      </c>
      <c r="T329" t="str">
        <f t="shared" si="49"/>
        <v>Delayed</v>
      </c>
      <c r="U329" t="str">
        <f t="shared" si="50"/>
        <v>High</v>
      </c>
      <c r="V329" t="str">
        <f t="shared" si="51"/>
        <v>Low Risk</v>
      </c>
      <c r="W329" t="str">
        <f t="shared" si="52"/>
        <v>Aug</v>
      </c>
      <c r="X329">
        <f t="shared" si="53"/>
        <v>2025</v>
      </c>
    </row>
    <row r="330" spans="1:24" x14ac:dyDescent="0.35">
      <c r="A330" s="3">
        <v>45845</v>
      </c>
      <c r="B330" t="s">
        <v>80</v>
      </c>
      <c r="C330" t="s">
        <v>57</v>
      </c>
      <c r="D330" t="s">
        <v>476</v>
      </c>
      <c r="E330" t="s">
        <v>55</v>
      </c>
      <c r="F330" t="s">
        <v>28</v>
      </c>
      <c r="G330" t="s">
        <v>42</v>
      </c>
      <c r="H330">
        <v>62.6</v>
      </c>
      <c r="I330">
        <v>3929</v>
      </c>
      <c r="J330">
        <v>88</v>
      </c>
      <c r="K330">
        <v>20.100000000000001</v>
      </c>
      <c r="L330" t="s">
        <v>30</v>
      </c>
      <c r="M330">
        <v>38246.22</v>
      </c>
      <c r="N330">
        <v>27756</v>
      </c>
      <c r="O330" t="s">
        <v>59</v>
      </c>
      <c r="P330" t="str">
        <f t="shared" si="45"/>
        <v>Yes</v>
      </c>
      <c r="Q330">
        <f t="shared" si="46"/>
        <v>62.76</v>
      </c>
      <c r="R330">
        <f t="shared" si="47"/>
        <v>9.73</v>
      </c>
      <c r="S330">
        <f t="shared" si="48"/>
        <v>1.38</v>
      </c>
      <c r="T330" t="str">
        <f t="shared" si="49"/>
        <v>Delayed</v>
      </c>
      <c r="U330" t="str">
        <f t="shared" si="50"/>
        <v>High</v>
      </c>
      <c r="V330" t="str">
        <f t="shared" si="51"/>
        <v>Medium Risk</v>
      </c>
      <c r="W330" t="str">
        <f t="shared" si="52"/>
        <v>Jul</v>
      </c>
      <c r="X330">
        <f t="shared" si="53"/>
        <v>2025</v>
      </c>
    </row>
    <row r="331" spans="1:24" x14ac:dyDescent="0.35">
      <c r="A331" s="3">
        <v>45796</v>
      </c>
      <c r="B331" t="s">
        <v>64</v>
      </c>
      <c r="C331" t="s">
        <v>57</v>
      </c>
      <c r="D331" t="s">
        <v>477</v>
      </c>
      <c r="E331" t="s">
        <v>54</v>
      </c>
      <c r="F331" t="s">
        <v>27</v>
      </c>
      <c r="G331" t="s">
        <v>42</v>
      </c>
      <c r="H331">
        <v>42.6</v>
      </c>
      <c r="I331">
        <v>1354</v>
      </c>
      <c r="J331">
        <v>56</v>
      </c>
      <c r="K331">
        <v>10.1</v>
      </c>
      <c r="L331" t="s">
        <v>78</v>
      </c>
      <c r="M331">
        <v>25498.36</v>
      </c>
      <c r="N331">
        <v>17676</v>
      </c>
      <c r="O331" t="s">
        <v>59</v>
      </c>
      <c r="P331" t="str">
        <f t="shared" si="45"/>
        <v>No</v>
      </c>
      <c r="Q331">
        <f t="shared" si="46"/>
        <v>31.78</v>
      </c>
      <c r="R331">
        <f t="shared" si="47"/>
        <v>18.829999999999998</v>
      </c>
      <c r="S331">
        <f t="shared" si="48"/>
        <v>1.44</v>
      </c>
      <c r="T331" t="str">
        <f t="shared" si="49"/>
        <v>On Time</v>
      </c>
      <c r="U331" t="str">
        <f t="shared" si="50"/>
        <v>Medium</v>
      </c>
      <c r="V331" t="str">
        <f t="shared" si="51"/>
        <v>Low Risk</v>
      </c>
      <c r="W331" t="str">
        <f t="shared" si="52"/>
        <v>May</v>
      </c>
      <c r="X331">
        <f t="shared" si="53"/>
        <v>2025</v>
      </c>
    </row>
    <row r="332" spans="1:24" x14ac:dyDescent="0.35">
      <c r="A332" s="3">
        <v>45729</v>
      </c>
      <c r="B332" t="s">
        <v>291</v>
      </c>
      <c r="C332" t="s">
        <v>109</v>
      </c>
      <c r="D332" t="s">
        <v>478</v>
      </c>
      <c r="E332" t="s">
        <v>55</v>
      </c>
      <c r="F332" t="s">
        <v>28</v>
      </c>
      <c r="G332" t="s">
        <v>35</v>
      </c>
      <c r="H332">
        <v>78.8</v>
      </c>
      <c r="I332">
        <v>1597</v>
      </c>
      <c r="J332">
        <v>109</v>
      </c>
      <c r="K332">
        <v>17.600000000000001</v>
      </c>
      <c r="L332" t="s">
        <v>78</v>
      </c>
      <c r="M332">
        <v>49359.29</v>
      </c>
      <c r="N332">
        <v>28710</v>
      </c>
      <c r="O332" t="s">
        <v>91</v>
      </c>
      <c r="P332" t="str">
        <f t="shared" si="45"/>
        <v>No</v>
      </c>
      <c r="Q332">
        <f t="shared" si="46"/>
        <v>20.27</v>
      </c>
      <c r="R332">
        <f t="shared" si="47"/>
        <v>30.91</v>
      </c>
      <c r="S332">
        <f t="shared" si="48"/>
        <v>1.72</v>
      </c>
      <c r="T332" t="str">
        <f t="shared" si="49"/>
        <v>On Time</v>
      </c>
      <c r="U332" t="str">
        <f t="shared" si="50"/>
        <v>High</v>
      </c>
      <c r="V332" t="str">
        <f t="shared" si="51"/>
        <v>Low Risk</v>
      </c>
      <c r="W332" t="str">
        <f t="shared" si="52"/>
        <v>Mar</v>
      </c>
      <c r="X332">
        <f t="shared" si="53"/>
        <v>2025</v>
      </c>
    </row>
    <row r="333" spans="1:24" x14ac:dyDescent="0.35">
      <c r="A333" s="3">
        <v>45768</v>
      </c>
      <c r="B333" t="s">
        <v>64</v>
      </c>
      <c r="C333" t="s">
        <v>57</v>
      </c>
      <c r="D333" t="s">
        <v>479</v>
      </c>
      <c r="E333" t="s">
        <v>55</v>
      </c>
      <c r="F333" t="s">
        <v>27</v>
      </c>
      <c r="G333" t="s">
        <v>71</v>
      </c>
      <c r="H333">
        <v>61.2</v>
      </c>
      <c r="I333">
        <v>4094</v>
      </c>
      <c r="J333">
        <v>99</v>
      </c>
      <c r="K333">
        <v>12.6</v>
      </c>
      <c r="L333" t="s">
        <v>43</v>
      </c>
      <c r="M333">
        <v>37208.28</v>
      </c>
      <c r="N333">
        <v>26009</v>
      </c>
      <c r="O333" t="s">
        <v>36</v>
      </c>
      <c r="P333" t="str">
        <f t="shared" si="45"/>
        <v>Yes</v>
      </c>
      <c r="Q333">
        <f t="shared" si="46"/>
        <v>66.900000000000006</v>
      </c>
      <c r="R333">
        <f t="shared" si="47"/>
        <v>9.09</v>
      </c>
      <c r="S333">
        <f t="shared" si="48"/>
        <v>1.43</v>
      </c>
      <c r="T333" t="str">
        <f t="shared" si="49"/>
        <v>Delayed</v>
      </c>
      <c r="U333" t="str">
        <f t="shared" si="50"/>
        <v>High</v>
      </c>
      <c r="V333" t="str">
        <f t="shared" si="51"/>
        <v>Low Risk</v>
      </c>
      <c r="W333" t="str">
        <f t="shared" si="52"/>
        <v>Apr</v>
      </c>
      <c r="X333">
        <f t="shared" si="53"/>
        <v>2025</v>
      </c>
    </row>
    <row r="334" spans="1:24" x14ac:dyDescent="0.35">
      <c r="A334" s="3">
        <v>45798</v>
      </c>
      <c r="B334" t="s">
        <v>120</v>
      </c>
      <c r="C334" t="s">
        <v>130</v>
      </c>
      <c r="D334" t="s">
        <v>480</v>
      </c>
      <c r="E334" t="s">
        <v>54</v>
      </c>
      <c r="F334" t="s">
        <v>27</v>
      </c>
      <c r="G334" t="s">
        <v>42</v>
      </c>
      <c r="H334">
        <v>63.9</v>
      </c>
      <c r="I334">
        <v>4724</v>
      </c>
      <c r="J334">
        <v>43</v>
      </c>
      <c r="K334">
        <v>19.3</v>
      </c>
      <c r="L334" t="s">
        <v>78</v>
      </c>
      <c r="M334">
        <v>41538.879999999997</v>
      </c>
      <c r="N334">
        <v>14126</v>
      </c>
      <c r="O334" t="s">
        <v>67</v>
      </c>
      <c r="P334" t="str">
        <f t="shared" si="45"/>
        <v>No</v>
      </c>
      <c r="Q334">
        <f t="shared" si="46"/>
        <v>73.930000000000007</v>
      </c>
      <c r="R334">
        <f t="shared" si="47"/>
        <v>8.7899999999999991</v>
      </c>
      <c r="S334">
        <f t="shared" si="48"/>
        <v>2.94</v>
      </c>
      <c r="T334" t="str">
        <f t="shared" si="49"/>
        <v>On Time</v>
      </c>
      <c r="U334" t="str">
        <f t="shared" si="50"/>
        <v>High</v>
      </c>
      <c r="V334" t="str">
        <f t="shared" si="51"/>
        <v>Low Risk</v>
      </c>
      <c r="W334" t="str">
        <f t="shared" si="52"/>
        <v>May</v>
      </c>
      <c r="X334">
        <f t="shared" si="53"/>
        <v>2025</v>
      </c>
    </row>
    <row r="335" spans="1:24" x14ac:dyDescent="0.35">
      <c r="A335" s="3">
        <v>45738</v>
      </c>
      <c r="B335" t="s">
        <v>190</v>
      </c>
      <c r="C335" t="s">
        <v>39</v>
      </c>
      <c r="D335" t="s">
        <v>481</v>
      </c>
      <c r="E335" t="s">
        <v>28</v>
      </c>
      <c r="F335" t="s">
        <v>48</v>
      </c>
      <c r="G335" t="s">
        <v>29</v>
      </c>
      <c r="H335">
        <v>75.599999999999994</v>
      </c>
      <c r="I335">
        <v>3879</v>
      </c>
      <c r="J335">
        <v>50</v>
      </c>
      <c r="K335">
        <v>15.3</v>
      </c>
      <c r="L335" t="s">
        <v>78</v>
      </c>
      <c r="M335">
        <v>52556.71</v>
      </c>
      <c r="N335">
        <v>12841</v>
      </c>
      <c r="O335" t="s">
        <v>36</v>
      </c>
      <c r="P335" t="str">
        <f t="shared" si="45"/>
        <v>No</v>
      </c>
      <c r="Q335">
        <f t="shared" si="46"/>
        <v>51.31</v>
      </c>
      <c r="R335">
        <f t="shared" si="47"/>
        <v>13.55</v>
      </c>
      <c r="S335">
        <f t="shared" si="48"/>
        <v>4.09</v>
      </c>
      <c r="T335" t="str">
        <f t="shared" si="49"/>
        <v>On Time</v>
      </c>
      <c r="U335" t="str">
        <f t="shared" si="50"/>
        <v>High</v>
      </c>
      <c r="V335" t="str">
        <f t="shared" si="51"/>
        <v>Low Risk</v>
      </c>
      <c r="W335" t="str">
        <f t="shared" si="52"/>
        <v>Mar</v>
      </c>
      <c r="X335">
        <f t="shared" si="53"/>
        <v>2025</v>
      </c>
    </row>
    <row r="336" spans="1:24" x14ac:dyDescent="0.35">
      <c r="A336" s="3">
        <v>45770</v>
      </c>
      <c r="B336" t="s">
        <v>111</v>
      </c>
      <c r="C336" t="s">
        <v>130</v>
      </c>
      <c r="D336" t="s">
        <v>482</v>
      </c>
      <c r="E336" t="s">
        <v>66</v>
      </c>
      <c r="F336" t="s">
        <v>54</v>
      </c>
      <c r="G336" t="s">
        <v>35</v>
      </c>
      <c r="H336">
        <v>40.5</v>
      </c>
      <c r="I336">
        <v>1993</v>
      </c>
      <c r="J336">
        <v>104</v>
      </c>
      <c r="K336">
        <v>18.399999999999999</v>
      </c>
      <c r="L336" t="s">
        <v>78</v>
      </c>
      <c r="M336">
        <v>24974.29</v>
      </c>
      <c r="N336">
        <v>20117</v>
      </c>
      <c r="O336" t="s">
        <v>44</v>
      </c>
      <c r="P336" t="str">
        <f t="shared" si="45"/>
        <v>No</v>
      </c>
      <c r="Q336">
        <f t="shared" si="46"/>
        <v>49.21</v>
      </c>
      <c r="R336">
        <f t="shared" si="47"/>
        <v>12.53</v>
      </c>
      <c r="S336">
        <f t="shared" si="48"/>
        <v>1.24</v>
      </c>
      <c r="T336" t="str">
        <f t="shared" si="49"/>
        <v>On Time</v>
      </c>
      <c r="U336" t="str">
        <f t="shared" si="50"/>
        <v>Medium</v>
      </c>
      <c r="V336" t="str">
        <f t="shared" si="51"/>
        <v>Low Risk</v>
      </c>
      <c r="W336" t="str">
        <f t="shared" si="52"/>
        <v>Apr</v>
      </c>
      <c r="X336">
        <f t="shared" si="53"/>
        <v>2025</v>
      </c>
    </row>
    <row r="337" spans="1:24" x14ac:dyDescent="0.35">
      <c r="A337" s="3">
        <v>45824</v>
      </c>
      <c r="B337" t="s">
        <v>106</v>
      </c>
      <c r="C337" t="s">
        <v>95</v>
      </c>
      <c r="D337" t="s">
        <v>483</v>
      </c>
      <c r="E337" t="s">
        <v>27</v>
      </c>
      <c r="F337" t="s">
        <v>54</v>
      </c>
      <c r="G337" t="s">
        <v>29</v>
      </c>
      <c r="H337">
        <v>24.8</v>
      </c>
      <c r="I337">
        <v>1230</v>
      </c>
      <c r="J337">
        <v>32</v>
      </c>
      <c r="K337">
        <v>21.5</v>
      </c>
      <c r="L337" t="s">
        <v>49</v>
      </c>
      <c r="M337">
        <v>11984.84</v>
      </c>
      <c r="N337">
        <v>29785</v>
      </c>
      <c r="O337" t="s">
        <v>84</v>
      </c>
      <c r="P337" t="str">
        <f t="shared" si="45"/>
        <v>Yes</v>
      </c>
      <c r="Q337">
        <f t="shared" si="46"/>
        <v>49.6</v>
      </c>
      <c r="R337">
        <f t="shared" si="47"/>
        <v>9.74</v>
      </c>
      <c r="S337">
        <f t="shared" si="48"/>
        <v>0.4</v>
      </c>
      <c r="T337" t="str">
        <f t="shared" si="49"/>
        <v>Delayed</v>
      </c>
      <c r="U337" t="str">
        <f t="shared" si="50"/>
        <v>Low</v>
      </c>
      <c r="V337" t="str">
        <f t="shared" si="51"/>
        <v>High Risk</v>
      </c>
      <c r="W337" t="str">
        <f t="shared" si="52"/>
        <v>Jun</v>
      </c>
      <c r="X337">
        <f t="shared" si="53"/>
        <v>2025</v>
      </c>
    </row>
    <row r="338" spans="1:24" x14ac:dyDescent="0.35">
      <c r="A338" s="3">
        <v>45998</v>
      </c>
      <c r="B338" t="s">
        <v>98</v>
      </c>
      <c r="C338" t="s">
        <v>25</v>
      </c>
      <c r="D338" t="s">
        <v>484</v>
      </c>
      <c r="E338" t="s">
        <v>41</v>
      </c>
      <c r="F338" t="s">
        <v>27</v>
      </c>
      <c r="G338" t="s">
        <v>71</v>
      </c>
      <c r="H338">
        <v>64</v>
      </c>
      <c r="I338">
        <v>2310</v>
      </c>
      <c r="J338">
        <v>63</v>
      </c>
      <c r="K338">
        <v>17.100000000000001</v>
      </c>
      <c r="L338" t="s">
        <v>78</v>
      </c>
      <c r="M338">
        <v>31718.47</v>
      </c>
      <c r="N338">
        <v>28987</v>
      </c>
      <c r="O338" t="s">
        <v>44</v>
      </c>
      <c r="P338" t="str">
        <f t="shared" si="45"/>
        <v>No</v>
      </c>
      <c r="Q338">
        <f t="shared" si="46"/>
        <v>36.090000000000003</v>
      </c>
      <c r="R338">
        <f t="shared" si="47"/>
        <v>13.73</v>
      </c>
      <c r="S338">
        <f t="shared" si="48"/>
        <v>1.0900000000000001</v>
      </c>
      <c r="T338" t="str">
        <f t="shared" si="49"/>
        <v>On Time</v>
      </c>
      <c r="U338" t="str">
        <f t="shared" si="50"/>
        <v>High</v>
      </c>
      <c r="V338" t="str">
        <f t="shared" si="51"/>
        <v>Low Risk</v>
      </c>
      <c r="W338" t="str">
        <f t="shared" si="52"/>
        <v>Dec</v>
      </c>
      <c r="X338">
        <f t="shared" si="53"/>
        <v>2025</v>
      </c>
    </row>
    <row r="339" spans="1:24" x14ac:dyDescent="0.35">
      <c r="A339" s="3">
        <v>45840</v>
      </c>
      <c r="B339" t="s">
        <v>171</v>
      </c>
      <c r="C339" t="s">
        <v>25</v>
      </c>
      <c r="D339" t="s">
        <v>485</v>
      </c>
      <c r="E339" t="s">
        <v>55</v>
      </c>
      <c r="F339" t="s">
        <v>28</v>
      </c>
      <c r="G339" t="s">
        <v>29</v>
      </c>
      <c r="H339">
        <v>47</v>
      </c>
      <c r="I339">
        <v>1195</v>
      </c>
      <c r="J339">
        <v>40</v>
      </c>
      <c r="K339">
        <v>11.4</v>
      </c>
      <c r="L339" t="s">
        <v>43</v>
      </c>
      <c r="M339">
        <v>22982.16</v>
      </c>
      <c r="N339">
        <v>9399</v>
      </c>
      <c r="O339" t="s">
        <v>91</v>
      </c>
      <c r="P339" t="str">
        <f t="shared" si="45"/>
        <v>Yes</v>
      </c>
      <c r="Q339">
        <f t="shared" si="46"/>
        <v>25.43</v>
      </c>
      <c r="R339">
        <f t="shared" si="47"/>
        <v>19.23</v>
      </c>
      <c r="S339">
        <f t="shared" si="48"/>
        <v>2.4500000000000002</v>
      </c>
      <c r="T339" t="str">
        <f t="shared" si="49"/>
        <v>Delayed</v>
      </c>
      <c r="U339" t="str">
        <f t="shared" si="50"/>
        <v>Medium</v>
      </c>
      <c r="V339" t="str">
        <f t="shared" si="51"/>
        <v>Low Risk</v>
      </c>
      <c r="W339" t="str">
        <f t="shared" si="52"/>
        <v>Jul</v>
      </c>
      <c r="X339">
        <f t="shared" si="53"/>
        <v>2025</v>
      </c>
    </row>
    <row r="340" spans="1:24" x14ac:dyDescent="0.35">
      <c r="A340" s="3">
        <v>45761</v>
      </c>
      <c r="B340" t="s">
        <v>171</v>
      </c>
      <c r="C340" t="s">
        <v>130</v>
      </c>
      <c r="D340" t="s">
        <v>486</v>
      </c>
      <c r="E340" t="s">
        <v>48</v>
      </c>
      <c r="F340" t="s">
        <v>41</v>
      </c>
      <c r="G340" t="s">
        <v>71</v>
      </c>
      <c r="H340">
        <v>63.6</v>
      </c>
      <c r="I340">
        <v>4482</v>
      </c>
      <c r="J340">
        <v>100</v>
      </c>
      <c r="K340">
        <v>14.9</v>
      </c>
      <c r="L340" t="s">
        <v>43</v>
      </c>
      <c r="M340">
        <v>39185.17</v>
      </c>
      <c r="N340">
        <v>16850</v>
      </c>
      <c r="O340" t="s">
        <v>84</v>
      </c>
      <c r="P340" t="str">
        <f t="shared" si="45"/>
        <v>Yes</v>
      </c>
      <c r="Q340">
        <f t="shared" si="46"/>
        <v>70.47</v>
      </c>
      <c r="R340">
        <f t="shared" si="47"/>
        <v>8.74</v>
      </c>
      <c r="S340">
        <f t="shared" si="48"/>
        <v>2.33</v>
      </c>
      <c r="T340" t="str">
        <f t="shared" si="49"/>
        <v>Delayed</v>
      </c>
      <c r="U340" t="str">
        <f t="shared" si="50"/>
        <v>High</v>
      </c>
      <c r="V340" t="str">
        <f t="shared" si="51"/>
        <v>Low Risk</v>
      </c>
      <c r="W340" t="str">
        <f t="shared" si="52"/>
        <v>Apr</v>
      </c>
      <c r="X340">
        <f t="shared" si="53"/>
        <v>2025</v>
      </c>
    </row>
    <row r="341" spans="1:24" x14ac:dyDescent="0.35">
      <c r="A341" s="3">
        <v>45833</v>
      </c>
      <c r="B341" t="s">
        <v>106</v>
      </c>
      <c r="C341" t="s">
        <v>52</v>
      </c>
      <c r="D341" t="s">
        <v>487</v>
      </c>
      <c r="E341" t="s">
        <v>66</v>
      </c>
      <c r="F341" t="s">
        <v>28</v>
      </c>
      <c r="G341" t="s">
        <v>29</v>
      </c>
      <c r="H341">
        <v>49.4</v>
      </c>
      <c r="I341">
        <v>1170</v>
      </c>
      <c r="J341">
        <v>80</v>
      </c>
      <c r="K341">
        <v>21.9</v>
      </c>
      <c r="L341" t="s">
        <v>43</v>
      </c>
      <c r="M341">
        <v>28047.01</v>
      </c>
      <c r="N341">
        <v>14817</v>
      </c>
      <c r="O341" t="s">
        <v>59</v>
      </c>
      <c r="P341" t="str">
        <f t="shared" si="45"/>
        <v>Yes</v>
      </c>
      <c r="Q341">
        <f t="shared" si="46"/>
        <v>23.68</v>
      </c>
      <c r="R341">
        <f t="shared" si="47"/>
        <v>23.97</v>
      </c>
      <c r="S341">
        <f t="shared" si="48"/>
        <v>1.89</v>
      </c>
      <c r="T341" t="str">
        <f t="shared" si="49"/>
        <v>Delayed</v>
      </c>
      <c r="U341" t="str">
        <f t="shared" si="50"/>
        <v>Medium</v>
      </c>
      <c r="V341" t="str">
        <f t="shared" si="51"/>
        <v>Low Risk</v>
      </c>
      <c r="W341" t="str">
        <f t="shared" si="52"/>
        <v>Jun</v>
      </c>
      <c r="X341">
        <f t="shared" si="53"/>
        <v>2025</v>
      </c>
    </row>
    <row r="342" spans="1:24" x14ac:dyDescent="0.35">
      <c r="A342" s="3">
        <v>45769</v>
      </c>
      <c r="B342" t="s">
        <v>150</v>
      </c>
      <c r="C342" t="s">
        <v>39</v>
      </c>
      <c r="D342" t="s">
        <v>488</v>
      </c>
      <c r="E342" t="s">
        <v>27</v>
      </c>
      <c r="F342" t="s">
        <v>63</v>
      </c>
      <c r="G342" t="s">
        <v>29</v>
      </c>
      <c r="H342">
        <v>25.9</v>
      </c>
      <c r="I342">
        <v>3930</v>
      </c>
      <c r="J342">
        <v>77</v>
      </c>
      <c r="K342">
        <v>14.7</v>
      </c>
      <c r="L342" t="s">
        <v>30</v>
      </c>
      <c r="M342">
        <v>16195.77</v>
      </c>
      <c r="N342">
        <v>19800</v>
      </c>
      <c r="O342" t="s">
        <v>91</v>
      </c>
      <c r="P342" t="str">
        <f t="shared" si="45"/>
        <v>Yes</v>
      </c>
      <c r="Q342">
        <f t="shared" si="46"/>
        <v>151.74</v>
      </c>
      <c r="R342">
        <f t="shared" si="47"/>
        <v>4.12</v>
      </c>
      <c r="S342">
        <f t="shared" si="48"/>
        <v>0.82</v>
      </c>
      <c r="T342" t="str">
        <f t="shared" si="49"/>
        <v>Delayed</v>
      </c>
      <c r="U342" t="str">
        <f t="shared" si="50"/>
        <v>Low</v>
      </c>
      <c r="V342" t="str">
        <f t="shared" si="51"/>
        <v>Medium Risk</v>
      </c>
      <c r="W342" t="str">
        <f t="shared" si="52"/>
        <v>Apr</v>
      </c>
      <c r="X342">
        <f t="shared" si="53"/>
        <v>2025</v>
      </c>
    </row>
    <row r="343" spans="1:24" x14ac:dyDescent="0.35">
      <c r="A343" s="3">
        <v>45850</v>
      </c>
      <c r="B343" t="s">
        <v>317</v>
      </c>
      <c r="C343" t="s">
        <v>57</v>
      </c>
      <c r="D343" t="s">
        <v>489</v>
      </c>
      <c r="E343" t="s">
        <v>54</v>
      </c>
      <c r="F343" t="s">
        <v>48</v>
      </c>
      <c r="G343" t="s">
        <v>71</v>
      </c>
      <c r="H343">
        <v>23.8</v>
      </c>
      <c r="I343">
        <v>3661</v>
      </c>
      <c r="J343">
        <v>41</v>
      </c>
      <c r="K343">
        <v>14.2</v>
      </c>
      <c r="L343" t="s">
        <v>30</v>
      </c>
      <c r="M343">
        <v>16102.43</v>
      </c>
      <c r="N343">
        <v>17853</v>
      </c>
      <c r="O343" t="s">
        <v>44</v>
      </c>
      <c r="P343" t="str">
        <f t="shared" si="45"/>
        <v>Yes</v>
      </c>
      <c r="Q343">
        <f t="shared" si="46"/>
        <v>153.82</v>
      </c>
      <c r="R343">
        <f t="shared" si="47"/>
        <v>4.4000000000000004</v>
      </c>
      <c r="S343">
        <f t="shared" si="48"/>
        <v>0.9</v>
      </c>
      <c r="T343" t="str">
        <f t="shared" si="49"/>
        <v>Delayed</v>
      </c>
      <c r="U343" t="str">
        <f t="shared" si="50"/>
        <v>Low</v>
      </c>
      <c r="V343" t="str">
        <f t="shared" si="51"/>
        <v>Medium Risk</v>
      </c>
      <c r="W343" t="str">
        <f t="shared" si="52"/>
        <v>Jul</v>
      </c>
      <c r="X343">
        <f t="shared" si="53"/>
        <v>2025</v>
      </c>
    </row>
    <row r="344" spans="1:24" x14ac:dyDescent="0.35">
      <c r="A344" s="3">
        <v>46007</v>
      </c>
      <c r="B344" t="s">
        <v>250</v>
      </c>
      <c r="C344" t="s">
        <v>39</v>
      </c>
      <c r="D344" t="s">
        <v>490</v>
      </c>
      <c r="E344" t="s">
        <v>48</v>
      </c>
      <c r="F344" t="s">
        <v>55</v>
      </c>
      <c r="G344" t="s">
        <v>42</v>
      </c>
      <c r="H344">
        <v>50.5</v>
      </c>
      <c r="I344">
        <v>3493</v>
      </c>
      <c r="J344">
        <v>98</v>
      </c>
      <c r="K344">
        <v>18.5</v>
      </c>
      <c r="L344" t="s">
        <v>78</v>
      </c>
      <c r="M344">
        <v>35122.11</v>
      </c>
      <c r="N344">
        <v>12746</v>
      </c>
      <c r="O344" t="s">
        <v>59</v>
      </c>
      <c r="P344" t="str">
        <f t="shared" si="45"/>
        <v>No</v>
      </c>
      <c r="Q344">
        <f t="shared" si="46"/>
        <v>69.17</v>
      </c>
      <c r="R344">
        <f t="shared" si="47"/>
        <v>10.050000000000001</v>
      </c>
      <c r="S344">
        <f t="shared" si="48"/>
        <v>2.76</v>
      </c>
      <c r="T344" t="str">
        <f t="shared" si="49"/>
        <v>On Time</v>
      </c>
      <c r="U344" t="str">
        <f t="shared" si="50"/>
        <v>Medium</v>
      </c>
      <c r="V344" t="str">
        <f t="shared" si="51"/>
        <v>Low Risk</v>
      </c>
      <c r="W344" t="str">
        <f t="shared" si="52"/>
        <v>Dec</v>
      </c>
      <c r="X344">
        <f t="shared" si="53"/>
        <v>2025</v>
      </c>
    </row>
    <row r="345" spans="1:24" x14ac:dyDescent="0.35">
      <c r="A345" s="3">
        <v>45829</v>
      </c>
      <c r="B345" t="s">
        <v>463</v>
      </c>
      <c r="C345" t="s">
        <v>25</v>
      </c>
      <c r="D345" t="s">
        <v>491</v>
      </c>
      <c r="E345" t="s">
        <v>28</v>
      </c>
      <c r="F345" t="s">
        <v>55</v>
      </c>
      <c r="G345" t="s">
        <v>42</v>
      </c>
      <c r="H345">
        <v>26.4</v>
      </c>
      <c r="I345">
        <v>706</v>
      </c>
      <c r="J345">
        <v>43</v>
      </c>
      <c r="K345">
        <v>11.4</v>
      </c>
      <c r="L345" t="s">
        <v>30</v>
      </c>
      <c r="M345">
        <v>17620.45</v>
      </c>
      <c r="N345">
        <v>11542</v>
      </c>
      <c r="O345" t="s">
        <v>36</v>
      </c>
      <c r="P345" t="str">
        <f t="shared" si="45"/>
        <v>Yes</v>
      </c>
      <c r="Q345">
        <f t="shared" si="46"/>
        <v>26.74</v>
      </c>
      <c r="R345">
        <f t="shared" si="47"/>
        <v>24.96</v>
      </c>
      <c r="S345">
        <f t="shared" si="48"/>
        <v>1.53</v>
      </c>
      <c r="T345" t="str">
        <f t="shared" si="49"/>
        <v>Delayed</v>
      </c>
      <c r="U345" t="str">
        <f t="shared" si="50"/>
        <v>Low</v>
      </c>
      <c r="V345" t="str">
        <f t="shared" si="51"/>
        <v>Medium Risk</v>
      </c>
      <c r="W345" t="str">
        <f t="shared" si="52"/>
        <v>Jun</v>
      </c>
      <c r="X345">
        <f t="shared" si="53"/>
        <v>2025</v>
      </c>
    </row>
    <row r="346" spans="1:24" x14ac:dyDescent="0.35">
      <c r="A346" s="3">
        <v>45881</v>
      </c>
      <c r="B346" t="s">
        <v>207</v>
      </c>
      <c r="C346" t="s">
        <v>52</v>
      </c>
      <c r="D346" t="s">
        <v>492</v>
      </c>
      <c r="E346" t="s">
        <v>48</v>
      </c>
      <c r="F346" t="s">
        <v>28</v>
      </c>
      <c r="G346" t="s">
        <v>71</v>
      </c>
      <c r="H346">
        <v>28.5</v>
      </c>
      <c r="I346">
        <v>1254</v>
      </c>
      <c r="J346">
        <v>68</v>
      </c>
      <c r="K346">
        <v>15</v>
      </c>
      <c r="L346" t="s">
        <v>43</v>
      </c>
      <c r="M346">
        <v>19000.439999999999</v>
      </c>
      <c r="N346">
        <v>18571</v>
      </c>
      <c r="O346" t="s">
        <v>91</v>
      </c>
      <c r="P346" t="str">
        <f t="shared" si="45"/>
        <v>Yes</v>
      </c>
      <c r="Q346">
        <f t="shared" si="46"/>
        <v>44</v>
      </c>
      <c r="R346">
        <f t="shared" si="47"/>
        <v>15.15</v>
      </c>
      <c r="S346">
        <f t="shared" si="48"/>
        <v>1.02</v>
      </c>
      <c r="T346" t="str">
        <f t="shared" si="49"/>
        <v>Delayed</v>
      </c>
      <c r="U346" t="str">
        <f t="shared" si="50"/>
        <v>Low</v>
      </c>
      <c r="V346" t="str">
        <f t="shared" si="51"/>
        <v>Low Risk</v>
      </c>
      <c r="W346" t="str">
        <f t="shared" si="52"/>
        <v>Aug</v>
      </c>
      <c r="X346">
        <f t="shared" si="53"/>
        <v>2025</v>
      </c>
    </row>
    <row r="347" spans="1:24" x14ac:dyDescent="0.35">
      <c r="A347" s="3">
        <v>45692</v>
      </c>
      <c r="B347" t="s">
        <v>89</v>
      </c>
      <c r="C347" t="s">
        <v>57</v>
      </c>
      <c r="D347" t="s">
        <v>493</v>
      </c>
      <c r="E347" t="s">
        <v>63</v>
      </c>
      <c r="F347" t="s">
        <v>28</v>
      </c>
      <c r="G347" t="s">
        <v>35</v>
      </c>
      <c r="H347">
        <v>60.4</v>
      </c>
      <c r="I347">
        <v>4372</v>
      </c>
      <c r="J347">
        <v>48</v>
      </c>
      <c r="K347">
        <v>17.3</v>
      </c>
      <c r="L347" t="s">
        <v>49</v>
      </c>
      <c r="M347">
        <v>38932.19</v>
      </c>
      <c r="N347">
        <v>7348</v>
      </c>
      <c r="O347" t="s">
        <v>67</v>
      </c>
      <c r="P347" t="str">
        <f t="shared" si="45"/>
        <v>Yes</v>
      </c>
      <c r="Q347">
        <f t="shared" si="46"/>
        <v>72.38</v>
      </c>
      <c r="R347">
        <f t="shared" si="47"/>
        <v>8.9</v>
      </c>
      <c r="S347">
        <f t="shared" si="48"/>
        <v>5.3</v>
      </c>
      <c r="T347" t="str">
        <f t="shared" si="49"/>
        <v>Delayed</v>
      </c>
      <c r="U347" t="str">
        <f t="shared" si="50"/>
        <v>High</v>
      </c>
      <c r="V347" t="str">
        <f t="shared" si="51"/>
        <v>High Risk</v>
      </c>
      <c r="W347" t="str">
        <f t="shared" si="52"/>
        <v>Feb</v>
      </c>
      <c r="X347">
        <f t="shared" si="53"/>
        <v>2025</v>
      </c>
    </row>
    <row r="348" spans="1:24" x14ac:dyDescent="0.35">
      <c r="A348" s="3">
        <v>45776</v>
      </c>
      <c r="B348" t="s">
        <v>236</v>
      </c>
      <c r="C348" t="s">
        <v>130</v>
      </c>
      <c r="D348" t="s">
        <v>494</v>
      </c>
      <c r="E348" t="s">
        <v>41</v>
      </c>
      <c r="F348" t="s">
        <v>66</v>
      </c>
      <c r="G348" t="s">
        <v>71</v>
      </c>
      <c r="H348">
        <v>62.9</v>
      </c>
      <c r="I348">
        <v>4618</v>
      </c>
      <c r="J348">
        <v>31</v>
      </c>
      <c r="K348">
        <v>20.399999999999999</v>
      </c>
      <c r="L348" t="s">
        <v>30</v>
      </c>
      <c r="M348">
        <v>38631.14</v>
      </c>
      <c r="N348">
        <v>22597</v>
      </c>
      <c r="O348" t="s">
        <v>31</v>
      </c>
      <c r="P348" t="str">
        <f t="shared" si="45"/>
        <v>Yes</v>
      </c>
      <c r="Q348">
        <f t="shared" si="46"/>
        <v>73.42</v>
      </c>
      <c r="R348">
        <f t="shared" si="47"/>
        <v>8.3699999999999992</v>
      </c>
      <c r="S348">
        <f t="shared" si="48"/>
        <v>1.71</v>
      </c>
      <c r="T348" t="str">
        <f t="shared" si="49"/>
        <v>Delayed</v>
      </c>
      <c r="U348" t="str">
        <f t="shared" si="50"/>
        <v>High</v>
      </c>
      <c r="V348" t="str">
        <f t="shared" si="51"/>
        <v>Medium Risk</v>
      </c>
      <c r="W348" t="str">
        <f t="shared" si="52"/>
        <v>Apr</v>
      </c>
      <c r="X348">
        <f t="shared" si="53"/>
        <v>2025</v>
      </c>
    </row>
    <row r="349" spans="1:24" x14ac:dyDescent="0.35">
      <c r="A349" s="3">
        <v>45808</v>
      </c>
      <c r="B349" t="s">
        <v>291</v>
      </c>
      <c r="C349" t="s">
        <v>130</v>
      </c>
      <c r="D349" t="s">
        <v>495</v>
      </c>
      <c r="E349" t="s">
        <v>55</v>
      </c>
      <c r="F349" t="s">
        <v>48</v>
      </c>
      <c r="G349" t="s">
        <v>29</v>
      </c>
      <c r="H349">
        <v>23.8</v>
      </c>
      <c r="I349">
        <v>2569</v>
      </c>
      <c r="J349">
        <v>56</v>
      </c>
      <c r="K349">
        <v>10.5</v>
      </c>
      <c r="L349" t="s">
        <v>78</v>
      </c>
      <c r="M349">
        <v>14849.18</v>
      </c>
      <c r="N349">
        <v>7777</v>
      </c>
      <c r="O349" t="s">
        <v>67</v>
      </c>
      <c r="P349" t="str">
        <f t="shared" si="45"/>
        <v>No</v>
      </c>
      <c r="Q349">
        <f t="shared" si="46"/>
        <v>107.94</v>
      </c>
      <c r="R349">
        <f t="shared" si="47"/>
        <v>5.78</v>
      </c>
      <c r="S349">
        <f t="shared" si="48"/>
        <v>1.91</v>
      </c>
      <c r="T349" t="str">
        <f t="shared" si="49"/>
        <v>On Time</v>
      </c>
      <c r="U349" t="str">
        <f t="shared" si="50"/>
        <v>Low</v>
      </c>
      <c r="V349" t="str">
        <f t="shared" si="51"/>
        <v>Low Risk</v>
      </c>
      <c r="W349" t="str">
        <f t="shared" si="52"/>
        <v>May</v>
      </c>
      <c r="X349">
        <f t="shared" si="53"/>
        <v>2025</v>
      </c>
    </row>
    <row r="350" spans="1:24" x14ac:dyDescent="0.35">
      <c r="A350" s="3">
        <v>45699</v>
      </c>
      <c r="B350" t="s">
        <v>80</v>
      </c>
      <c r="C350" t="s">
        <v>39</v>
      </c>
      <c r="D350" t="s">
        <v>496</v>
      </c>
      <c r="E350" t="s">
        <v>54</v>
      </c>
      <c r="F350" t="s">
        <v>66</v>
      </c>
      <c r="G350" t="s">
        <v>71</v>
      </c>
      <c r="H350">
        <v>72.3</v>
      </c>
      <c r="I350">
        <v>2885</v>
      </c>
      <c r="J350">
        <v>93</v>
      </c>
      <c r="K350">
        <v>12.6</v>
      </c>
      <c r="L350" t="s">
        <v>78</v>
      </c>
      <c r="M350">
        <v>37375.17</v>
      </c>
      <c r="N350">
        <v>18659</v>
      </c>
      <c r="O350" t="s">
        <v>44</v>
      </c>
      <c r="P350" t="str">
        <f t="shared" si="45"/>
        <v>No</v>
      </c>
      <c r="Q350">
        <f t="shared" si="46"/>
        <v>39.9</v>
      </c>
      <c r="R350">
        <f t="shared" si="47"/>
        <v>12.95</v>
      </c>
      <c r="S350">
        <f t="shared" si="48"/>
        <v>2</v>
      </c>
      <c r="T350" t="str">
        <f t="shared" si="49"/>
        <v>On Time</v>
      </c>
      <c r="U350" t="str">
        <f t="shared" si="50"/>
        <v>High</v>
      </c>
      <c r="V350" t="str">
        <f t="shared" si="51"/>
        <v>Low Risk</v>
      </c>
      <c r="W350" t="str">
        <f t="shared" si="52"/>
        <v>Feb</v>
      </c>
      <c r="X350">
        <f t="shared" si="53"/>
        <v>2025</v>
      </c>
    </row>
    <row r="351" spans="1:24" x14ac:dyDescent="0.35">
      <c r="A351" s="3">
        <v>45818</v>
      </c>
      <c r="B351" t="s">
        <v>148</v>
      </c>
      <c r="C351" t="s">
        <v>95</v>
      </c>
      <c r="D351" t="s">
        <v>497</v>
      </c>
      <c r="E351" t="s">
        <v>28</v>
      </c>
      <c r="F351" t="s">
        <v>48</v>
      </c>
      <c r="G351" t="s">
        <v>42</v>
      </c>
      <c r="H351">
        <v>34.200000000000003</v>
      </c>
      <c r="I351">
        <v>3735</v>
      </c>
      <c r="J351">
        <v>66</v>
      </c>
      <c r="K351">
        <v>16.899999999999999</v>
      </c>
      <c r="L351" t="s">
        <v>49</v>
      </c>
      <c r="M351">
        <v>23920.36</v>
      </c>
      <c r="N351">
        <v>14898</v>
      </c>
      <c r="O351" t="s">
        <v>84</v>
      </c>
      <c r="P351" t="str">
        <f t="shared" si="45"/>
        <v>Yes</v>
      </c>
      <c r="Q351">
        <f t="shared" si="46"/>
        <v>109.21</v>
      </c>
      <c r="R351">
        <f t="shared" si="47"/>
        <v>6.4</v>
      </c>
      <c r="S351">
        <f t="shared" si="48"/>
        <v>1.61</v>
      </c>
      <c r="T351" t="str">
        <f t="shared" si="49"/>
        <v>Delayed</v>
      </c>
      <c r="U351" t="str">
        <f t="shared" si="50"/>
        <v>Low</v>
      </c>
      <c r="V351" t="str">
        <f t="shared" si="51"/>
        <v>High Risk</v>
      </c>
      <c r="W351" t="str">
        <f t="shared" si="52"/>
        <v>Jun</v>
      </c>
      <c r="X351">
        <f t="shared" si="53"/>
        <v>2025</v>
      </c>
    </row>
    <row r="352" spans="1:24" x14ac:dyDescent="0.35">
      <c r="A352" s="3">
        <v>45697</v>
      </c>
      <c r="B352" t="s">
        <v>207</v>
      </c>
      <c r="C352" t="s">
        <v>69</v>
      </c>
      <c r="D352" t="s">
        <v>498</v>
      </c>
      <c r="E352" t="s">
        <v>48</v>
      </c>
      <c r="F352" t="s">
        <v>28</v>
      </c>
      <c r="G352" t="s">
        <v>71</v>
      </c>
      <c r="H352">
        <v>61.9</v>
      </c>
      <c r="I352">
        <v>3239</v>
      </c>
      <c r="J352">
        <v>42</v>
      </c>
      <c r="K352">
        <v>17.2</v>
      </c>
      <c r="L352" t="s">
        <v>49</v>
      </c>
      <c r="M352">
        <v>39360.14</v>
      </c>
      <c r="N352">
        <v>15008</v>
      </c>
      <c r="O352" t="s">
        <v>44</v>
      </c>
      <c r="P352" t="str">
        <f t="shared" si="45"/>
        <v>Yes</v>
      </c>
      <c r="Q352">
        <f t="shared" si="46"/>
        <v>52.33</v>
      </c>
      <c r="R352">
        <f t="shared" si="47"/>
        <v>12.15</v>
      </c>
      <c r="S352">
        <f t="shared" si="48"/>
        <v>2.62</v>
      </c>
      <c r="T352" t="str">
        <f t="shared" si="49"/>
        <v>Delayed</v>
      </c>
      <c r="U352" t="str">
        <f t="shared" si="50"/>
        <v>High</v>
      </c>
      <c r="V352" t="str">
        <f t="shared" si="51"/>
        <v>High Risk</v>
      </c>
      <c r="W352" t="str">
        <f t="shared" si="52"/>
        <v>Feb</v>
      </c>
      <c r="X352">
        <f t="shared" si="53"/>
        <v>2025</v>
      </c>
    </row>
    <row r="353" spans="1:24" x14ac:dyDescent="0.35">
      <c r="A353" s="3">
        <v>45985</v>
      </c>
      <c r="B353" t="s">
        <v>188</v>
      </c>
      <c r="C353" t="s">
        <v>25</v>
      </c>
      <c r="D353" t="s">
        <v>499</v>
      </c>
      <c r="E353" t="s">
        <v>41</v>
      </c>
      <c r="F353" t="s">
        <v>28</v>
      </c>
      <c r="G353" t="s">
        <v>42</v>
      </c>
      <c r="H353">
        <v>22.7</v>
      </c>
      <c r="I353">
        <v>2106</v>
      </c>
      <c r="J353">
        <v>86</v>
      </c>
      <c r="K353">
        <v>16</v>
      </c>
      <c r="L353" t="s">
        <v>30</v>
      </c>
      <c r="M353">
        <v>14100.29</v>
      </c>
      <c r="N353">
        <v>18321</v>
      </c>
      <c r="O353" t="s">
        <v>31</v>
      </c>
      <c r="P353" t="str">
        <f t="shared" si="45"/>
        <v>Yes</v>
      </c>
      <c r="Q353">
        <f t="shared" si="46"/>
        <v>92.78</v>
      </c>
      <c r="R353">
        <f t="shared" si="47"/>
        <v>6.7</v>
      </c>
      <c r="S353">
        <f t="shared" si="48"/>
        <v>0.77</v>
      </c>
      <c r="T353" t="str">
        <f t="shared" si="49"/>
        <v>Delayed</v>
      </c>
      <c r="U353" t="str">
        <f t="shared" si="50"/>
        <v>Low</v>
      </c>
      <c r="V353" t="str">
        <f t="shared" si="51"/>
        <v>Medium Risk</v>
      </c>
      <c r="W353" t="str">
        <f t="shared" si="52"/>
        <v>Nov</v>
      </c>
      <c r="X353">
        <f t="shared" si="53"/>
        <v>2025</v>
      </c>
    </row>
    <row r="354" spans="1:24" x14ac:dyDescent="0.35">
      <c r="A354" s="3">
        <v>45877</v>
      </c>
      <c r="B354" t="s">
        <v>159</v>
      </c>
      <c r="C354" t="s">
        <v>57</v>
      </c>
      <c r="D354" t="s">
        <v>500</v>
      </c>
      <c r="E354" t="s">
        <v>55</v>
      </c>
      <c r="F354" t="s">
        <v>28</v>
      </c>
      <c r="G354" t="s">
        <v>42</v>
      </c>
      <c r="H354">
        <v>40.799999999999997</v>
      </c>
      <c r="I354">
        <v>1866</v>
      </c>
      <c r="J354">
        <v>24</v>
      </c>
      <c r="K354">
        <v>18.600000000000001</v>
      </c>
      <c r="L354" t="s">
        <v>49</v>
      </c>
      <c r="M354">
        <v>25721.63</v>
      </c>
      <c r="N354">
        <v>12036</v>
      </c>
      <c r="O354" t="s">
        <v>44</v>
      </c>
      <c r="P354" t="str">
        <f t="shared" si="45"/>
        <v>Yes</v>
      </c>
      <c r="Q354">
        <f t="shared" si="46"/>
        <v>45.74</v>
      </c>
      <c r="R354">
        <f t="shared" si="47"/>
        <v>13.78</v>
      </c>
      <c r="S354">
        <f t="shared" si="48"/>
        <v>2.14</v>
      </c>
      <c r="T354" t="str">
        <f t="shared" si="49"/>
        <v>Delayed</v>
      </c>
      <c r="U354" t="str">
        <f t="shared" si="50"/>
        <v>Medium</v>
      </c>
      <c r="V354" t="str">
        <f t="shared" si="51"/>
        <v>High Risk</v>
      </c>
      <c r="W354" t="str">
        <f t="shared" si="52"/>
        <v>Aug</v>
      </c>
      <c r="X354">
        <f t="shared" si="53"/>
        <v>2025</v>
      </c>
    </row>
    <row r="355" spans="1:24" x14ac:dyDescent="0.35">
      <c r="A355" s="3">
        <v>45801</v>
      </c>
      <c r="B355" t="s">
        <v>246</v>
      </c>
      <c r="C355" t="s">
        <v>95</v>
      </c>
      <c r="D355" t="s">
        <v>501</v>
      </c>
      <c r="E355" t="s">
        <v>54</v>
      </c>
      <c r="F355" t="s">
        <v>55</v>
      </c>
      <c r="G355" t="s">
        <v>42</v>
      </c>
      <c r="H355">
        <v>78.2</v>
      </c>
      <c r="I355">
        <v>2255</v>
      </c>
      <c r="J355">
        <v>89</v>
      </c>
      <c r="K355">
        <v>17</v>
      </c>
      <c r="L355" t="s">
        <v>49</v>
      </c>
      <c r="M355">
        <v>45453.23</v>
      </c>
      <c r="N355">
        <v>13536</v>
      </c>
      <c r="O355" t="s">
        <v>91</v>
      </c>
      <c r="P355" t="str">
        <f t="shared" si="45"/>
        <v>Yes</v>
      </c>
      <c r="Q355">
        <f t="shared" si="46"/>
        <v>28.84</v>
      </c>
      <c r="R355">
        <f t="shared" si="47"/>
        <v>20.16</v>
      </c>
      <c r="S355">
        <f t="shared" si="48"/>
        <v>3.36</v>
      </c>
      <c r="T355" t="str">
        <f t="shared" si="49"/>
        <v>Delayed</v>
      </c>
      <c r="U355" t="str">
        <f t="shared" si="50"/>
        <v>High</v>
      </c>
      <c r="V355" t="str">
        <f t="shared" si="51"/>
        <v>High Risk</v>
      </c>
      <c r="W355" t="str">
        <f t="shared" si="52"/>
        <v>May</v>
      </c>
      <c r="X355">
        <f t="shared" si="53"/>
        <v>2025</v>
      </c>
    </row>
    <row r="356" spans="1:24" x14ac:dyDescent="0.35">
      <c r="A356" s="3">
        <v>45976</v>
      </c>
      <c r="B356" t="s">
        <v>129</v>
      </c>
      <c r="C356" t="s">
        <v>69</v>
      </c>
      <c r="D356" t="s">
        <v>502</v>
      </c>
      <c r="E356" t="s">
        <v>54</v>
      </c>
      <c r="F356" t="s">
        <v>48</v>
      </c>
      <c r="G356" t="s">
        <v>42</v>
      </c>
      <c r="H356">
        <v>32.299999999999997</v>
      </c>
      <c r="I356">
        <v>1625</v>
      </c>
      <c r="J356">
        <v>97</v>
      </c>
      <c r="K356">
        <v>14.2</v>
      </c>
      <c r="L356" t="s">
        <v>49</v>
      </c>
      <c r="M356">
        <v>17322.86</v>
      </c>
      <c r="N356">
        <v>28860</v>
      </c>
      <c r="O356" t="s">
        <v>44</v>
      </c>
      <c r="P356" t="str">
        <f t="shared" si="45"/>
        <v>Yes</v>
      </c>
      <c r="Q356">
        <f t="shared" si="46"/>
        <v>50.31</v>
      </c>
      <c r="R356">
        <f t="shared" si="47"/>
        <v>10.66</v>
      </c>
      <c r="S356">
        <f t="shared" si="48"/>
        <v>0.6</v>
      </c>
      <c r="T356" t="str">
        <f t="shared" si="49"/>
        <v>Delayed</v>
      </c>
      <c r="U356" t="str">
        <f t="shared" si="50"/>
        <v>Low</v>
      </c>
      <c r="V356" t="str">
        <f t="shared" si="51"/>
        <v>High Risk</v>
      </c>
      <c r="W356" t="str">
        <f t="shared" si="52"/>
        <v>Nov</v>
      </c>
      <c r="X356">
        <f t="shared" si="53"/>
        <v>2025</v>
      </c>
    </row>
    <row r="357" spans="1:24" x14ac:dyDescent="0.35">
      <c r="A357" s="3">
        <v>45665</v>
      </c>
      <c r="B357" t="s">
        <v>221</v>
      </c>
      <c r="C357" t="s">
        <v>109</v>
      </c>
      <c r="D357" t="s">
        <v>503</v>
      </c>
      <c r="E357" t="s">
        <v>41</v>
      </c>
      <c r="F357" t="s">
        <v>54</v>
      </c>
      <c r="G357" t="s">
        <v>71</v>
      </c>
      <c r="H357">
        <v>28.2</v>
      </c>
      <c r="I357">
        <v>4324</v>
      </c>
      <c r="J357">
        <v>31</v>
      </c>
      <c r="K357">
        <v>21.1</v>
      </c>
      <c r="L357" t="s">
        <v>78</v>
      </c>
      <c r="M357">
        <v>12964.44</v>
      </c>
      <c r="N357">
        <v>14932</v>
      </c>
      <c r="O357" t="s">
        <v>44</v>
      </c>
      <c r="P357" t="str">
        <f t="shared" si="45"/>
        <v>No</v>
      </c>
      <c r="Q357">
        <f t="shared" si="46"/>
        <v>153.33000000000001</v>
      </c>
      <c r="R357">
        <f t="shared" si="47"/>
        <v>3</v>
      </c>
      <c r="S357">
        <f t="shared" si="48"/>
        <v>0.87</v>
      </c>
      <c r="T357" t="str">
        <f t="shared" si="49"/>
        <v>On Time</v>
      </c>
      <c r="U357" t="str">
        <f t="shared" si="50"/>
        <v>Low</v>
      </c>
      <c r="V357" t="str">
        <f t="shared" si="51"/>
        <v>Low Risk</v>
      </c>
      <c r="W357" t="str">
        <f t="shared" si="52"/>
        <v>Jan</v>
      </c>
      <c r="X357">
        <f t="shared" si="53"/>
        <v>2025</v>
      </c>
    </row>
    <row r="358" spans="1:24" x14ac:dyDescent="0.35">
      <c r="A358" s="3">
        <v>45881</v>
      </c>
      <c r="B358" t="s">
        <v>233</v>
      </c>
      <c r="C358" t="s">
        <v>39</v>
      </c>
      <c r="D358" t="s">
        <v>504</v>
      </c>
      <c r="E358" t="s">
        <v>27</v>
      </c>
      <c r="F358" t="s">
        <v>63</v>
      </c>
      <c r="G358" t="s">
        <v>42</v>
      </c>
      <c r="H358">
        <v>69.5</v>
      </c>
      <c r="I358">
        <v>2705</v>
      </c>
      <c r="J358">
        <v>106</v>
      </c>
      <c r="K358">
        <v>14.3</v>
      </c>
      <c r="L358" t="s">
        <v>78</v>
      </c>
      <c r="M358">
        <v>45462.87</v>
      </c>
      <c r="N358">
        <v>13074</v>
      </c>
      <c r="O358" t="s">
        <v>50</v>
      </c>
      <c r="P358" t="str">
        <f t="shared" si="45"/>
        <v>No</v>
      </c>
      <c r="Q358">
        <f t="shared" si="46"/>
        <v>38.92</v>
      </c>
      <c r="R358">
        <f t="shared" si="47"/>
        <v>16.809999999999999</v>
      </c>
      <c r="S358">
        <f t="shared" si="48"/>
        <v>3.48</v>
      </c>
      <c r="T358" t="str">
        <f t="shared" si="49"/>
        <v>On Time</v>
      </c>
      <c r="U358" t="str">
        <f t="shared" si="50"/>
        <v>High</v>
      </c>
      <c r="V358" t="str">
        <f t="shared" si="51"/>
        <v>Low Risk</v>
      </c>
      <c r="W358" t="str">
        <f t="shared" si="52"/>
        <v>Aug</v>
      </c>
      <c r="X358">
        <f t="shared" si="53"/>
        <v>2025</v>
      </c>
    </row>
    <row r="359" spans="1:24" x14ac:dyDescent="0.35">
      <c r="A359" s="3">
        <v>45779</v>
      </c>
      <c r="B359" t="s">
        <v>171</v>
      </c>
      <c r="C359" t="s">
        <v>69</v>
      </c>
      <c r="D359" t="s">
        <v>505</v>
      </c>
      <c r="E359" t="s">
        <v>66</v>
      </c>
      <c r="F359" t="s">
        <v>41</v>
      </c>
      <c r="G359" t="s">
        <v>29</v>
      </c>
      <c r="H359">
        <v>43.6</v>
      </c>
      <c r="I359">
        <v>3145</v>
      </c>
      <c r="J359">
        <v>80</v>
      </c>
      <c r="K359">
        <v>14.7</v>
      </c>
      <c r="L359" t="s">
        <v>43</v>
      </c>
      <c r="M359">
        <v>27527.66</v>
      </c>
      <c r="N359">
        <v>26346</v>
      </c>
      <c r="O359" t="s">
        <v>67</v>
      </c>
      <c r="P359" t="str">
        <f t="shared" si="45"/>
        <v>Yes</v>
      </c>
      <c r="Q359">
        <f t="shared" si="46"/>
        <v>72.13</v>
      </c>
      <c r="R359">
        <f t="shared" si="47"/>
        <v>8.75</v>
      </c>
      <c r="S359">
        <f t="shared" si="48"/>
        <v>1.04</v>
      </c>
      <c r="T359" t="str">
        <f t="shared" si="49"/>
        <v>Delayed</v>
      </c>
      <c r="U359" t="str">
        <f t="shared" si="50"/>
        <v>Medium</v>
      </c>
      <c r="V359" t="str">
        <f t="shared" si="51"/>
        <v>Low Risk</v>
      </c>
      <c r="W359" t="str">
        <f t="shared" si="52"/>
        <v>May</v>
      </c>
      <c r="X359">
        <f t="shared" si="53"/>
        <v>2025</v>
      </c>
    </row>
    <row r="360" spans="1:24" x14ac:dyDescent="0.35">
      <c r="A360" s="3">
        <v>45873</v>
      </c>
      <c r="B360" t="s">
        <v>277</v>
      </c>
      <c r="C360" t="s">
        <v>69</v>
      </c>
      <c r="D360" t="s">
        <v>506</v>
      </c>
      <c r="E360" t="s">
        <v>48</v>
      </c>
      <c r="F360" t="s">
        <v>63</v>
      </c>
      <c r="G360" t="s">
        <v>42</v>
      </c>
      <c r="H360">
        <v>20.100000000000001</v>
      </c>
      <c r="I360">
        <v>2829</v>
      </c>
      <c r="J360">
        <v>88</v>
      </c>
      <c r="K360">
        <v>10</v>
      </c>
      <c r="L360" t="s">
        <v>43</v>
      </c>
      <c r="M360">
        <v>13219.85</v>
      </c>
      <c r="N360">
        <v>26440</v>
      </c>
      <c r="O360" t="s">
        <v>91</v>
      </c>
      <c r="P360" t="str">
        <f t="shared" si="45"/>
        <v>Yes</v>
      </c>
      <c r="Q360">
        <f t="shared" si="46"/>
        <v>140.75</v>
      </c>
      <c r="R360">
        <f t="shared" si="47"/>
        <v>4.67</v>
      </c>
      <c r="S360">
        <f t="shared" si="48"/>
        <v>0.5</v>
      </c>
      <c r="T360" t="str">
        <f t="shared" si="49"/>
        <v>Delayed</v>
      </c>
      <c r="U360" t="str">
        <f t="shared" si="50"/>
        <v>Low</v>
      </c>
      <c r="V360" t="str">
        <f t="shared" si="51"/>
        <v>Low Risk</v>
      </c>
      <c r="W360" t="str">
        <f t="shared" si="52"/>
        <v>Aug</v>
      </c>
      <c r="X360">
        <f t="shared" si="53"/>
        <v>2025</v>
      </c>
    </row>
    <row r="361" spans="1:24" x14ac:dyDescent="0.35">
      <c r="A361" s="3">
        <v>45697</v>
      </c>
      <c r="B361" t="s">
        <v>154</v>
      </c>
      <c r="C361" t="s">
        <v>39</v>
      </c>
      <c r="D361" t="s">
        <v>507</v>
      </c>
      <c r="E361" t="s">
        <v>66</v>
      </c>
      <c r="F361" t="s">
        <v>27</v>
      </c>
      <c r="G361" t="s">
        <v>35</v>
      </c>
      <c r="H361">
        <v>46.9</v>
      </c>
      <c r="I361">
        <v>1765</v>
      </c>
      <c r="J361">
        <v>49</v>
      </c>
      <c r="K361">
        <v>17.3</v>
      </c>
      <c r="L361" t="s">
        <v>43</v>
      </c>
      <c r="M361">
        <v>28504.400000000001</v>
      </c>
      <c r="N361">
        <v>5662</v>
      </c>
      <c r="O361" t="s">
        <v>36</v>
      </c>
      <c r="P361" t="str">
        <f t="shared" si="45"/>
        <v>Yes</v>
      </c>
      <c r="Q361">
        <f t="shared" si="46"/>
        <v>37.630000000000003</v>
      </c>
      <c r="R361">
        <f t="shared" si="47"/>
        <v>16.149999999999999</v>
      </c>
      <c r="S361">
        <f t="shared" si="48"/>
        <v>5.03</v>
      </c>
      <c r="T361" t="str">
        <f t="shared" si="49"/>
        <v>Delayed</v>
      </c>
      <c r="U361" t="str">
        <f t="shared" si="50"/>
        <v>Medium</v>
      </c>
      <c r="V361" t="str">
        <f t="shared" si="51"/>
        <v>Low Risk</v>
      </c>
      <c r="W361" t="str">
        <f t="shared" si="52"/>
        <v>Feb</v>
      </c>
      <c r="X361">
        <f t="shared" si="53"/>
        <v>2025</v>
      </c>
    </row>
    <row r="362" spans="1:24" x14ac:dyDescent="0.35">
      <c r="A362" s="3">
        <v>45883</v>
      </c>
      <c r="B362" t="s">
        <v>142</v>
      </c>
      <c r="C362" t="s">
        <v>52</v>
      </c>
      <c r="D362" t="s">
        <v>508</v>
      </c>
      <c r="E362" t="s">
        <v>28</v>
      </c>
      <c r="F362" t="s">
        <v>41</v>
      </c>
      <c r="G362" t="s">
        <v>71</v>
      </c>
      <c r="H362">
        <v>38.5</v>
      </c>
      <c r="I362">
        <v>4209</v>
      </c>
      <c r="J362">
        <v>39</v>
      </c>
      <c r="K362">
        <v>22</v>
      </c>
      <c r="L362" t="s">
        <v>30</v>
      </c>
      <c r="M362">
        <v>17716.52</v>
      </c>
      <c r="N362">
        <v>8585</v>
      </c>
      <c r="O362" t="s">
        <v>44</v>
      </c>
      <c r="P362" t="str">
        <f t="shared" si="45"/>
        <v>Yes</v>
      </c>
      <c r="Q362">
        <f t="shared" si="46"/>
        <v>109.32</v>
      </c>
      <c r="R362">
        <f t="shared" si="47"/>
        <v>4.21</v>
      </c>
      <c r="S362">
        <f t="shared" si="48"/>
        <v>2.06</v>
      </c>
      <c r="T362" t="str">
        <f t="shared" si="49"/>
        <v>Delayed</v>
      </c>
      <c r="U362" t="str">
        <f t="shared" si="50"/>
        <v>Low</v>
      </c>
      <c r="V362" t="str">
        <f t="shared" si="51"/>
        <v>Medium Risk</v>
      </c>
      <c r="W362" t="str">
        <f t="shared" si="52"/>
        <v>Aug</v>
      </c>
      <c r="X362">
        <f t="shared" si="53"/>
        <v>2025</v>
      </c>
    </row>
    <row r="363" spans="1:24" x14ac:dyDescent="0.35">
      <c r="A363" s="3">
        <v>45742</v>
      </c>
      <c r="B363" t="s">
        <v>113</v>
      </c>
      <c r="C363" t="s">
        <v>69</v>
      </c>
      <c r="D363" t="s">
        <v>509</v>
      </c>
      <c r="E363" t="s">
        <v>55</v>
      </c>
      <c r="F363" t="s">
        <v>28</v>
      </c>
      <c r="G363" t="s">
        <v>35</v>
      </c>
      <c r="H363">
        <v>63.7</v>
      </c>
      <c r="I363">
        <v>1824</v>
      </c>
      <c r="J363">
        <v>77</v>
      </c>
      <c r="K363">
        <v>17.7</v>
      </c>
      <c r="L363" t="s">
        <v>43</v>
      </c>
      <c r="M363">
        <v>43546.23</v>
      </c>
      <c r="N363">
        <v>6616</v>
      </c>
      <c r="O363" t="s">
        <v>50</v>
      </c>
      <c r="P363" t="str">
        <f t="shared" si="45"/>
        <v>Yes</v>
      </c>
      <c r="Q363">
        <f t="shared" si="46"/>
        <v>28.63</v>
      </c>
      <c r="R363">
        <f t="shared" si="47"/>
        <v>23.87</v>
      </c>
      <c r="S363">
        <f t="shared" si="48"/>
        <v>6.58</v>
      </c>
      <c r="T363" t="str">
        <f t="shared" si="49"/>
        <v>Delayed</v>
      </c>
      <c r="U363" t="str">
        <f t="shared" si="50"/>
        <v>High</v>
      </c>
      <c r="V363" t="str">
        <f t="shared" si="51"/>
        <v>Low Risk</v>
      </c>
      <c r="W363" t="str">
        <f t="shared" si="52"/>
        <v>Mar</v>
      </c>
      <c r="X363">
        <f t="shared" si="53"/>
        <v>2025</v>
      </c>
    </row>
    <row r="364" spans="1:24" x14ac:dyDescent="0.35">
      <c r="A364" s="3">
        <v>45762</v>
      </c>
      <c r="B364" t="s">
        <v>92</v>
      </c>
      <c r="C364" t="s">
        <v>39</v>
      </c>
      <c r="D364" t="s">
        <v>510</v>
      </c>
      <c r="E364" t="s">
        <v>66</v>
      </c>
      <c r="F364" t="s">
        <v>28</v>
      </c>
      <c r="G364" t="s">
        <v>35</v>
      </c>
      <c r="H364">
        <v>67</v>
      </c>
      <c r="I364">
        <v>4317</v>
      </c>
      <c r="J364">
        <v>89</v>
      </c>
      <c r="K364">
        <v>12.5</v>
      </c>
      <c r="L364" t="s">
        <v>43</v>
      </c>
      <c r="M364">
        <v>42734.28</v>
      </c>
      <c r="N364">
        <v>7914</v>
      </c>
      <c r="O364" t="s">
        <v>36</v>
      </c>
      <c r="P364" t="str">
        <f t="shared" si="45"/>
        <v>Yes</v>
      </c>
      <c r="Q364">
        <f t="shared" si="46"/>
        <v>64.430000000000007</v>
      </c>
      <c r="R364">
        <f t="shared" si="47"/>
        <v>9.9</v>
      </c>
      <c r="S364">
        <f t="shared" si="48"/>
        <v>5.4</v>
      </c>
      <c r="T364" t="str">
        <f t="shared" si="49"/>
        <v>Delayed</v>
      </c>
      <c r="U364" t="str">
        <f t="shared" si="50"/>
        <v>High</v>
      </c>
      <c r="V364" t="str">
        <f t="shared" si="51"/>
        <v>Low Risk</v>
      </c>
      <c r="W364" t="str">
        <f t="shared" si="52"/>
        <v>Apr</v>
      </c>
      <c r="X364">
        <f t="shared" si="53"/>
        <v>2025</v>
      </c>
    </row>
    <row r="365" spans="1:24" x14ac:dyDescent="0.35">
      <c r="A365" s="3">
        <v>45851</v>
      </c>
      <c r="B365" t="s">
        <v>80</v>
      </c>
      <c r="C365" t="s">
        <v>109</v>
      </c>
      <c r="D365" t="s">
        <v>511</v>
      </c>
      <c r="E365" t="s">
        <v>66</v>
      </c>
      <c r="F365" t="s">
        <v>63</v>
      </c>
      <c r="G365" t="s">
        <v>29</v>
      </c>
      <c r="H365">
        <v>35.4</v>
      </c>
      <c r="I365">
        <v>3250</v>
      </c>
      <c r="J365">
        <v>27</v>
      </c>
      <c r="K365">
        <v>11.6</v>
      </c>
      <c r="L365" t="s">
        <v>43</v>
      </c>
      <c r="M365">
        <v>21334.22</v>
      </c>
      <c r="N365">
        <v>16283</v>
      </c>
      <c r="O365" t="s">
        <v>67</v>
      </c>
      <c r="P365" t="str">
        <f t="shared" si="45"/>
        <v>Yes</v>
      </c>
      <c r="Q365">
        <f t="shared" si="46"/>
        <v>91.81</v>
      </c>
      <c r="R365">
        <f t="shared" si="47"/>
        <v>6.56</v>
      </c>
      <c r="S365">
        <f t="shared" si="48"/>
        <v>1.31</v>
      </c>
      <c r="T365" t="str">
        <f t="shared" si="49"/>
        <v>Delayed</v>
      </c>
      <c r="U365" t="str">
        <f t="shared" si="50"/>
        <v>Low</v>
      </c>
      <c r="V365" t="str">
        <f t="shared" si="51"/>
        <v>Low Risk</v>
      </c>
      <c r="W365" t="str">
        <f t="shared" si="52"/>
        <v>Jul</v>
      </c>
      <c r="X365">
        <f t="shared" si="53"/>
        <v>2025</v>
      </c>
    </row>
    <row r="366" spans="1:24" x14ac:dyDescent="0.35">
      <c r="A366" s="3">
        <v>45965</v>
      </c>
      <c r="B366" t="s">
        <v>33</v>
      </c>
      <c r="C366" t="s">
        <v>25</v>
      </c>
      <c r="D366" t="s">
        <v>512</v>
      </c>
      <c r="E366" t="s">
        <v>48</v>
      </c>
      <c r="F366" t="s">
        <v>41</v>
      </c>
      <c r="G366" t="s">
        <v>29</v>
      </c>
      <c r="H366">
        <v>39.799999999999997</v>
      </c>
      <c r="I366">
        <v>4211</v>
      </c>
      <c r="J366">
        <v>49</v>
      </c>
      <c r="K366">
        <v>11.9</v>
      </c>
      <c r="L366" t="s">
        <v>43</v>
      </c>
      <c r="M366">
        <v>19642.919999999998</v>
      </c>
      <c r="N366">
        <v>28398</v>
      </c>
      <c r="O366" t="s">
        <v>84</v>
      </c>
      <c r="P366" t="str">
        <f t="shared" si="45"/>
        <v>Yes</v>
      </c>
      <c r="Q366">
        <f t="shared" si="46"/>
        <v>105.8</v>
      </c>
      <c r="R366">
        <f t="shared" si="47"/>
        <v>4.66</v>
      </c>
      <c r="S366">
        <f t="shared" si="48"/>
        <v>0.69</v>
      </c>
      <c r="T366" t="str">
        <f t="shared" si="49"/>
        <v>Delayed</v>
      </c>
      <c r="U366" t="str">
        <f t="shared" si="50"/>
        <v>Low</v>
      </c>
      <c r="V366" t="str">
        <f t="shared" si="51"/>
        <v>Low Risk</v>
      </c>
      <c r="W366" t="str">
        <f t="shared" si="52"/>
        <v>Nov</v>
      </c>
      <c r="X366">
        <f t="shared" si="53"/>
        <v>2025</v>
      </c>
    </row>
    <row r="367" spans="1:24" x14ac:dyDescent="0.35">
      <c r="A367" s="3">
        <v>45747</v>
      </c>
      <c r="B367" t="s">
        <v>221</v>
      </c>
      <c r="C367" t="s">
        <v>69</v>
      </c>
      <c r="D367" t="s">
        <v>513</v>
      </c>
      <c r="E367" t="s">
        <v>41</v>
      </c>
      <c r="F367" t="s">
        <v>27</v>
      </c>
      <c r="G367" t="s">
        <v>42</v>
      </c>
      <c r="H367">
        <v>60.4</v>
      </c>
      <c r="I367">
        <v>2037</v>
      </c>
      <c r="J367">
        <v>81</v>
      </c>
      <c r="K367">
        <v>11.9</v>
      </c>
      <c r="L367" t="s">
        <v>30</v>
      </c>
      <c r="M367">
        <v>31055.82</v>
      </c>
      <c r="N367">
        <v>10484</v>
      </c>
      <c r="O367" t="s">
        <v>91</v>
      </c>
      <c r="P367" t="str">
        <f t="shared" si="45"/>
        <v>Yes</v>
      </c>
      <c r="Q367">
        <f t="shared" si="46"/>
        <v>33.729999999999997</v>
      </c>
      <c r="R367">
        <f t="shared" si="47"/>
        <v>15.25</v>
      </c>
      <c r="S367">
        <f t="shared" si="48"/>
        <v>2.96</v>
      </c>
      <c r="T367" t="str">
        <f t="shared" si="49"/>
        <v>Delayed</v>
      </c>
      <c r="U367" t="str">
        <f t="shared" si="50"/>
        <v>High</v>
      </c>
      <c r="V367" t="str">
        <f t="shared" si="51"/>
        <v>Medium Risk</v>
      </c>
      <c r="W367" t="str">
        <f t="shared" si="52"/>
        <v>Mar</v>
      </c>
      <c r="X367">
        <f t="shared" si="53"/>
        <v>2025</v>
      </c>
    </row>
    <row r="368" spans="1:24" x14ac:dyDescent="0.35">
      <c r="A368" s="3">
        <v>45870</v>
      </c>
      <c r="B368" t="s">
        <v>94</v>
      </c>
      <c r="C368" t="s">
        <v>52</v>
      </c>
      <c r="D368" t="s">
        <v>514</v>
      </c>
      <c r="E368" t="s">
        <v>28</v>
      </c>
      <c r="F368" t="s">
        <v>41</v>
      </c>
      <c r="G368" t="s">
        <v>35</v>
      </c>
      <c r="H368">
        <v>30.3</v>
      </c>
      <c r="I368">
        <v>3677</v>
      </c>
      <c r="J368">
        <v>115</v>
      </c>
      <c r="K368">
        <v>22</v>
      </c>
      <c r="L368" t="s">
        <v>30</v>
      </c>
      <c r="M368">
        <v>20737.77</v>
      </c>
      <c r="N368">
        <v>21539</v>
      </c>
      <c r="O368" t="s">
        <v>67</v>
      </c>
      <c r="P368" t="str">
        <f t="shared" si="45"/>
        <v>Yes</v>
      </c>
      <c r="Q368">
        <f t="shared" si="46"/>
        <v>121.35</v>
      </c>
      <c r="R368">
        <f t="shared" si="47"/>
        <v>5.64</v>
      </c>
      <c r="S368">
        <f t="shared" si="48"/>
        <v>0.96</v>
      </c>
      <c r="T368" t="str">
        <f t="shared" si="49"/>
        <v>Delayed</v>
      </c>
      <c r="U368" t="str">
        <f t="shared" si="50"/>
        <v>Low</v>
      </c>
      <c r="V368" t="str">
        <f t="shared" si="51"/>
        <v>Medium Risk</v>
      </c>
      <c r="W368" t="str">
        <f t="shared" si="52"/>
        <v>Aug</v>
      </c>
      <c r="X368">
        <f t="shared" si="53"/>
        <v>2025</v>
      </c>
    </row>
    <row r="369" spans="1:24" x14ac:dyDescent="0.35">
      <c r="A369" s="3">
        <v>45694</v>
      </c>
      <c r="B369" t="s">
        <v>256</v>
      </c>
      <c r="C369" t="s">
        <v>95</v>
      </c>
      <c r="D369" t="s">
        <v>515</v>
      </c>
      <c r="E369" t="s">
        <v>54</v>
      </c>
      <c r="F369" t="s">
        <v>55</v>
      </c>
      <c r="G369" t="s">
        <v>35</v>
      </c>
      <c r="H369">
        <v>32.799999999999997</v>
      </c>
      <c r="I369">
        <v>1225</v>
      </c>
      <c r="J369">
        <v>71</v>
      </c>
      <c r="K369">
        <v>21.8</v>
      </c>
      <c r="L369" t="s">
        <v>43</v>
      </c>
      <c r="M369">
        <v>15451.67</v>
      </c>
      <c r="N369">
        <v>10935</v>
      </c>
      <c r="O369" t="s">
        <v>59</v>
      </c>
      <c r="P369" t="str">
        <f t="shared" si="45"/>
        <v>Yes</v>
      </c>
      <c r="Q369">
        <f t="shared" si="46"/>
        <v>37.35</v>
      </c>
      <c r="R369">
        <f t="shared" si="47"/>
        <v>12.61</v>
      </c>
      <c r="S369">
        <f t="shared" si="48"/>
        <v>1.41</v>
      </c>
      <c r="T369" t="str">
        <f t="shared" si="49"/>
        <v>Delayed</v>
      </c>
      <c r="U369" t="str">
        <f t="shared" si="50"/>
        <v>Low</v>
      </c>
      <c r="V369" t="str">
        <f t="shared" si="51"/>
        <v>Low Risk</v>
      </c>
      <c r="W369" t="str">
        <f t="shared" si="52"/>
        <v>Feb</v>
      </c>
      <c r="X369">
        <f t="shared" si="53"/>
        <v>2025</v>
      </c>
    </row>
    <row r="370" spans="1:24" x14ac:dyDescent="0.35">
      <c r="A370" s="3">
        <v>46014</v>
      </c>
      <c r="B370" t="s">
        <v>233</v>
      </c>
      <c r="C370" t="s">
        <v>69</v>
      </c>
      <c r="D370" t="s">
        <v>516</v>
      </c>
      <c r="E370" t="s">
        <v>55</v>
      </c>
      <c r="F370" t="s">
        <v>54</v>
      </c>
      <c r="G370" t="s">
        <v>71</v>
      </c>
      <c r="H370">
        <v>23.6</v>
      </c>
      <c r="I370">
        <v>4352</v>
      </c>
      <c r="J370">
        <v>92</v>
      </c>
      <c r="K370">
        <v>19.600000000000001</v>
      </c>
      <c r="L370" t="s">
        <v>43</v>
      </c>
      <c r="M370">
        <v>10960.92</v>
      </c>
      <c r="N370">
        <v>26685</v>
      </c>
      <c r="O370" t="s">
        <v>44</v>
      </c>
      <c r="P370" t="str">
        <f t="shared" si="45"/>
        <v>Yes</v>
      </c>
      <c r="Q370">
        <f t="shared" si="46"/>
        <v>184.41</v>
      </c>
      <c r="R370">
        <f t="shared" si="47"/>
        <v>2.52</v>
      </c>
      <c r="S370">
        <f t="shared" si="48"/>
        <v>0.41</v>
      </c>
      <c r="T370" t="str">
        <f t="shared" si="49"/>
        <v>Delayed</v>
      </c>
      <c r="U370" t="str">
        <f t="shared" si="50"/>
        <v>Low</v>
      </c>
      <c r="V370" t="str">
        <f t="shared" si="51"/>
        <v>Low Risk</v>
      </c>
      <c r="W370" t="str">
        <f t="shared" si="52"/>
        <v>Dec</v>
      </c>
      <c r="X370">
        <f t="shared" si="53"/>
        <v>2025</v>
      </c>
    </row>
    <row r="371" spans="1:24" x14ac:dyDescent="0.35">
      <c r="A371" s="3">
        <v>45715</v>
      </c>
      <c r="B371" t="s">
        <v>277</v>
      </c>
      <c r="C371" t="s">
        <v>95</v>
      </c>
      <c r="D371" t="s">
        <v>517</v>
      </c>
      <c r="E371" t="s">
        <v>55</v>
      </c>
      <c r="F371" t="s">
        <v>54</v>
      </c>
      <c r="G371" t="s">
        <v>29</v>
      </c>
      <c r="H371">
        <v>60.4</v>
      </c>
      <c r="I371">
        <v>2188</v>
      </c>
      <c r="J371">
        <v>46</v>
      </c>
      <c r="K371">
        <v>16.8</v>
      </c>
      <c r="L371" t="s">
        <v>30</v>
      </c>
      <c r="M371">
        <v>30437.24</v>
      </c>
      <c r="N371">
        <v>11304</v>
      </c>
      <c r="O371" t="s">
        <v>36</v>
      </c>
      <c r="P371" t="str">
        <f t="shared" si="45"/>
        <v>Yes</v>
      </c>
      <c r="Q371">
        <f t="shared" si="46"/>
        <v>36.229999999999997</v>
      </c>
      <c r="R371">
        <f t="shared" si="47"/>
        <v>13.91</v>
      </c>
      <c r="S371">
        <f t="shared" si="48"/>
        <v>2.69</v>
      </c>
      <c r="T371" t="str">
        <f t="shared" si="49"/>
        <v>Delayed</v>
      </c>
      <c r="U371" t="str">
        <f t="shared" si="50"/>
        <v>High</v>
      </c>
      <c r="V371" t="str">
        <f t="shared" si="51"/>
        <v>Medium Risk</v>
      </c>
      <c r="W371" t="str">
        <f t="shared" si="52"/>
        <v>Feb</v>
      </c>
      <c r="X371">
        <f t="shared" si="53"/>
        <v>2025</v>
      </c>
    </row>
    <row r="372" spans="1:24" x14ac:dyDescent="0.35">
      <c r="A372" s="3">
        <v>46020</v>
      </c>
      <c r="B372" t="s">
        <v>157</v>
      </c>
      <c r="C372" t="s">
        <v>39</v>
      </c>
      <c r="D372" t="s">
        <v>518</v>
      </c>
      <c r="E372" t="s">
        <v>28</v>
      </c>
      <c r="F372" t="s">
        <v>63</v>
      </c>
      <c r="G372" t="s">
        <v>29</v>
      </c>
      <c r="H372">
        <v>53.8</v>
      </c>
      <c r="I372">
        <v>3026</v>
      </c>
      <c r="J372">
        <v>119</v>
      </c>
      <c r="K372">
        <v>13.1</v>
      </c>
      <c r="L372" t="s">
        <v>43</v>
      </c>
      <c r="M372">
        <v>34323.35</v>
      </c>
      <c r="N372">
        <v>13954</v>
      </c>
      <c r="O372" t="s">
        <v>36</v>
      </c>
      <c r="P372" t="str">
        <f t="shared" si="45"/>
        <v>Yes</v>
      </c>
      <c r="Q372">
        <f t="shared" si="46"/>
        <v>56.25</v>
      </c>
      <c r="R372">
        <f t="shared" si="47"/>
        <v>11.34</v>
      </c>
      <c r="S372">
        <f t="shared" si="48"/>
        <v>2.46</v>
      </c>
      <c r="T372" t="str">
        <f t="shared" si="49"/>
        <v>Delayed</v>
      </c>
      <c r="U372" t="str">
        <f t="shared" si="50"/>
        <v>Medium</v>
      </c>
      <c r="V372" t="str">
        <f t="shared" si="51"/>
        <v>Low Risk</v>
      </c>
      <c r="W372" t="str">
        <f t="shared" si="52"/>
        <v>Dec</v>
      </c>
      <c r="X372">
        <f t="shared" si="53"/>
        <v>2025</v>
      </c>
    </row>
    <row r="373" spans="1:24" x14ac:dyDescent="0.35">
      <c r="A373" s="3">
        <v>45877</v>
      </c>
      <c r="B373" t="s">
        <v>118</v>
      </c>
      <c r="C373" t="s">
        <v>69</v>
      </c>
      <c r="D373" t="s">
        <v>519</v>
      </c>
      <c r="E373" t="s">
        <v>41</v>
      </c>
      <c r="F373" t="s">
        <v>28</v>
      </c>
      <c r="G373" t="s">
        <v>35</v>
      </c>
      <c r="H373">
        <v>57.7</v>
      </c>
      <c r="I373">
        <v>4552</v>
      </c>
      <c r="J373">
        <v>118</v>
      </c>
      <c r="K373">
        <v>15.8</v>
      </c>
      <c r="L373" t="s">
        <v>30</v>
      </c>
      <c r="M373">
        <v>29947.61</v>
      </c>
      <c r="N373">
        <v>16519</v>
      </c>
      <c r="O373" t="s">
        <v>59</v>
      </c>
      <c r="P373" t="str">
        <f t="shared" si="45"/>
        <v>Yes</v>
      </c>
      <c r="Q373">
        <f t="shared" si="46"/>
        <v>78.89</v>
      </c>
      <c r="R373">
        <f t="shared" si="47"/>
        <v>6.58</v>
      </c>
      <c r="S373">
        <f t="shared" si="48"/>
        <v>1.81</v>
      </c>
      <c r="T373" t="str">
        <f t="shared" si="49"/>
        <v>Delayed</v>
      </c>
      <c r="U373" t="str">
        <f t="shared" si="50"/>
        <v>Medium</v>
      </c>
      <c r="V373" t="str">
        <f t="shared" si="51"/>
        <v>Medium Risk</v>
      </c>
      <c r="W373" t="str">
        <f t="shared" si="52"/>
        <v>Aug</v>
      </c>
      <c r="X373">
        <f t="shared" si="53"/>
        <v>2025</v>
      </c>
    </row>
    <row r="374" spans="1:24" x14ac:dyDescent="0.35">
      <c r="A374" s="3">
        <v>45732</v>
      </c>
      <c r="B374" t="s">
        <v>463</v>
      </c>
      <c r="C374" t="s">
        <v>130</v>
      </c>
      <c r="D374" t="s">
        <v>520</v>
      </c>
      <c r="E374" t="s">
        <v>27</v>
      </c>
      <c r="F374" t="s">
        <v>66</v>
      </c>
      <c r="G374" t="s">
        <v>42</v>
      </c>
      <c r="H374">
        <v>61.3</v>
      </c>
      <c r="I374">
        <v>535</v>
      </c>
      <c r="J374">
        <v>85</v>
      </c>
      <c r="K374">
        <v>17.399999999999999</v>
      </c>
      <c r="L374" t="s">
        <v>43</v>
      </c>
      <c r="M374">
        <v>42664.17</v>
      </c>
      <c r="N374">
        <v>18042</v>
      </c>
      <c r="O374" t="s">
        <v>31</v>
      </c>
      <c r="P374" t="str">
        <f t="shared" si="45"/>
        <v>Yes</v>
      </c>
      <c r="Q374">
        <f t="shared" si="46"/>
        <v>8.73</v>
      </c>
      <c r="R374">
        <f t="shared" si="47"/>
        <v>79.75</v>
      </c>
      <c r="S374">
        <f t="shared" si="48"/>
        <v>2.36</v>
      </c>
      <c r="T374" t="str">
        <f t="shared" si="49"/>
        <v>Delayed</v>
      </c>
      <c r="U374" t="str">
        <f t="shared" si="50"/>
        <v>High</v>
      </c>
      <c r="V374" t="str">
        <f t="shared" si="51"/>
        <v>Low Risk</v>
      </c>
      <c r="W374" t="str">
        <f t="shared" si="52"/>
        <v>Mar</v>
      </c>
      <c r="X374">
        <f t="shared" si="53"/>
        <v>2025</v>
      </c>
    </row>
    <row r="375" spans="1:24" x14ac:dyDescent="0.35">
      <c r="A375" s="3">
        <v>45942</v>
      </c>
      <c r="B375" t="s">
        <v>152</v>
      </c>
      <c r="C375" t="s">
        <v>39</v>
      </c>
      <c r="D375" t="s">
        <v>521</v>
      </c>
      <c r="E375" t="s">
        <v>28</v>
      </c>
      <c r="F375" t="s">
        <v>54</v>
      </c>
      <c r="G375" t="s">
        <v>35</v>
      </c>
      <c r="H375">
        <v>72</v>
      </c>
      <c r="I375">
        <v>853</v>
      </c>
      <c r="J375">
        <v>57</v>
      </c>
      <c r="K375">
        <v>19.100000000000001</v>
      </c>
      <c r="L375" t="s">
        <v>30</v>
      </c>
      <c r="M375">
        <v>33519.620000000003</v>
      </c>
      <c r="N375">
        <v>28831</v>
      </c>
      <c r="O375" t="s">
        <v>36</v>
      </c>
      <c r="P375" t="str">
        <f t="shared" si="45"/>
        <v>Yes</v>
      </c>
      <c r="Q375">
        <f t="shared" si="46"/>
        <v>11.85</v>
      </c>
      <c r="R375">
        <f t="shared" si="47"/>
        <v>39.299999999999997</v>
      </c>
      <c r="S375">
        <f t="shared" si="48"/>
        <v>1.1599999999999999</v>
      </c>
      <c r="T375" t="str">
        <f t="shared" si="49"/>
        <v>Delayed</v>
      </c>
      <c r="U375" t="str">
        <f t="shared" si="50"/>
        <v>High</v>
      </c>
      <c r="V375" t="str">
        <f t="shared" si="51"/>
        <v>Medium Risk</v>
      </c>
      <c r="W375" t="str">
        <f t="shared" si="52"/>
        <v>Oct</v>
      </c>
      <c r="X375">
        <f t="shared" si="53"/>
        <v>2025</v>
      </c>
    </row>
    <row r="376" spans="1:24" x14ac:dyDescent="0.35">
      <c r="A376" s="3">
        <v>45673</v>
      </c>
      <c r="B376" t="s">
        <v>463</v>
      </c>
      <c r="C376" t="s">
        <v>95</v>
      </c>
      <c r="D376" t="s">
        <v>522</v>
      </c>
      <c r="E376" t="s">
        <v>41</v>
      </c>
      <c r="F376" t="s">
        <v>63</v>
      </c>
      <c r="G376" t="s">
        <v>29</v>
      </c>
      <c r="H376">
        <v>47.8</v>
      </c>
      <c r="I376">
        <v>4956</v>
      </c>
      <c r="J376">
        <v>63</v>
      </c>
      <c r="K376">
        <v>10.5</v>
      </c>
      <c r="L376" t="s">
        <v>43</v>
      </c>
      <c r="M376">
        <v>32057.65</v>
      </c>
      <c r="N376">
        <v>10189</v>
      </c>
      <c r="O376" t="s">
        <v>59</v>
      </c>
      <c r="P376" t="str">
        <f t="shared" si="45"/>
        <v>Yes</v>
      </c>
      <c r="Q376">
        <f t="shared" si="46"/>
        <v>103.68</v>
      </c>
      <c r="R376">
        <f t="shared" si="47"/>
        <v>6.47</v>
      </c>
      <c r="S376">
        <f t="shared" si="48"/>
        <v>3.15</v>
      </c>
      <c r="T376" t="str">
        <f t="shared" si="49"/>
        <v>Delayed</v>
      </c>
      <c r="U376" t="str">
        <f t="shared" si="50"/>
        <v>Medium</v>
      </c>
      <c r="V376" t="str">
        <f t="shared" si="51"/>
        <v>Low Risk</v>
      </c>
      <c r="W376" t="str">
        <f t="shared" si="52"/>
        <v>Jan</v>
      </c>
      <c r="X376">
        <f t="shared" si="53"/>
        <v>2025</v>
      </c>
    </row>
    <row r="377" spans="1:24" x14ac:dyDescent="0.35">
      <c r="A377" s="3">
        <v>45685</v>
      </c>
      <c r="B377" t="s">
        <v>127</v>
      </c>
      <c r="C377" t="s">
        <v>109</v>
      </c>
      <c r="D377" t="s">
        <v>523</v>
      </c>
      <c r="E377" t="s">
        <v>27</v>
      </c>
      <c r="F377" t="s">
        <v>63</v>
      </c>
      <c r="G377" t="s">
        <v>42</v>
      </c>
      <c r="H377">
        <v>46.9</v>
      </c>
      <c r="I377">
        <v>3609</v>
      </c>
      <c r="J377">
        <v>81</v>
      </c>
      <c r="K377">
        <v>21</v>
      </c>
      <c r="L377" t="s">
        <v>43</v>
      </c>
      <c r="M377">
        <v>26298.47</v>
      </c>
      <c r="N377">
        <v>10920</v>
      </c>
      <c r="O377" t="s">
        <v>44</v>
      </c>
      <c r="P377" t="str">
        <f t="shared" si="45"/>
        <v>Yes</v>
      </c>
      <c r="Q377">
        <f t="shared" si="46"/>
        <v>76.95</v>
      </c>
      <c r="R377">
        <f t="shared" si="47"/>
        <v>7.29</v>
      </c>
      <c r="S377">
        <f t="shared" si="48"/>
        <v>2.41</v>
      </c>
      <c r="T377" t="str">
        <f t="shared" si="49"/>
        <v>Delayed</v>
      </c>
      <c r="U377" t="str">
        <f t="shared" si="50"/>
        <v>Medium</v>
      </c>
      <c r="V377" t="str">
        <f t="shared" si="51"/>
        <v>Low Risk</v>
      </c>
      <c r="W377" t="str">
        <f t="shared" si="52"/>
        <v>Jan</v>
      </c>
      <c r="X377">
        <f t="shared" si="53"/>
        <v>2025</v>
      </c>
    </row>
    <row r="378" spans="1:24" x14ac:dyDescent="0.35">
      <c r="A378" s="3">
        <v>45721</v>
      </c>
      <c r="B378" t="s">
        <v>104</v>
      </c>
      <c r="C378" t="s">
        <v>95</v>
      </c>
      <c r="D378" t="s">
        <v>524</v>
      </c>
      <c r="E378" t="s">
        <v>66</v>
      </c>
      <c r="F378" t="s">
        <v>28</v>
      </c>
      <c r="G378" t="s">
        <v>35</v>
      </c>
      <c r="H378">
        <v>36.1</v>
      </c>
      <c r="I378">
        <v>4556</v>
      </c>
      <c r="J378">
        <v>80</v>
      </c>
      <c r="K378">
        <v>13.4</v>
      </c>
      <c r="L378" t="s">
        <v>43</v>
      </c>
      <c r="M378">
        <v>17710.77</v>
      </c>
      <c r="N378">
        <v>6530</v>
      </c>
      <c r="O378" t="s">
        <v>31</v>
      </c>
      <c r="P378" t="str">
        <f t="shared" si="45"/>
        <v>Yes</v>
      </c>
      <c r="Q378">
        <f t="shared" si="46"/>
        <v>126.2</v>
      </c>
      <c r="R378">
        <f t="shared" si="47"/>
        <v>3.89</v>
      </c>
      <c r="S378">
        <f t="shared" si="48"/>
        <v>2.71</v>
      </c>
      <c r="T378" t="str">
        <f t="shared" si="49"/>
        <v>Delayed</v>
      </c>
      <c r="U378" t="str">
        <f t="shared" si="50"/>
        <v>Low</v>
      </c>
      <c r="V378" t="str">
        <f t="shared" si="51"/>
        <v>Low Risk</v>
      </c>
      <c r="W378" t="str">
        <f t="shared" si="52"/>
        <v>Mar</v>
      </c>
      <c r="X378">
        <f t="shared" si="53"/>
        <v>2025</v>
      </c>
    </row>
    <row r="379" spans="1:24" x14ac:dyDescent="0.35">
      <c r="A379" s="3">
        <v>45885</v>
      </c>
      <c r="B379" t="s">
        <v>76</v>
      </c>
      <c r="C379" t="s">
        <v>25</v>
      </c>
      <c r="D379" t="s">
        <v>525</v>
      </c>
      <c r="E379" t="s">
        <v>48</v>
      </c>
      <c r="F379" t="s">
        <v>63</v>
      </c>
      <c r="G379" t="s">
        <v>35</v>
      </c>
      <c r="H379">
        <v>25.6</v>
      </c>
      <c r="I379">
        <v>4136</v>
      </c>
      <c r="J379">
        <v>66</v>
      </c>
      <c r="K379">
        <v>15.8</v>
      </c>
      <c r="L379" t="s">
        <v>43</v>
      </c>
      <c r="M379">
        <v>12008.22</v>
      </c>
      <c r="N379">
        <v>20287</v>
      </c>
      <c r="O379" t="s">
        <v>59</v>
      </c>
      <c r="P379" t="str">
        <f t="shared" si="45"/>
        <v>Yes</v>
      </c>
      <c r="Q379">
        <f t="shared" si="46"/>
        <v>161.56</v>
      </c>
      <c r="R379">
        <f t="shared" si="47"/>
        <v>2.9</v>
      </c>
      <c r="S379">
        <f t="shared" si="48"/>
        <v>0.59</v>
      </c>
      <c r="T379" t="str">
        <f t="shared" si="49"/>
        <v>Delayed</v>
      </c>
      <c r="U379" t="str">
        <f t="shared" si="50"/>
        <v>Low</v>
      </c>
      <c r="V379" t="str">
        <f t="shared" si="51"/>
        <v>Low Risk</v>
      </c>
      <c r="W379" t="str">
        <f t="shared" si="52"/>
        <v>Aug</v>
      </c>
      <c r="X379">
        <f t="shared" si="53"/>
        <v>2025</v>
      </c>
    </row>
    <row r="380" spans="1:24" x14ac:dyDescent="0.35">
      <c r="A380" s="3">
        <v>45980</v>
      </c>
      <c r="B380" t="s">
        <v>463</v>
      </c>
      <c r="C380" t="s">
        <v>25</v>
      </c>
      <c r="D380" t="s">
        <v>526</v>
      </c>
      <c r="E380" t="s">
        <v>48</v>
      </c>
      <c r="F380" t="s">
        <v>54</v>
      </c>
      <c r="G380" t="s">
        <v>29</v>
      </c>
      <c r="H380">
        <v>34.4</v>
      </c>
      <c r="I380">
        <v>3005</v>
      </c>
      <c r="J380">
        <v>87</v>
      </c>
      <c r="K380">
        <v>12.1</v>
      </c>
      <c r="L380" t="s">
        <v>30</v>
      </c>
      <c r="M380">
        <v>18539.12</v>
      </c>
      <c r="N380">
        <v>26956</v>
      </c>
      <c r="O380" t="s">
        <v>59</v>
      </c>
      <c r="P380" t="str">
        <f t="shared" si="45"/>
        <v>Yes</v>
      </c>
      <c r="Q380">
        <f t="shared" si="46"/>
        <v>87.35</v>
      </c>
      <c r="R380">
        <f t="shared" si="47"/>
        <v>6.17</v>
      </c>
      <c r="S380">
        <f t="shared" si="48"/>
        <v>0.69</v>
      </c>
      <c r="T380" t="str">
        <f t="shared" si="49"/>
        <v>Delayed</v>
      </c>
      <c r="U380" t="str">
        <f t="shared" si="50"/>
        <v>Low</v>
      </c>
      <c r="V380" t="str">
        <f t="shared" si="51"/>
        <v>Medium Risk</v>
      </c>
      <c r="W380" t="str">
        <f t="shared" si="52"/>
        <v>Nov</v>
      </c>
      <c r="X380">
        <f t="shared" si="53"/>
        <v>2025</v>
      </c>
    </row>
    <row r="381" spans="1:24" x14ac:dyDescent="0.35">
      <c r="A381" s="3">
        <v>45949</v>
      </c>
      <c r="B381" t="s">
        <v>64</v>
      </c>
      <c r="C381" t="s">
        <v>52</v>
      </c>
      <c r="D381" t="s">
        <v>527</v>
      </c>
      <c r="E381" t="s">
        <v>55</v>
      </c>
      <c r="F381" t="s">
        <v>27</v>
      </c>
      <c r="G381" t="s">
        <v>35</v>
      </c>
      <c r="H381">
        <v>31.8</v>
      </c>
      <c r="I381">
        <v>2156</v>
      </c>
      <c r="J381">
        <v>109</v>
      </c>
      <c r="K381">
        <v>19</v>
      </c>
      <c r="L381" t="s">
        <v>30</v>
      </c>
      <c r="M381">
        <v>19810.259999999998</v>
      </c>
      <c r="N381">
        <v>7282</v>
      </c>
      <c r="O381" t="s">
        <v>31</v>
      </c>
      <c r="P381" t="str">
        <f t="shared" si="45"/>
        <v>Yes</v>
      </c>
      <c r="Q381">
        <f t="shared" si="46"/>
        <v>67.8</v>
      </c>
      <c r="R381">
        <f t="shared" si="47"/>
        <v>9.19</v>
      </c>
      <c r="S381">
        <f t="shared" si="48"/>
        <v>2.72</v>
      </c>
      <c r="T381" t="str">
        <f t="shared" si="49"/>
        <v>Delayed</v>
      </c>
      <c r="U381" t="str">
        <f t="shared" si="50"/>
        <v>Low</v>
      </c>
      <c r="V381" t="str">
        <f t="shared" si="51"/>
        <v>Medium Risk</v>
      </c>
      <c r="W381" t="str">
        <f t="shared" si="52"/>
        <v>Oct</v>
      </c>
      <c r="X381">
        <f t="shared" si="53"/>
        <v>2025</v>
      </c>
    </row>
    <row r="382" spans="1:24" x14ac:dyDescent="0.35">
      <c r="A382" s="3">
        <v>45861</v>
      </c>
      <c r="B382" t="s">
        <v>157</v>
      </c>
      <c r="C382" t="s">
        <v>25</v>
      </c>
      <c r="D382" t="s">
        <v>528</v>
      </c>
      <c r="E382" t="s">
        <v>66</v>
      </c>
      <c r="F382" t="s">
        <v>28</v>
      </c>
      <c r="G382" t="s">
        <v>35</v>
      </c>
      <c r="H382">
        <v>75.5</v>
      </c>
      <c r="I382">
        <v>3849</v>
      </c>
      <c r="J382">
        <v>37</v>
      </c>
      <c r="K382">
        <v>15.3</v>
      </c>
      <c r="L382" t="s">
        <v>49</v>
      </c>
      <c r="M382">
        <v>47820.35</v>
      </c>
      <c r="N382">
        <v>5249</v>
      </c>
      <c r="O382" t="s">
        <v>84</v>
      </c>
      <c r="P382" t="str">
        <f t="shared" si="45"/>
        <v>Yes</v>
      </c>
      <c r="Q382">
        <f t="shared" si="46"/>
        <v>50.98</v>
      </c>
      <c r="R382">
        <f t="shared" si="47"/>
        <v>12.42</v>
      </c>
      <c r="S382">
        <f t="shared" si="48"/>
        <v>9.11</v>
      </c>
      <c r="T382" t="str">
        <f t="shared" si="49"/>
        <v>Delayed</v>
      </c>
      <c r="U382" t="str">
        <f t="shared" si="50"/>
        <v>High</v>
      </c>
      <c r="V382" t="str">
        <f t="shared" si="51"/>
        <v>High Risk</v>
      </c>
      <c r="W382" t="str">
        <f t="shared" si="52"/>
        <v>Jul</v>
      </c>
      <c r="X382">
        <f t="shared" si="53"/>
        <v>2025</v>
      </c>
    </row>
    <row r="383" spans="1:24" x14ac:dyDescent="0.35">
      <c r="A383" s="3">
        <v>45780</v>
      </c>
      <c r="B383" t="s">
        <v>349</v>
      </c>
      <c r="C383" t="s">
        <v>69</v>
      </c>
      <c r="D383" t="s">
        <v>529</v>
      </c>
      <c r="E383" t="s">
        <v>55</v>
      </c>
      <c r="F383" t="s">
        <v>27</v>
      </c>
      <c r="G383" t="s">
        <v>35</v>
      </c>
      <c r="H383">
        <v>67.5</v>
      </c>
      <c r="I383">
        <v>3524</v>
      </c>
      <c r="J383">
        <v>103</v>
      </c>
      <c r="K383">
        <v>12.3</v>
      </c>
      <c r="L383" t="s">
        <v>49</v>
      </c>
      <c r="M383">
        <v>35016.089999999997</v>
      </c>
      <c r="N383">
        <v>14790</v>
      </c>
      <c r="O383" t="s">
        <v>36</v>
      </c>
      <c r="P383" t="str">
        <f t="shared" si="45"/>
        <v>Yes</v>
      </c>
      <c r="Q383">
        <f t="shared" si="46"/>
        <v>52.21</v>
      </c>
      <c r="R383">
        <f t="shared" si="47"/>
        <v>9.94</v>
      </c>
      <c r="S383">
        <f t="shared" si="48"/>
        <v>2.37</v>
      </c>
      <c r="T383" t="str">
        <f t="shared" si="49"/>
        <v>Delayed</v>
      </c>
      <c r="U383" t="str">
        <f t="shared" si="50"/>
        <v>High</v>
      </c>
      <c r="V383" t="str">
        <f t="shared" si="51"/>
        <v>High Risk</v>
      </c>
      <c r="W383" t="str">
        <f t="shared" si="52"/>
        <v>May</v>
      </c>
      <c r="X383">
        <f t="shared" si="53"/>
        <v>2025</v>
      </c>
    </row>
    <row r="384" spans="1:24" x14ac:dyDescent="0.35">
      <c r="A384" s="3">
        <v>45880</v>
      </c>
      <c r="B384" t="s">
        <v>207</v>
      </c>
      <c r="C384" t="s">
        <v>39</v>
      </c>
      <c r="D384" t="s">
        <v>530</v>
      </c>
      <c r="E384" t="s">
        <v>48</v>
      </c>
      <c r="F384" t="s">
        <v>54</v>
      </c>
      <c r="G384" t="s">
        <v>35</v>
      </c>
      <c r="H384">
        <v>34.200000000000003</v>
      </c>
      <c r="I384">
        <v>3400</v>
      </c>
      <c r="J384">
        <v>112</v>
      </c>
      <c r="K384">
        <v>14.9</v>
      </c>
      <c r="L384" t="s">
        <v>43</v>
      </c>
      <c r="M384">
        <v>21695.21</v>
      </c>
      <c r="N384">
        <v>26364</v>
      </c>
      <c r="O384" t="s">
        <v>59</v>
      </c>
      <c r="P384" t="str">
        <f t="shared" si="45"/>
        <v>Yes</v>
      </c>
      <c r="Q384">
        <f t="shared" si="46"/>
        <v>99.42</v>
      </c>
      <c r="R384">
        <f t="shared" si="47"/>
        <v>6.38</v>
      </c>
      <c r="S384">
        <f t="shared" si="48"/>
        <v>0.82</v>
      </c>
      <c r="T384" t="str">
        <f t="shared" si="49"/>
        <v>Delayed</v>
      </c>
      <c r="U384" t="str">
        <f t="shared" si="50"/>
        <v>Low</v>
      </c>
      <c r="V384" t="str">
        <f t="shared" si="51"/>
        <v>Low Risk</v>
      </c>
      <c r="W384" t="str">
        <f t="shared" si="52"/>
        <v>Aug</v>
      </c>
      <c r="X384">
        <f t="shared" si="53"/>
        <v>2025</v>
      </c>
    </row>
    <row r="385" spans="1:24" x14ac:dyDescent="0.35">
      <c r="A385" s="3">
        <v>45893</v>
      </c>
      <c r="B385" t="s">
        <v>142</v>
      </c>
      <c r="C385" t="s">
        <v>25</v>
      </c>
      <c r="D385" t="s">
        <v>531</v>
      </c>
      <c r="E385" t="s">
        <v>27</v>
      </c>
      <c r="F385" t="s">
        <v>28</v>
      </c>
      <c r="G385" t="s">
        <v>42</v>
      </c>
      <c r="H385">
        <v>60.3</v>
      </c>
      <c r="I385">
        <v>4316</v>
      </c>
      <c r="J385">
        <v>40</v>
      </c>
      <c r="K385">
        <v>20.100000000000001</v>
      </c>
      <c r="L385" t="s">
        <v>78</v>
      </c>
      <c r="M385">
        <v>31067.45</v>
      </c>
      <c r="N385">
        <v>14578</v>
      </c>
      <c r="O385" t="s">
        <v>44</v>
      </c>
      <c r="P385" t="str">
        <f t="shared" si="45"/>
        <v>No</v>
      </c>
      <c r="Q385">
        <f t="shared" si="46"/>
        <v>71.58</v>
      </c>
      <c r="R385">
        <f t="shared" si="47"/>
        <v>7.2</v>
      </c>
      <c r="S385">
        <f t="shared" si="48"/>
        <v>2.13</v>
      </c>
      <c r="T385" t="str">
        <f t="shared" si="49"/>
        <v>On Time</v>
      </c>
      <c r="U385" t="str">
        <f t="shared" si="50"/>
        <v>High</v>
      </c>
      <c r="V385" t="str">
        <f t="shared" si="51"/>
        <v>Low Risk</v>
      </c>
      <c r="W385" t="str">
        <f t="shared" si="52"/>
        <v>Aug</v>
      </c>
      <c r="X385">
        <f t="shared" si="53"/>
        <v>2025</v>
      </c>
    </row>
    <row r="386" spans="1:24" x14ac:dyDescent="0.35">
      <c r="A386" s="3">
        <v>45709</v>
      </c>
      <c r="B386" t="s">
        <v>210</v>
      </c>
      <c r="C386" t="s">
        <v>57</v>
      </c>
      <c r="D386" t="s">
        <v>532</v>
      </c>
      <c r="E386" t="s">
        <v>63</v>
      </c>
      <c r="F386" t="s">
        <v>41</v>
      </c>
      <c r="G386" t="s">
        <v>71</v>
      </c>
      <c r="H386">
        <v>30.9</v>
      </c>
      <c r="I386">
        <v>750</v>
      </c>
      <c r="J386">
        <v>64</v>
      </c>
      <c r="K386">
        <v>14.8</v>
      </c>
      <c r="L386" t="s">
        <v>43</v>
      </c>
      <c r="M386">
        <v>18890.32</v>
      </c>
      <c r="N386">
        <v>21827</v>
      </c>
      <c r="O386" t="s">
        <v>44</v>
      </c>
      <c r="P386" t="str">
        <f t="shared" ref="P386:P449" si="54">IF(OR(L386="Rain",L386="Fog",L386="Storm"),"Yes","No")</f>
        <v>Yes</v>
      </c>
      <c r="Q386">
        <f t="shared" ref="Q386:Q449" si="55">ROUND(I386/H386,2)</f>
        <v>24.27</v>
      </c>
      <c r="R386">
        <f t="shared" ref="R386:R449" si="56">ROUND(M386/I386,2)</f>
        <v>25.19</v>
      </c>
      <c r="S386">
        <f t="shared" ref="S386:S449" si="57">ROUND(M386/N386,2)</f>
        <v>0.87</v>
      </c>
      <c r="T386" t="str">
        <f t="shared" ref="T386:T449" si="58">IF(P386="Yes","Delayed","On Time")</f>
        <v>Delayed</v>
      </c>
      <c r="U386" t="str">
        <f t="shared" ref="U386:U449" si="59">IF(H386&gt;=60,"High",IF(H386&gt;=40,"Medium","Low"))</f>
        <v>Low</v>
      </c>
      <c r="V386" t="str">
        <f t="shared" ref="V386:V449" si="60">IF(L386="Storm","High Risk",IF(L386="Rain","Medium Risk","Low Risk"))</f>
        <v>Low Risk</v>
      </c>
      <c r="W386" t="str">
        <f t="shared" ref="W386:W449" si="61">TEXT(A386,"mmm")</f>
        <v>Feb</v>
      </c>
      <c r="X386">
        <f t="shared" si="53"/>
        <v>2025</v>
      </c>
    </row>
    <row r="387" spans="1:24" x14ac:dyDescent="0.35">
      <c r="A387" s="3">
        <v>45707</v>
      </c>
      <c r="B387" t="s">
        <v>89</v>
      </c>
      <c r="C387" t="s">
        <v>25</v>
      </c>
      <c r="D387" t="s">
        <v>533</v>
      </c>
      <c r="E387" t="s">
        <v>54</v>
      </c>
      <c r="F387" t="s">
        <v>48</v>
      </c>
      <c r="G387" t="s">
        <v>71</v>
      </c>
      <c r="H387">
        <v>60.5</v>
      </c>
      <c r="I387">
        <v>4090</v>
      </c>
      <c r="J387">
        <v>50</v>
      </c>
      <c r="K387">
        <v>18.600000000000001</v>
      </c>
      <c r="L387" t="s">
        <v>49</v>
      </c>
      <c r="M387">
        <v>36481.050000000003</v>
      </c>
      <c r="N387">
        <v>27356</v>
      </c>
      <c r="O387" t="s">
        <v>91</v>
      </c>
      <c r="P387" t="str">
        <f t="shared" si="54"/>
        <v>Yes</v>
      </c>
      <c r="Q387">
        <f t="shared" si="55"/>
        <v>67.599999999999994</v>
      </c>
      <c r="R387">
        <f t="shared" si="56"/>
        <v>8.92</v>
      </c>
      <c r="S387">
        <f t="shared" si="57"/>
        <v>1.33</v>
      </c>
      <c r="T387" t="str">
        <f t="shared" si="58"/>
        <v>Delayed</v>
      </c>
      <c r="U387" t="str">
        <f t="shared" si="59"/>
        <v>High</v>
      </c>
      <c r="V387" t="str">
        <f t="shared" si="60"/>
        <v>High Risk</v>
      </c>
      <c r="W387" t="str">
        <f t="shared" si="61"/>
        <v>Feb</v>
      </c>
      <c r="X387">
        <f t="shared" ref="X387:X450" si="62">YEAR(A387)</f>
        <v>2025</v>
      </c>
    </row>
    <row r="388" spans="1:24" x14ac:dyDescent="0.35">
      <c r="A388" s="3">
        <v>45724</v>
      </c>
      <c r="B388" t="s">
        <v>46</v>
      </c>
      <c r="C388" t="s">
        <v>25</v>
      </c>
      <c r="D388" t="s">
        <v>534</v>
      </c>
      <c r="E388" t="s">
        <v>41</v>
      </c>
      <c r="F388" t="s">
        <v>48</v>
      </c>
      <c r="G388" t="s">
        <v>71</v>
      </c>
      <c r="H388">
        <v>78.2</v>
      </c>
      <c r="I388">
        <v>4326</v>
      </c>
      <c r="J388">
        <v>21</v>
      </c>
      <c r="K388">
        <v>12</v>
      </c>
      <c r="L388" t="s">
        <v>49</v>
      </c>
      <c r="M388">
        <v>53499.08</v>
      </c>
      <c r="N388">
        <v>27150</v>
      </c>
      <c r="O388" t="s">
        <v>50</v>
      </c>
      <c r="P388" t="str">
        <f t="shared" si="54"/>
        <v>Yes</v>
      </c>
      <c r="Q388">
        <f t="shared" si="55"/>
        <v>55.32</v>
      </c>
      <c r="R388">
        <f t="shared" si="56"/>
        <v>12.37</v>
      </c>
      <c r="S388">
        <f t="shared" si="57"/>
        <v>1.97</v>
      </c>
      <c r="T388" t="str">
        <f t="shared" si="58"/>
        <v>Delayed</v>
      </c>
      <c r="U388" t="str">
        <f t="shared" si="59"/>
        <v>High</v>
      </c>
      <c r="V388" t="str">
        <f t="shared" si="60"/>
        <v>High Risk</v>
      </c>
      <c r="W388" t="str">
        <f t="shared" si="61"/>
        <v>Mar</v>
      </c>
      <c r="X388">
        <f t="shared" si="62"/>
        <v>2025</v>
      </c>
    </row>
    <row r="389" spans="1:24" x14ac:dyDescent="0.35">
      <c r="A389" s="3">
        <v>45929</v>
      </c>
      <c r="B389" t="s">
        <v>250</v>
      </c>
      <c r="C389" t="s">
        <v>95</v>
      </c>
      <c r="D389" t="s">
        <v>535</v>
      </c>
      <c r="E389" t="s">
        <v>28</v>
      </c>
      <c r="F389" t="s">
        <v>27</v>
      </c>
      <c r="G389" t="s">
        <v>29</v>
      </c>
      <c r="H389">
        <v>61.6</v>
      </c>
      <c r="I389">
        <v>1282</v>
      </c>
      <c r="J389">
        <v>28</v>
      </c>
      <c r="K389">
        <v>17.399999999999999</v>
      </c>
      <c r="L389" t="s">
        <v>49</v>
      </c>
      <c r="M389">
        <v>34723.86</v>
      </c>
      <c r="N389">
        <v>7581</v>
      </c>
      <c r="O389" t="s">
        <v>36</v>
      </c>
      <c r="P389" t="str">
        <f t="shared" si="54"/>
        <v>Yes</v>
      </c>
      <c r="Q389">
        <f t="shared" si="55"/>
        <v>20.81</v>
      </c>
      <c r="R389">
        <f t="shared" si="56"/>
        <v>27.09</v>
      </c>
      <c r="S389">
        <f t="shared" si="57"/>
        <v>4.58</v>
      </c>
      <c r="T389" t="str">
        <f t="shared" si="58"/>
        <v>Delayed</v>
      </c>
      <c r="U389" t="str">
        <f t="shared" si="59"/>
        <v>High</v>
      </c>
      <c r="V389" t="str">
        <f t="shared" si="60"/>
        <v>High Risk</v>
      </c>
      <c r="W389" t="str">
        <f t="shared" si="61"/>
        <v>Sep</v>
      </c>
      <c r="X389">
        <f t="shared" si="62"/>
        <v>2025</v>
      </c>
    </row>
    <row r="390" spans="1:24" x14ac:dyDescent="0.35">
      <c r="A390" s="3">
        <v>45833</v>
      </c>
      <c r="B390" t="s">
        <v>98</v>
      </c>
      <c r="C390" t="s">
        <v>25</v>
      </c>
      <c r="D390" t="s">
        <v>536</v>
      </c>
      <c r="E390" t="s">
        <v>55</v>
      </c>
      <c r="F390" t="s">
        <v>63</v>
      </c>
      <c r="G390" t="s">
        <v>29</v>
      </c>
      <c r="H390">
        <v>59.4</v>
      </c>
      <c r="I390">
        <v>4429</v>
      </c>
      <c r="J390">
        <v>70</v>
      </c>
      <c r="K390">
        <v>20.7</v>
      </c>
      <c r="L390" t="s">
        <v>49</v>
      </c>
      <c r="M390">
        <v>38658.720000000001</v>
      </c>
      <c r="N390">
        <v>15495</v>
      </c>
      <c r="O390" t="s">
        <v>31</v>
      </c>
      <c r="P390" t="str">
        <f t="shared" si="54"/>
        <v>Yes</v>
      </c>
      <c r="Q390">
        <f t="shared" si="55"/>
        <v>74.56</v>
      </c>
      <c r="R390">
        <f t="shared" si="56"/>
        <v>8.73</v>
      </c>
      <c r="S390">
        <f t="shared" si="57"/>
        <v>2.4900000000000002</v>
      </c>
      <c r="T390" t="str">
        <f t="shared" si="58"/>
        <v>Delayed</v>
      </c>
      <c r="U390" t="str">
        <f t="shared" si="59"/>
        <v>Medium</v>
      </c>
      <c r="V390" t="str">
        <f t="shared" si="60"/>
        <v>High Risk</v>
      </c>
      <c r="W390" t="str">
        <f t="shared" si="61"/>
        <v>Jun</v>
      </c>
      <c r="X390">
        <f t="shared" si="62"/>
        <v>2025</v>
      </c>
    </row>
    <row r="391" spans="1:24" x14ac:dyDescent="0.35">
      <c r="A391" s="3">
        <v>45781</v>
      </c>
      <c r="B391" t="s">
        <v>46</v>
      </c>
      <c r="C391" t="s">
        <v>109</v>
      </c>
      <c r="D391" t="s">
        <v>537</v>
      </c>
      <c r="E391" t="s">
        <v>66</v>
      </c>
      <c r="F391" t="s">
        <v>48</v>
      </c>
      <c r="G391" t="s">
        <v>29</v>
      </c>
      <c r="H391">
        <v>29.5</v>
      </c>
      <c r="I391">
        <v>3056</v>
      </c>
      <c r="J391">
        <v>100</v>
      </c>
      <c r="K391">
        <v>11.2</v>
      </c>
      <c r="L391" t="s">
        <v>78</v>
      </c>
      <c r="M391">
        <v>16706.759999999998</v>
      </c>
      <c r="N391">
        <v>25415</v>
      </c>
      <c r="O391" t="s">
        <v>50</v>
      </c>
      <c r="P391" t="str">
        <f t="shared" si="54"/>
        <v>No</v>
      </c>
      <c r="Q391">
        <f t="shared" si="55"/>
        <v>103.59</v>
      </c>
      <c r="R391">
        <f t="shared" si="56"/>
        <v>5.47</v>
      </c>
      <c r="S391">
        <f t="shared" si="57"/>
        <v>0.66</v>
      </c>
      <c r="T391" t="str">
        <f t="shared" si="58"/>
        <v>On Time</v>
      </c>
      <c r="U391" t="str">
        <f t="shared" si="59"/>
        <v>Low</v>
      </c>
      <c r="V391" t="str">
        <f t="shared" si="60"/>
        <v>Low Risk</v>
      </c>
      <c r="W391" t="str">
        <f t="shared" si="61"/>
        <v>May</v>
      </c>
      <c r="X391">
        <f t="shared" si="62"/>
        <v>2025</v>
      </c>
    </row>
    <row r="392" spans="1:24" x14ac:dyDescent="0.35">
      <c r="A392" s="3">
        <v>45940</v>
      </c>
      <c r="B392" t="s">
        <v>417</v>
      </c>
      <c r="C392" t="s">
        <v>69</v>
      </c>
      <c r="D392" t="s">
        <v>538</v>
      </c>
      <c r="E392" t="s">
        <v>28</v>
      </c>
      <c r="F392" t="s">
        <v>55</v>
      </c>
      <c r="G392" t="s">
        <v>71</v>
      </c>
      <c r="H392">
        <v>42</v>
      </c>
      <c r="I392">
        <v>4324</v>
      </c>
      <c r="J392">
        <v>60</v>
      </c>
      <c r="K392">
        <v>15.1</v>
      </c>
      <c r="L392" t="s">
        <v>43</v>
      </c>
      <c r="M392">
        <v>27675.15</v>
      </c>
      <c r="N392">
        <v>8879</v>
      </c>
      <c r="O392" t="s">
        <v>36</v>
      </c>
      <c r="P392" t="str">
        <f t="shared" si="54"/>
        <v>Yes</v>
      </c>
      <c r="Q392">
        <f t="shared" si="55"/>
        <v>102.95</v>
      </c>
      <c r="R392">
        <f t="shared" si="56"/>
        <v>6.4</v>
      </c>
      <c r="S392">
        <f t="shared" si="57"/>
        <v>3.12</v>
      </c>
      <c r="T392" t="str">
        <f t="shared" si="58"/>
        <v>Delayed</v>
      </c>
      <c r="U392" t="str">
        <f t="shared" si="59"/>
        <v>Medium</v>
      </c>
      <c r="V392" t="str">
        <f t="shared" si="60"/>
        <v>Low Risk</v>
      </c>
      <c r="W392" t="str">
        <f t="shared" si="61"/>
        <v>Oct</v>
      </c>
      <c r="X392">
        <f t="shared" si="62"/>
        <v>2025</v>
      </c>
    </row>
    <row r="393" spans="1:24" x14ac:dyDescent="0.35">
      <c r="A393" s="3">
        <v>45738</v>
      </c>
      <c r="B393" t="s">
        <v>309</v>
      </c>
      <c r="C393" t="s">
        <v>39</v>
      </c>
      <c r="D393" t="s">
        <v>539</v>
      </c>
      <c r="E393" t="s">
        <v>27</v>
      </c>
      <c r="F393" t="s">
        <v>54</v>
      </c>
      <c r="G393" t="s">
        <v>35</v>
      </c>
      <c r="H393">
        <v>53.5</v>
      </c>
      <c r="I393">
        <v>1981</v>
      </c>
      <c r="J393">
        <v>90</v>
      </c>
      <c r="K393">
        <v>20.100000000000001</v>
      </c>
      <c r="L393" t="s">
        <v>78</v>
      </c>
      <c r="M393">
        <v>26972.240000000002</v>
      </c>
      <c r="N393">
        <v>22190</v>
      </c>
      <c r="O393" t="s">
        <v>31</v>
      </c>
      <c r="P393" t="str">
        <f t="shared" si="54"/>
        <v>No</v>
      </c>
      <c r="Q393">
        <f t="shared" si="55"/>
        <v>37.03</v>
      </c>
      <c r="R393">
        <f t="shared" si="56"/>
        <v>13.62</v>
      </c>
      <c r="S393">
        <f t="shared" si="57"/>
        <v>1.22</v>
      </c>
      <c r="T393" t="str">
        <f t="shared" si="58"/>
        <v>On Time</v>
      </c>
      <c r="U393" t="str">
        <f t="shared" si="59"/>
        <v>Medium</v>
      </c>
      <c r="V393" t="str">
        <f t="shared" si="60"/>
        <v>Low Risk</v>
      </c>
      <c r="W393" t="str">
        <f t="shared" si="61"/>
        <v>Mar</v>
      </c>
      <c r="X393">
        <f t="shared" si="62"/>
        <v>2025</v>
      </c>
    </row>
    <row r="394" spans="1:24" x14ac:dyDescent="0.35">
      <c r="A394" s="3">
        <v>45912</v>
      </c>
      <c r="B394" t="s">
        <v>417</v>
      </c>
      <c r="C394" t="s">
        <v>109</v>
      </c>
      <c r="D394" t="s">
        <v>540</v>
      </c>
      <c r="E394" t="s">
        <v>66</v>
      </c>
      <c r="F394" t="s">
        <v>54</v>
      </c>
      <c r="G394" t="s">
        <v>71</v>
      </c>
      <c r="H394">
        <v>72.400000000000006</v>
      </c>
      <c r="I394">
        <v>2242</v>
      </c>
      <c r="J394">
        <v>115</v>
      </c>
      <c r="K394">
        <v>17</v>
      </c>
      <c r="L394" t="s">
        <v>49</v>
      </c>
      <c r="M394">
        <v>48712.34</v>
      </c>
      <c r="N394">
        <v>25007</v>
      </c>
      <c r="O394" t="s">
        <v>44</v>
      </c>
      <c r="P394" t="str">
        <f t="shared" si="54"/>
        <v>Yes</v>
      </c>
      <c r="Q394">
        <f t="shared" si="55"/>
        <v>30.97</v>
      </c>
      <c r="R394">
        <f t="shared" si="56"/>
        <v>21.73</v>
      </c>
      <c r="S394">
        <f t="shared" si="57"/>
        <v>1.95</v>
      </c>
      <c r="T394" t="str">
        <f t="shared" si="58"/>
        <v>Delayed</v>
      </c>
      <c r="U394" t="str">
        <f t="shared" si="59"/>
        <v>High</v>
      </c>
      <c r="V394" t="str">
        <f t="shared" si="60"/>
        <v>High Risk</v>
      </c>
      <c r="W394" t="str">
        <f t="shared" si="61"/>
        <v>Sep</v>
      </c>
      <c r="X394">
        <f t="shared" si="62"/>
        <v>2025</v>
      </c>
    </row>
    <row r="395" spans="1:24" x14ac:dyDescent="0.35">
      <c r="A395" s="3">
        <v>45671</v>
      </c>
      <c r="B395" t="s">
        <v>199</v>
      </c>
      <c r="C395" t="s">
        <v>57</v>
      </c>
      <c r="D395" t="s">
        <v>541</v>
      </c>
      <c r="E395" t="s">
        <v>28</v>
      </c>
      <c r="F395" t="s">
        <v>41</v>
      </c>
      <c r="G395" t="s">
        <v>35</v>
      </c>
      <c r="H395">
        <v>56.5</v>
      </c>
      <c r="I395">
        <v>1112</v>
      </c>
      <c r="J395">
        <v>32</v>
      </c>
      <c r="K395">
        <v>14.4</v>
      </c>
      <c r="L395" t="s">
        <v>43</v>
      </c>
      <c r="M395">
        <v>29845.65</v>
      </c>
      <c r="N395">
        <v>10768</v>
      </c>
      <c r="O395" t="s">
        <v>31</v>
      </c>
      <c r="P395" t="str">
        <f t="shared" si="54"/>
        <v>Yes</v>
      </c>
      <c r="Q395">
        <f t="shared" si="55"/>
        <v>19.68</v>
      </c>
      <c r="R395">
        <f t="shared" si="56"/>
        <v>26.84</v>
      </c>
      <c r="S395">
        <f t="shared" si="57"/>
        <v>2.77</v>
      </c>
      <c r="T395" t="str">
        <f t="shared" si="58"/>
        <v>Delayed</v>
      </c>
      <c r="U395" t="str">
        <f t="shared" si="59"/>
        <v>Medium</v>
      </c>
      <c r="V395" t="str">
        <f t="shared" si="60"/>
        <v>Low Risk</v>
      </c>
      <c r="W395" t="str">
        <f t="shared" si="61"/>
        <v>Jan</v>
      </c>
      <c r="X395">
        <f t="shared" si="62"/>
        <v>2025</v>
      </c>
    </row>
    <row r="396" spans="1:24" x14ac:dyDescent="0.35">
      <c r="A396" s="3">
        <v>45667</v>
      </c>
      <c r="B396" t="s">
        <v>275</v>
      </c>
      <c r="C396" t="s">
        <v>25</v>
      </c>
      <c r="D396" t="s">
        <v>542</v>
      </c>
      <c r="E396" t="s">
        <v>55</v>
      </c>
      <c r="F396" t="s">
        <v>27</v>
      </c>
      <c r="G396" t="s">
        <v>35</v>
      </c>
      <c r="H396">
        <v>20.3</v>
      </c>
      <c r="I396">
        <v>4723</v>
      </c>
      <c r="J396">
        <v>48</v>
      </c>
      <c r="K396">
        <v>11.4</v>
      </c>
      <c r="L396" t="s">
        <v>49</v>
      </c>
      <c r="M396">
        <v>10182.450000000001</v>
      </c>
      <c r="N396">
        <v>9172</v>
      </c>
      <c r="O396" t="s">
        <v>50</v>
      </c>
      <c r="P396" t="str">
        <f t="shared" si="54"/>
        <v>Yes</v>
      </c>
      <c r="Q396">
        <f t="shared" si="55"/>
        <v>232.66</v>
      </c>
      <c r="R396">
        <f t="shared" si="56"/>
        <v>2.16</v>
      </c>
      <c r="S396">
        <f t="shared" si="57"/>
        <v>1.1100000000000001</v>
      </c>
      <c r="T396" t="str">
        <f t="shared" si="58"/>
        <v>Delayed</v>
      </c>
      <c r="U396" t="str">
        <f t="shared" si="59"/>
        <v>Low</v>
      </c>
      <c r="V396" t="str">
        <f t="shared" si="60"/>
        <v>High Risk</v>
      </c>
      <c r="W396" t="str">
        <f t="shared" si="61"/>
        <v>Jan</v>
      </c>
      <c r="X396">
        <f t="shared" si="62"/>
        <v>2025</v>
      </c>
    </row>
    <row r="397" spans="1:24" x14ac:dyDescent="0.35">
      <c r="A397" s="3">
        <v>45691</v>
      </c>
      <c r="B397" t="s">
        <v>199</v>
      </c>
      <c r="C397" t="s">
        <v>52</v>
      </c>
      <c r="D397" t="s">
        <v>543</v>
      </c>
      <c r="E397" t="s">
        <v>54</v>
      </c>
      <c r="F397" t="s">
        <v>27</v>
      </c>
      <c r="G397" t="s">
        <v>35</v>
      </c>
      <c r="H397">
        <v>22.1</v>
      </c>
      <c r="I397">
        <v>2449</v>
      </c>
      <c r="J397">
        <v>50</v>
      </c>
      <c r="K397">
        <v>12.1</v>
      </c>
      <c r="L397" t="s">
        <v>78</v>
      </c>
      <c r="M397">
        <v>12287.02</v>
      </c>
      <c r="N397">
        <v>16333</v>
      </c>
      <c r="O397" t="s">
        <v>91</v>
      </c>
      <c r="P397" t="str">
        <f t="shared" si="54"/>
        <v>No</v>
      </c>
      <c r="Q397">
        <f t="shared" si="55"/>
        <v>110.81</v>
      </c>
      <c r="R397">
        <f t="shared" si="56"/>
        <v>5.0199999999999996</v>
      </c>
      <c r="S397">
        <f t="shared" si="57"/>
        <v>0.75</v>
      </c>
      <c r="T397" t="str">
        <f t="shared" si="58"/>
        <v>On Time</v>
      </c>
      <c r="U397" t="str">
        <f t="shared" si="59"/>
        <v>Low</v>
      </c>
      <c r="V397" t="str">
        <f t="shared" si="60"/>
        <v>Low Risk</v>
      </c>
      <c r="W397" t="str">
        <f t="shared" si="61"/>
        <v>Feb</v>
      </c>
      <c r="X397">
        <f t="shared" si="62"/>
        <v>2025</v>
      </c>
    </row>
    <row r="398" spans="1:24" x14ac:dyDescent="0.35">
      <c r="A398" s="3">
        <v>45874</v>
      </c>
      <c r="B398" t="s">
        <v>349</v>
      </c>
      <c r="C398" t="s">
        <v>69</v>
      </c>
      <c r="D398" t="s">
        <v>544</v>
      </c>
      <c r="E398" t="s">
        <v>66</v>
      </c>
      <c r="F398" t="s">
        <v>54</v>
      </c>
      <c r="G398" t="s">
        <v>35</v>
      </c>
      <c r="H398">
        <v>42.6</v>
      </c>
      <c r="I398">
        <v>4782</v>
      </c>
      <c r="J398">
        <v>34</v>
      </c>
      <c r="K398">
        <v>17</v>
      </c>
      <c r="L398" t="s">
        <v>78</v>
      </c>
      <c r="M398">
        <v>29373.03</v>
      </c>
      <c r="N398">
        <v>18601</v>
      </c>
      <c r="O398" t="s">
        <v>59</v>
      </c>
      <c r="P398" t="str">
        <f t="shared" si="54"/>
        <v>No</v>
      </c>
      <c r="Q398">
        <f t="shared" si="55"/>
        <v>112.25</v>
      </c>
      <c r="R398">
        <f t="shared" si="56"/>
        <v>6.14</v>
      </c>
      <c r="S398">
        <f t="shared" si="57"/>
        <v>1.58</v>
      </c>
      <c r="T398" t="str">
        <f t="shared" si="58"/>
        <v>On Time</v>
      </c>
      <c r="U398" t="str">
        <f t="shared" si="59"/>
        <v>Medium</v>
      </c>
      <c r="V398" t="str">
        <f t="shared" si="60"/>
        <v>Low Risk</v>
      </c>
      <c r="W398" t="str">
        <f t="shared" si="61"/>
        <v>Aug</v>
      </c>
      <c r="X398">
        <f t="shared" si="62"/>
        <v>2025</v>
      </c>
    </row>
    <row r="399" spans="1:24" x14ac:dyDescent="0.35">
      <c r="A399" s="3">
        <v>45687</v>
      </c>
      <c r="B399" t="s">
        <v>317</v>
      </c>
      <c r="C399" t="s">
        <v>130</v>
      </c>
      <c r="D399" t="s">
        <v>545</v>
      </c>
      <c r="E399" t="s">
        <v>48</v>
      </c>
      <c r="F399" t="s">
        <v>41</v>
      </c>
      <c r="G399" t="s">
        <v>42</v>
      </c>
      <c r="H399">
        <v>55.3</v>
      </c>
      <c r="I399">
        <v>4950</v>
      </c>
      <c r="J399">
        <v>112</v>
      </c>
      <c r="K399">
        <v>14.4</v>
      </c>
      <c r="L399" t="s">
        <v>30</v>
      </c>
      <c r="M399">
        <v>31414.85</v>
      </c>
      <c r="N399">
        <v>12000</v>
      </c>
      <c r="O399" t="s">
        <v>50</v>
      </c>
      <c r="P399" t="str">
        <f t="shared" si="54"/>
        <v>Yes</v>
      </c>
      <c r="Q399">
        <f t="shared" si="55"/>
        <v>89.51</v>
      </c>
      <c r="R399">
        <f t="shared" si="56"/>
        <v>6.35</v>
      </c>
      <c r="S399">
        <f t="shared" si="57"/>
        <v>2.62</v>
      </c>
      <c r="T399" t="str">
        <f t="shared" si="58"/>
        <v>Delayed</v>
      </c>
      <c r="U399" t="str">
        <f t="shared" si="59"/>
        <v>Medium</v>
      </c>
      <c r="V399" t="str">
        <f t="shared" si="60"/>
        <v>Medium Risk</v>
      </c>
      <c r="W399" t="str">
        <f t="shared" si="61"/>
        <v>Jan</v>
      </c>
      <c r="X399">
        <f t="shared" si="62"/>
        <v>2025</v>
      </c>
    </row>
    <row r="400" spans="1:24" x14ac:dyDescent="0.35">
      <c r="A400" s="3">
        <v>45688</v>
      </c>
      <c r="B400" t="s">
        <v>106</v>
      </c>
      <c r="C400" t="s">
        <v>109</v>
      </c>
      <c r="D400" t="s">
        <v>546</v>
      </c>
      <c r="E400" t="s">
        <v>48</v>
      </c>
      <c r="F400" t="s">
        <v>27</v>
      </c>
      <c r="G400" t="s">
        <v>71</v>
      </c>
      <c r="H400">
        <v>66.900000000000006</v>
      </c>
      <c r="I400">
        <v>1105</v>
      </c>
      <c r="J400">
        <v>38</v>
      </c>
      <c r="K400">
        <v>18.8</v>
      </c>
      <c r="L400" t="s">
        <v>30</v>
      </c>
      <c r="M400">
        <v>36112.9</v>
      </c>
      <c r="N400">
        <v>23875</v>
      </c>
      <c r="O400" t="s">
        <v>44</v>
      </c>
      <c r="P400" t="str">
        <f t="shared" si="54"/>
        <v>Yes</v>
      </c>
      <c r="Q400">
        <f t="shared" si="55"/>
        <v>16.52</v>
      </c>
      <c r="R400">
        <f t="shared" si="56"/>
        <v>32.68</v>
      </c>
      <c r="S400">
        <f t="shared" si="57"/>
        <v>1.51</v>
      </c>
      <c r="T400" t="str">
        <f t="shared" si="58"/>
        <v>Delayed</v>
      </c>
      <c r="U400" t="str">
        <f t="shared" si="59"/>
        <v>High</v>
      </c>
      <c r="V400" t="str">
        <f t="shared" si="60"/>
        <v>Medium Risk</v>
      </c>
      <c r="W400" t="str">
        <f t="shared" si="61"/>
        <v>Jan</v>
      </c>
      <c r="X400">
        <f t="shared" si="62"/>
        <v>2025</v>
      </c>
    </row>
    <row r="401" spans="1:24" x14ac:dyDescent="0.35">
      <c r="A401" s="3">
        <v>45854</v>
      </c>
      <c r="B401" t="s">
        <v>214</v>
      </c>
      <c r="C401" t="s">
        <v>52</v>
      </c>
      <c r="D401" t="s">
        <v>547</v>
      </c>
      <c r="E401" t="s">
        <v>54</v>
      </c>
      <c r="F401" t="s">
        <v>66</v>
      </c>
      <c r="G401" t="s">
        <v>71</v>
      </c>
      <c r="H401">
        <v>24.9</v>
      </c>
      <c r="I401">
        <v>2214</v>
      </c>
      <c r="J401">
        <v>94</v>
      </c>
      <c r="K401">
        <v>19.100000000000001</v>
      </c>
      <c r="L401" t="s">
        <v>49</v>
      </c>
      <c r="M401">
        <v>13829.5</v>
      </c>
      <c r="N401">
        <v>26824</v>
      </c>
      <c r="O401" t="s">
        <v>31</v>
      </c>
      <c r="P401" t="str">
        <f t="shared" si="54"/>
        <v>Yes</v>
      </c>
      <c r="Q401">
        <f t="shared" si="55"/>
        <v>88.92</v>
      </c>
      <c r="R401">
        <f t="shared" si="56"/>
        <v>6.25</v>
      </c>
      <c r="S401">
        <f t="shared" si="57"/>
        <v>0.52</v>
      </c>
      <c r="T401" t="str">
        <f t="shared" si="58"/>
        <v>Delayed</v>
      </c>
      <c r="U401" t="str">
        <f t="shared" si="59"/>
        <v>Low</v>
      </c>
      <c r="V401" t="str">
        <f t="shared" si="60"/>
        <v>High Risk</v>
      </c>
      <c r="W401" t="str">
        <f t="shared" si="61"/>
        <v>Jul</v>
      </c>
      <c r="X401">
        <f t="shared" si="62"/>
        <v>2025</v>
      </c>
    </row>
    <row r="402" spans="1:24" x14ac:dyDescent="0.35">
      <c r="A402" s="3">
        <v>45668</v>
      </c>
      <c r="B402" t="s">
        <v>64</v>
      </c>
      <c r="C402" t="s">
        <v>130</v>
      </c>
      <c r="D402" t="s">
        <v>548</v>
      </c>
      <c r="E402" t="s">
        <v>54</v>
      </c>
      <c r="F402" t="s">
        <v>63</v>
      </c>
      <c r="G402" t="s">
        <v>29</v>
      </c>
      <c r="H402">
        <v>37.4</v>
      </c>
      <c r="I402">
        <v>535</v>
      </c>
      <c r="J402">
        <v>114</v>
      </c>
      <c r="K402">
        <v>13.4</v>
      </c>
      <c r="L402" t="s">
        <v>30</v>
      </c>
      <c r="M402">
        <v>26074.48</v>
      </c>
      <c r="N402">
        <v>7163</v>
      </c>
      <c r="O402" t="s">
        <v>91</v>
      </c>
      <c r="P402" t="str">
        <f t="shared" si="54"/>
        <v>Yes</v>
      </c>
      <c r="Q402">
        <f t="shared" si="55"/>
        <v>14.3</v>
      </c>
      <c r="R402">
        <f t="shared" si="56"/>
        <v>48.74</v>
      </c>
      <c r="S402">
        <f t="shared" si="57"/>
        <v>3.64</v>
      </c>
      <c r="T402" t="str">
        <f t="shared" si="58"/>
        <v>Delayed</v>
      </c>
      <c r="U402" t="str">
        <f t="shared" si="59"/>
        <v>Low</v>
      </c>
      <c r="V402" t="str">
        <f t="shared" si="60"/>
        <v>Medium Risk</v>
      </c>
      <c r="W402" t="str">
        <f t="shared" si="61"/>
        <v>Jan</v>
      </c>
      <c r="X402">
        <f t="shared" si="62"/>
        <v>2025</v>
      </c>
    </row>
    <row r="403" spans="1:24" x14ac:dyDescent="0.35">
      <c r="A403" s="3">
        <v>45937</v>
      </c>
      <c r="B403" t="s">
        <v>111</v>
      </c>
      <c r="C403" t="s">
        <v>109</v>
      </c>
      <c r="D403" t="s">
        <v>549</v>
      </c>
      <c r="E403" t="s">
        <v>66</v>
      </c>
      <c r="F403" t="s">
        <v>48</v>
      </c>
      <c r="G403" t="s">
        <v>29</v>
      </c>
      <c r="H403">
        <v>61.6</v>
      </c>
      <c r="I403">
        <v>3743</v>
      </c>
      <c r="J403">
        <v>94</v>
      </c>
      <c r="K403">
        <v>14.7</v>
      </c>
      <c r="L403" t="s">
        <v>30</v>
      </c>
      <c r="M403">
        <v>39915.25</v>
      </c>
      <c r="N403">
        <v>22450</v>
      </c>
      <c r="O403" t="s">
        <v>36</v>
      </c>
      <c r="P403" t="str">
        <f t="shared" si="54"/>
        <v>Yes</v>
      </c>
      <c r="Q403">
        <f t="shared" si="55"/>
        <v>60.76</v>
      </c>
      <c r="R403">
        <f t="shared" si="56"/>
        <v>10.66</v>
      </c>
      <c r="S403">
        <f t="shared" si="57"/>
        <v>1.78</v>
      </c>
      <c r="T403" t="str">
        <f t="shared" si="58"/>
        <v>Delayed</v>
      </c>
      <c r="U403" t="str">
        <f t="shared" si="59"/>
        <v>High</v>
      </c>
      <c r="V403" t="str">
        <f t="shared" si="60"/>
        <v>Medium Risk</v>
      </c>
      <c r="W403" t="str">
        <f t="shared" si="61"/>
        <v>Oct</v>
      </c>
      <c r="X403">
        <f t="shared" si="62"/>
        <v>2025</v>
      </c>
    </row>
    <row r="404" spans="1:24" x14ac:dyDescent="0.35">
      <c r="A404" s="3">
        <v>45759</v>
      </c>
      <c r="B404" t="s">
        <v>148</v>
      </c>
      <c r="C404" t="s">
        <v>52</v>
      </c>
      <c r="D404" t="s">
        <v>550</v>
      </c>
      <c r="E404" t="s">
        <v>63</v>
      </c>
      <c r="F404" t="s">
        <v>54</v>
      </c>
      <c r="G404" t="s">
        <v>35</v>
      </c>
      <c r="H404">
        <v>40.1</v>
      </c>
      <c r="I404">
        <v>1126</v>
      </c>
      <c r="J404">
        <v>98</v>
      </c>
      <c r="K404">
        <v>15.3</v>
      </c>
      <c r="L404" t="s">
        <v>49</v>
      </c>
      <c r="M404">
        <v>28050.26</v>
      </c>
      <c r="N404">
        <v>16976</v>
      </c>
      <c r="O404" t="s">
        <v>36</v>
      </c>
      <c r="P404" t="str">
        <f t="shared" si="54"/>
        <v>Yes</v>
      </c>
      <c r="Q404">
        <f t="shared" si="55"/>
        <v>28.08</v>
      </c>
      <c r="R404">
        <f t="shared" si="56"/>
        <v>24.91</v>
      </c>
      <c r="S404">
        <f t="shared" si="57"/>
        <v>1.65</v>
      </c>
      <c r="T404" t="str">
        <f t="shared" si="58"/>
        <v>Delayed</v>
      </c>
      <c r="U404" t="str">
        <f t="shared" si="59"/>
        <v>Medium</v>
      </c>
      <c r="V404" t="str">
        <f t="shared" si="60"/>
        <v>High Risk</v>
      </c>
      <c r="W404" t="str">
        <f t="shared" si="61"/>
        <v>Apr</v>
      </c>
      <c r="X404">
        <f t="shared" si="62"/>
        <v>2025</v>
      </c>
    </row>
    <row r="405" spans="1:24" x14ac:dyDescent="0.35">
      <c r="A405" s="3">
        <v>45691</v>
      </c>
      <c r="B405" t="s">
        <v>152</v>
      </c>
      <c r="C405" t="s">
        <v>39</v>
      </c>
      <c r="D405" t="s">
        <v>551</v>
      </c>
      <c r="E405" t="s">
        <v>48</v>
      </c>
      <c r="F405" t="s">
        <v>27</v>
      </c>
      <c r="G405" t="s">
        <v>35</v>
      </c>
      <c r="H405">
        <v>28.8</v>
      </c>
      <c r="I405">
        <v>3693</v>
      </c>
      <c r="J405">
        <v>86</v>
      </c>
      <c r="K405">
        <v>15.1</v>
      </c>
      <c r="L405" t="s">
        <v>30</v>
      </c>
      <c r="M405">
        <v>16683.849999999999</v>
      </c>
      <c r="N405">
        <v>23440</v>
      </c>
      <c r="O405" t="s">
        <v>31</v>
      </c>
      <c r="P405" t="str">
        <f t="shared" si="54"/>
        <v>Yes</v>
      </c>
      <c r="Q405">
        <f t="shared" si="55"/>
        <v>128.22999999999999</v>
      </c>
      <c r="R405">
        <f t="shared" si="56"/>
        <v>4.5199999999999996</v>
      </c>
      <c r="S405">
        <f t="shared" si="57"/>
        <v>0.71</v>
      </c>
      <c r="T405" t="str">
        <f t="shared" si="58"/>
        <v>Delayed</v>
      </c>
      <c r="U405" t="str">
        <f t="shared" si="59"/>
        <v>Low</v>
      </c>
      <c r="V405" t="str">
        <f t="shared" si="60"/>
        <v>Medium Risk</v>
      </c>
      <c r="W405" t="str">
        <f t="shared" si="61"/>
        <v>Feb</v>
      </c>
      <c r="X405">
        <f t="shared" si="62"/>
        <v>2025</v>
      </c>
    </row>
    <row r="406" spans="1:24" x14ac:dyDescent="0.35">
      <c r="A406" s="3">
        <v>45662</v>
      </c>
      <c r="B406" t="s">
        <v>139</v>
      </c>
      <c r="C406" t="s">
        <v>39</v>
      </c>
      <c r="D406" t="s">
        <v>552</v>
      </c>
      <c r="E406" t="s">
        <v>66</v>
      </c>
      <c r="F406" t="s">
        <v>54</v>
      </c>
      <c r="G406" t="s">
        <v>29</v>
      </c>
      <c r="H406">
        <v>79.2</v>
      </c>
      <c r="I406">
        <v>2634</v>
      </c>
      <c r="J406">
        <v>61</v>
      </c>
      <c r="K406">
        <v>21.7</v>
      </c>
      <c r="L406" t="s">
        <v>49</v>
      </c>
      <c r="M406">
        <v>38833.449999999997</v>
      </c>
      <c r="N406">
        <v>17158</v>
      </c>
      <c r="O406" t="s">
        <v>50</v>
      </c>
      <c r="P406" t="str">
        <f t="shared" si="54"/>
        <v>Yes</v>
      </c>
      <c r="Q406">
        <f t="shared" si="55"/>
        <v>33.26</v>
      </c>
      <c r="R406">
        <f t="shared" si="56"/>
        <v>14.74</v>
      </c>
      <c r="S406">
        <f t="shared" si="57"/>
        <v>2.2599999999999998</v>
      </c>
      <c r="T406" t="str">
        <f t="shared" si="58"/>
        <v>Delayed</v>
      </c>
      <c r="U406" t="str">
        <f t="shared" si="59"/>
        <v>High</v>
      </c>
      <c r="V406" t="str">
        <f t="shared" si="60"/>
        <v>High Risk</v>
      </c>
      <c r="W406" t="str">
        <f t="shared" si="61"/>
        <v>Jan</v>
      </c>
      <c r="X406">
        <f t="shared" si="62"/>
        <v>2025</v>
      </c>
    </row>
    <row r="407" spans="1:24" x14ac:dyDescent="0.35">
      <c r="A407" s="3">
        <v>46006</v>
      </c>
      <c r="B407" t="s">
        <v>173</v>
      </c>
      <c r="C407" t="s">
        <v>39</v>
      </c>
      <c r="D407" t="s">
        <v>553</v>
      </c>
      <c r="E407" t="s">
        <v>63</v>
      </c>
      <c r="F407" t="s">
        <v>55</v>
      </c>
      <c r="G407" t="s">
        <v>42</v>
      </c>
      <c r="H407">
        <v>25.8</v>
      </c>
      <c r="I407">
        <v>4861</v>
      </c>
      <c r="J407">
        <v>39</v>
      </c>
      <c r="K407">
        <v>21.2</v>
      </c>
      <c r="L407" t="s">
        <v>43</v>
      </c>
      <c r="M407">
        <v>17830.34</v>
      </c>
      <c r="N407">
        <v>20252</v>
      </c>
      <c r="O407" t="s">
        <v>44</v>
      </c>
      <c r="P407" t="str">
        <f t="shared" si="54"/>
        <v>Yes</v>
      </c>
      <c r="Q407">
        <f t="shared" si="55"/>
        <v>188.41</v>
      </c>
      <c r="R407">
        <f t="shared" si="56"/>
        <v>3.67</v>
      </c>
      <c r="S407">
        <f t="shared" si="57"/>
        <v>0.88</v>
      </c>
      <c r="T407" t="str">
        <f t="shared" si="58"/>
        <v>Delayed</v>
      </c>
      <c r="U407" t="str">
        <f t="shared" si="59"/>
        <v>Low</v>
      </c>
      <c r="V407" t="str">
        <f t="shared" si="60"/>
        <v>Low Risk</v>
      </c>
      <c r="W407" t="str">
        <f t="shared" si="61"/>
        <v>Dec</v>
      </c>
      <c r="X407">
        <f t="shared" si="62"/>
        <v>2025</v>
      </c>
    </row>
    <row r="408" spans="1:24" x14ac:dyDescent="0.35">
      <c r="A408" s="3">
        <v>45753</v>
      </c>
      <c r="B408" t="s">
        <v>246</v>
      </c>
      <c r="C408" t="s">
        <v>52</v>
      </c>
      <c r="D408" t="s">
        <v>554</v>
      </c>
      <c r="E408" t="s">
        <v>54</v>
      </c>
      <c r="F408" t="s">
        <v>28</v>
      </c>
      <c r="G408" t="s">
        <v>35</v>
      </c>
      <c r="H408">
        <v>69.8</v>
      </c>
      <c r="I408">
        <v>2743</v>
      </c>
      <c r="J408">
        <v>94</v>
      </c>
      <c r="K408">
        <v>14.2</v>
      </c>
      <c r="L408" t="s">
        <v>49</v>
      </c>
      <c r="M408">
        <v>43496.55</v>
      </c>
      <c r="N408">
        <v>22311</v>
      </c>
      <c r="O408" t="s">
        <v>50</v>
      </c>
      <c r="P408" t="str">
        <f t="shared" si="54"/>
        <v>Yes</v>
      </c>
      <c r="Q408">
        <f t="shared" si="55"/>
        <v>39.299999999999997</v>
      </c>
      <c r="R408">
        <f t="shared" si="56"/>
        <v>15.86</v>
      </c>
      <c r="S408">
        <f t="shared" si="57"/>
        <v>1.95</v>
      </c>
      <c r="T408" t="str">
        <f t="shared" si="58"/>
        <v>Delayed</v>
      </c>
      <c r="U408" t="str">
        <f t="shared" si="59"/>
        <v>High</v>
      </c>
      <c r="V408" t="str">
        <f t="shared" si="60"/>
        <v>High Risk</v>
      </c>
      <c r="W408" t="str">
        <f t="shared" si="61"/>
        <v>Apr</v>
      </c>
      <c r="X408">
        <f t="shared" si="62"/>
        <v>2025</v>
      </c>
    </row>
    <row r="409" spans="1:24" x14ac:dyDescent="0.35">
      <c r="A409" s="3">
        <v>45810</v>
      </c>
      <c r="B409" t="s">
        <v>366</v>
      </c>
      <c r="C409" t="s">
        <v>95</v>
      </c>
      <c r="D409" t="s">
        <v>555</v>
      </c>
      <c r="E409" t="s">
        <v>63</v>
      </c>
      <c r="F409" t="s">
        <v>41</v>
      </c>
      <c r="G409" t="s">
        <v>42</v>
      </c>
      <c r="H409">
        <v>23.7</v>
      </c>
      <c r="I409">
        <v>3198</v>
      </c>
      <c r="J409">
        <v>69</v>
      </c>
      <c r="K409">
        <v>14.2</v>
      </c>
      <c r="L409" t="s">
        <v>43</v>
      </c>
      <c r="M409">
        <v>12328.06</v>
      </c>
      <c r="N409">
        <v>16756</v>
      </c>
      <c r="O409" t="s">
        <v>36</v>
      </c>
      <c r="P409" t="str">
        <f t="shared" si="54"/>
        <v>Yes</v>
      </c>
      <c r="Q409">
        <f t="shared" si="55"/>
        <v>134.94</v>
      </c>
      <c r="R409">
        <f t="shared" si="56"/>
        <v>3.85</v>
      </c>
      <c r="S409">
        <f t="shared" si="57"/>
        <v>0.74</v>
      </c>
      <c r="T409" t="str">
        <f t="shared" si="58"/>
        <v>Delayed</v>
      </c>
      <c r="U409" t="str">
        <f t="shared" si="59"/>
        <v>Low</v>
      </c>
      <c r="V409" t="str">
        <f t="shared" si="60"/>
        <v>Low Risk</v>
      </c>
      <c r="W409" t="str">
        <f t="shared" si="61"/>
        <v>Jun</v>
      </c>
      <c r="X409">
        <f t="shared" si="62"/>
        <v>2025</v>
      </c>
    </row>
    <row r="410" spans="1:24" x14ac:dyDescent="0.35">
      <c r="A410" s="3">
        <v>45833</v>
      </c>
      <c r="B410" t="s">
        <v>148</v>
      </c>
      <c r="C410" t="s">
        <v>52</v>
      </c>
      <c r="D410" t="s">
        <v>556</v>
      </c>
      <c r="E410" t="s">
        <v>54</v>
      </c>
      <c r="F410" t="s">
        <v>27</v>
      </c>
      <c r="G410" t="s">
        <v>35</v>
      </c>
      <c r="H410">
        <v>24.7</v>
      </c>
      <c r="I410">
        <v>2059</v>
      </c>
      <c r="J410">
        <v>103</v>
      </c>
      <c r="K410">
        <v>12.3</v>
      </c>
      <c r="L410" t="s">
        <v>49</v>
      </c>
      <c r="M410">
        <v>11621.28</v>
      </c>
      <c r="N410">
        <v>6347</v>
      </c>
      <c r="O410" t="s">
        <v>67</v>
      </c>
      <c r="P410" t="str">
        <f t="shared" si="54"/>
        <v>Yes</v>
      </c>
      <c r="Q410">
        <f t="shared" si="55"/>
        <v>83.36</v>
      </c>
      <c r="R410">
        <f t="shared" si="56"/>
        <v>5.64</v>
      </c>
      <c r="S410">
        <f t="shared" si="57"/>
        <v>1.83</v>
      </c>
      <c r="T410" t="str">
        <f t="shared" si="58"/>
        <v>Delayed</v>
      </c>
      <c r="U410" t="str">
        <f t="shared" si="59"/>
        <v>Low</v>
      </c>
      <c r="V410" t="str">
        <f t="shared" si="60"/>
        <v>High Risk</v>
      </c>
      <c r="W410" t="str">
        <f t="shared" si="61"/>
        <v>Jun</v>
      </c>
      <c r="X410">
        <f t="shared" si="62"/>
        <v>2025</v>
      </c>
    </row>
    <row r="411" spans="1:24" x14ac:dyDescent="0.35">
      <c r="A411" s="3">
        <v>45663</v>
      </c>
      <c r="B411" t="s">
        <v>159</v>
      </c>
      <c r="C411" t="s">
        <v>25</v>
      </c>
      <c r="D411" t="s">
        <v>557</v>
      </c>
      <c r="E411" t="s">
        <v>48</v>
      </c>
      <c r="F411" t="s">
        <v>41</v>
      </c>
      <c r="G411" t="s">
        <v>42</v>
      </c>
      <c r="H411">
        <v>24.9</v>
      </c>
      <c r="I411">
        <v>2247</v>
      </c>
      <c r="J411">
        <v>24</v>
      </c>
      <c r="K411">
        <v>12.8</v>
      </c>
      <c r="L411" t="s">
        <v>78</v>
      </c>
      <c r="M411">
        <v>11995.87</v>
      </c>
      <c r="N411">
        <v>24303</v>
      </c>
      <c r="O411" t="s">
        <v>31</v>
      </c>
      <c r="P411" t="str">
        <f t="shared" si="54"/>
        <v>No</v>
      </c>
      <c r="Q411">
        <f t="shared" si="55"/>
        <v>90.24</v>
      </c>
      <c r="R411">
        <f t="shared" si="56"/>
        <v>5.34</v>
      </c>
      <c r="S411">
        <f t="shared" si="57"/>
        <v>0.49</v>
      </c>
      <c r="T411" t="str">
        <f t="shared" si="58"/>
        <v>On Time</v>
      </c>
      <c r="U411" t="str">
        <f t="shared" si="59"/>
        <v>Low</v>
      </c>
      <c r="V411" t="str">
        <f t="shared" si="60"/>
        <v>Low Risk</v>
      </c>
      <c r="W411" t="str">
        <f t="shared" si="61"/>
        <v>Jan</v>
      </c>
      <c r="X411">
        <f t="shared" si="62"/>
        <v>2025</v>
      </c>
    </row>
    <row r="412" spans="1:24" x14ac:dyDescent="0.35">
      <c r="A412" s="3">
        <v>45919</v>
      </c>
      <c r="B412" t="s">
        <v>38</v>
      </c>
      <c r="C412" t="s">
        <v>52</v>
      </c>
      <c r="D412" t="s">
        <v>558</v>
      </c>
      <c r="E412" t="s">
        <v>66</v>
      </c>
      <c r="F412" t="s">
        <v>63</v>
      </c>
      <c r="G412" t="s">
        <v>71</v>
      </c>
      <c r="H412">
        <v>55.2</v>
      </c>
      <c r="I412">
        <v>3785</v>
      </c>
      <c r="J412">
        <v>22</v>
      </c>
      <c r="K412">
        <v>20.7</v>
      </c>
      <c r="L412" t="s">
        <v>78</v>
      </c>
      <c r="M412">
        <v>34301.279999999999</v>
      </c>
      <c r="N412">
        <v>16320</v>
      </c>
      <c r="O412" t="s">
        <v>50</v>
      </c>
      <c r="P412" t="str">
        <f t="shared" si="54"/>
        <v>No</v>
      </c>
      <c r="Q412">
        <f t="shared" si="55"/>
        <v>68.569999999999993</v>
      </c>
      <c r="R412">
        <f t="shared" si="56"/>
        <v>9.06</v>
      </c>
      <c r="S412">
        <f t="shared" si="57"/>
        <v>2.1</v>
      </c>
      <c r="T412" t="str">
        <f t="shared" si="58"/>
        <v>On Time</v>
      </c>
      <c r="U412" t="str">
        <f t="shared" si="59"/>
        <v>Medium</v>
      </c>
      <c r="V412" t="str">
        <f t="shared" si="60"/>
        <v>Low Risk</v>
      </c>
      <c r="W412" t="str">
        <f t="shared" si="61"/>
        <v>Sep</v>
      </c>
      <c r="X412">
        <f t="shared" si="62"/>
        <v>2025</v>
      </c>
    </row>
    <row r="413" spans="1:24" x14ac:dyDescent="0.35">
      <c r="A413" s="3">
        <v>45668</v>
      </c>
      <c r="B413" t="s">
        <v>221</v>
      </c>
      <c r="C413" t="s">
        <v>39</v>
      </c>
      <c r="D413" t="s">
        <v>559</v>
      </c>
      <c r="E413" t="s">
        <v>48</v>
      </c>
      <c r="F413" t="s">
        <v>55</v>
      </c>
      <c r="G413" t="s">
        <v>71</v>
      </c>
      <c r="H413">
        <v>76.5</v>
      </c>
      <c r="I413">
        <v>805</v>
      </c>
      <c r="J413">
        <v>86</v>
      </c>
      <c r="K413">
        <v>21.9</v>
      </c>
      <c r="L413" t="s">
        <v>30</v>
      </c>
      <c r="M413">
        <v>38657.39</v>
      </c>
      <c r="N413">
        <v>19081</v>
      </c>
      <c r="O413" t="s">
        <v>44</v>
      </c>
      <c r="P413" t="str">
        <f t="shared" si="54"/>
        <v>Yes</v>
      </c>
      <c r="Q413">
        <f t="shared" si="55"/>
        <v>10.52</v>
      </c>
      <c r="R413">
        <f t="shared" si="56"/>
        <v>48.02</v>
      </c>
      <c r="S413">
        <f t="shared" si="57"/>
        <v>2.0299999999999998</v>
      </c>
      <c r="T413" t="str">
        <f t="shared" si="58"/>
        <v>Delayed</v>
      </c>
      <c r="U413" t="str">
        <f t="shared" si="59"/>
        <v>High</v>
      </c>
      <c r="V413" t="str">
        <f t="shared" si="60"/>
        <v>Medium Risk</v>
      </c>
      <c r="W413" t="str">
        <f t="shared" si="61"/>
        <v>Jan</v>
      </c>
      <c r="X413">
        <f t="shared" si="62"/>
        <v>2025</v>
      </c>
    </row>
    <row r="414" spans="1:24" x14ac:dyDescent="0.35">
      <c r="A414" s="3">
        <v>45680</v>
      </c>
      <c r="B414" t="s">
        <v>100</v>
      </c>
      <c r="C414" t="s">
        <v>57</v>
      </c>
      <c r="D414" t="s">
        <v>560</v>
      </c>
      <c r="E414" t="s">
        <v>27</v>
      </c>
      <c r="F414" t="s">
        <v>28</v>
      </c>
      <c r="G414" t="s">
        <v>29</v>
      </c>
      <c r="H414">
        <v>46.6</v>
      </c>
      <c r="I414">
        <v>3278</v>
      </c>
      <c r="J414">
        <v>100</v>
      </c>
      <c r="K414">
        <v>19</v>
      </c>
      <c r="L414" t="s">
        <v>30</v>
      </c>
      <c r="M414">
        <v>26221.07</v>
      </c>
      <c r="N414">
        <v>7174</v>
      </c>
      <c r="O414" t="s">
        <v>36</v>
      </c>
      <c r="P414" t="str">
        <f t="shared" si="54"/>
        <v>Yes</v>
      </c>
      <c r="Q414">
        <f t="shared" si="55"/>
        <v>70.34</v>
      </c>
      <c r="R414">
        <f t="shared" si="56"/>
        <v>8</v>
      </c>
      <c r="S414">
        <f t="shared" si="57"/>
        <v>3.66</v>
      </c>
      <c r="T414" t="str">
        <f t="shared" si="58"/>
        <v>Delayed</v>
      </c>
      <c r="U414" t="str">
        <f t="shared" si="59"/>
        <v>Medium</v>
      </c>
      <c r="V414" t="str">
        <f t="shared" si="60"/>
        <v>Medium Risk</v>
      </c>
      <c r="W414" t="str">
        <f t="shared" si="61"/>
        <v>Jan</v>
      </c>
      <c r="X414">
        <f t="shared" si="62"/>
        <v>2025</v>
      </c>
    </row>
    <row r="415" spans="1:24" x14ac:dyDescent="0.35">
      <c r="A415" s="3">
        <v>45968</v>
      </c>
      <c r="B415" t="s">
        <v>167</v>
      </c>
      <c r="C415" t="s">
        <v>57</v>
      </c>
      <c r="D415" t="s">
        <v>561</v>
      </c>
      <c r="E415" t="s">
        <v>66</v>
      </c>
      <c r="F415" t="s">
        <v>28</v>
      </c>
      <c r="G415" t="s">
        <v>71</v>
      </c>
      <c r="H415">
        <v>49.1</v>
      </c>
      <c r="I415">
        <v>2517</v>
      </c>
      <c r="J415">
        <v>114</v>
      </c>
      <c r="K415">
        <v>11.9</v>
      </c>
      <c r="L415" t="s">
        <v>49</v>
      </c>
      <c r="M415">
        <v>26460.65</v>
      </c>
      <c r="N415">
        <v>26638</v>
      </c>
      <c r="O415" t="s">
        <v>59</v>
      </c>
      <c r="P415" t="str">
        <f t="shared" si="54"/>
        <v>Yes</v>
      </c>
      <c r="Q415">
        <f t="shared" si="55"/>
        <v>51.26</v>
      </c>
      <c r="R415">
        <f t="shared" si="56"/>
        <v>10.51</v>
      </c>
      <c r="S415">
        <f t="shared" si="57"/>
        <v>0.99</v>
      </c>
      <c r="T415" t="str">
        <f t="shared" si="58"/>
        <v>Delayed</v>
      </c>
      <c r="U415" t="str">
        <f t="shared" si="59"/>
        <v>Medium</v>
      </c>
      <c r="V415" t="str">
        <f t="shared" si="60"/>
        <v>High Risk</v>
      </c>
      <c r="W415" t="str">
        <f t="shared" si="61"/>
        <v>Nov</v>
      </c>
      <c r="X415">
        <f t="shared" si="62"/>
        <v>2025</v>
      </c>
    </row>
    <row r="416" spans="1:24" x14ac:dyDescent="0.35">
      <c r="A416" s="3">
        <v>45779</v>
      </c>
      <c r="B416" t="s">
        <v>309</v>
      </c>
      <c r="C416" t="s">
        <v>69</v>
      </c>
      <c r="D416" t="s">
        <v>562</v>
      </c>
      <c r="E416" t="s">
        <v>28</v>
      </c>
      <c r="F416" t="s">
        <v>27</v>
      </c>
      <c r="G416" t="s">
        <v>71</v>
      </c>
      <c r="H416">
        <v>50.3</v>
      </c>
      <c r="I416">
        <v>3545</v>
      </c>
      <c r="J416">
        <v>40</v>
      </c>
      <c r="K416">
        <v>10.5</v>
      </c>
      <c r="L416" t="s">
        <v>49</v>
      </c>
      <c r="M416">
        <v>33777.96</v>
      </c>
      <c r="N416">
        <v>5370</v>
      </c>
      <c r="O416" t="s">
        <v>67</v>
      </c>
      <c r="P416" t="str">
        <f t="shared" si="54"/>
        <v>Yes</v>
      </c>
      <c r="Q416">
        <f t="shared" si="55"/>
        <v>70.48</v>
      </c>
      <c r="R416">
        <f t="shared" si="56"/>
        <v>9.5299999999999994</v>
      </c>
      <c r="S416">
        <f t="shared" si="57"/>
        <v>6.29</v>
      </c>
      <c r="T416" t="str">
        <f t="shared" si="58"/>
        <v>Delayed</v>
      </c>
      <c r="U416" t="str">
        <f t="shared" si="59"/>
        <v>Medium</v>
      </c>
      <c r="V416" t="str">
        <f t="shared" si="60"/>
        <v>High Risk</v>
      </c>
      <c r="W416" t="str">
        <f t="shared" si="61"/>
        <v>May</v>
      </c>
      <c r="X416">
        <f t="shared" si="62"/>
        <v>2025</v>
      </c>
    </row>
    <row r="417" spans="1:24" x14ac:dyDescent="0.35">
      <c r="A417" s="3">
        <v>45723</v>
      </c>
      <c r="B417" t="s">
        <v>210</v>
      </c>
      <c r="C417" t="s">
        <v>25</v>
      </c>
      <c r="D417" t="s">
        <v>563</v>
      </c>
      <c r="E417" t="s">
        <v>63</v>
      </c>
      <c r="F417" t="s">
        <v>66</v>
      </c>
      <c r="G417" t="s">
        <v>71</v>
      </c>
      <c r="H417">
        <v>39.6</v>
      </c>
      <c r="I417">
        <v>4578</v>
      </c>
      <c r="J417">
        <v>118</v>
      </c>
      <c r="K417">
        <v>19.399999999999999</v>
      </c>
      <c r="L417" t="s">
        <v>49</v>
      </c>
      <c r="M417">
        <v>23040.03</v>
      </c>
      <c r="N417">
        <v>23605</v>
      </c>
      <c r="O417" t="s">
        <v>31</v>
      </c>
      <c r="P417" t="str">
        <f t="shared" si="54"/>
        <v>Yes</v>
      </c>
      <c r="Q417">
        <f t="shared" si="55"/>
        <v>115.61</v>
      </c>
      <c r="R417">
        <f t="shared" si="56"/>
        <v>5.03</v>
      </c>
      <c r="S417">
        <f t="shared" si="57"/>
        <v>0.98</v>
      </c>
      <c r="T417" t="str">
        <f t="shared" si="58"/>
        <v>Delayed</v>
      </c>
      <c r="U417" t="str">
        <f t="shared" si="59"/>
        <v>Low</v>
      </c>
      <c r="V417" t="str">
        <f t="shared" si="60"/>
        <v>High Risk</v>
      </c>
      <c r="W417" t="str">
        <f t="shared" si="61"/>
        <v>Mar</v>
      </c>
      <c r="X417">
        <f t="shared" si="62"/>
        <v>2025</v>
      </c>
    </row>
    <row r="418" spans="1:24" x14ac:dyDescent="0.35">
      <c r="A418" s="3">
        <v>45747</v>
      </c>
      <c r="B418" t="s">
        <v>64</v>
      </c>
      <c r="C418" t="s">
        <v>52</v>
      </c>
      <c r="D418" t="s">
        <v>564</v>
      </c>
      <c r="E418" t="s">
        <v>41</v>
      </c>
      <c r="F418" t="s">
        <v>48</v>
      </c>
      <c r="G418" t="s">
        <v>35</v>
      </c>
      <c r="H418">
        <v>47.1</v>
      </c>
      <c r="I418">
        <v>2927</v>
      </c>
      <c r="J418">
        <v>30</v>
      </c>
      <c r="K418">
        <v>17.399999999999999</v>
      </c>
      <c r="L418" t="s">
        <v>49</v>
      </c>
      <c r="M418">
        <v>23300.080000000002</v>
      </c>
      <c r="N418">
        <v>24754</v>
      </c>
      <c r="O418" t="s">
        <v>44</v>
      </c>
      <c r="P418" t="str">
        <f t="shared" si="54"/>
        <v>Yes</v>
      </c>
      <c r="Q418">
        <f t="shared" si="55"/>
        <v>62.14</v>
      </c>
      <c r="R418">
        <f t="shared" si="56"/>
        <v>7.96</v>
      </c>
      <c r="S418">
        <f t="shared" si="57"/>
        <v>0.94</v>
      </c>
      <c r="T418" t="str">
        <f t="shared" si="58"/>
        <v>Delayed</v>
      </c>
      <c r="U418" t="str">
        <f t="shared" si="59"/>
        <v>Medium</v>
      </c>
      <c r="V418" t="str">
        <f t="shared" si="60"/>
        <v>High Risk</v>
      </c>
      <c r="W418" t="str">
        <f t="shared" si="61"/>
        <v>Mar</v>
      </c>
      <c r="X418">
        <f t="shared" si="62"/>
        <v>2025</v>
      </c>
    </row>
    <row r="419" spans="1:24" x14ac:dyDescent="0.35">
      <c r="A419" s="3">
        <v>45945</v>
      </c>
      <c r="B419" t="s">
        <v>146</v>
      </c>
      <c r="C419" t="s">
        <v>130</v>
      </c>
      <c r="D419" t="s">
        <v>565</v>
      </c>
      <c r="E419" t="s">
        <v>63</v>
      </c>
      <c r="F419" t="s">
        <v>27</v>
      </c>
      <c r="G419" t="s">
        <v>35</v>
      </c>
      <c r="H419">
        <v>70</v>
      </c>
      <c r="I419">
        <v>1262</v>
      </c>
      <c r="J419">
        <v>100</v>
      </c>
      <c r="K419">
        <v>21.8</v>
      </c>
      <c r="L419" t="s">
        <v>78</v>
      </c>
      <c r="M419">
        <v>48680.85</v>
      </c>
      <c r="N419">
        <v>22798</v>
      </c>
      <c r="O419" t="s">
        <v>67</v>
      </c>
      <c r="P419" t="str">
        <f t="shared" si="54"/>
        <v>No</v>
      </c>
      <c r="Q419">
        <f t="shared" si="55"/>
        <v>18.03</v>
      </c>
      <c r="R419">
        <f t="shared" si="56"/>
        <v>38.57</v>
      </c>
      <c r="S419">
        <f t="shared" si="57"/>
        <v>2.14</v>
      </c>
      <c r="T419" t="str">
        <f t="shared" si="58"/>
        <v>On Time</v>
      </c>
      <c r="U419" t="str">
        <f t="shared" si="59"/>
        <v>High</v>
      </c>
      <c r="V419" t="str">
        <f t="shared" si="60"/>
        <v>Low Risk</v>
      </c>
      <c r="W419" t="str">
        <f t="shared" si="61"/>
        <v>Oct</v>
      </c>
      <c r="X419">
        <f t="shared" si="62"/>
        <v>2025</v>
      </c>
    </row>
    <row r="420" spans="1:24" x14ac:dyDescent="0.35">
      <c r="A420" s="3">
        <v>45923</v>
      </c>
      <c r="B420" t="s">
        <v>129</v>
      </c>
      <c r="C420" t="s">
        <v>39</v>
      </c>
      <c r="D420" t="s">
        <v>566</v>
      </c>
      <c r="E420" t="s">
        <v>48</v>
      </c>
      <c r="F420" t="s">
        <v>55</v>
      </c>
      <c r="G420" t="s">
        <v>42</v>
      </c>
      <c r="H420">
        <v>66.5</v>
      </c>
      <c r="I420">
        <v>3016</v>
      </c>
      <c r="J420">
        <v>66</v>
      </c>
      <c r="K420">
        <v>14.5</v>
      </c>
      <c r="L420" t="s">
        <v>30</v>
      </c>
      <c r="M420">
        <v>30061.96</v>
      </c>
      <c r="N420">
        <v>5240</v>
      </c>
      <c r="O420" t="s">
        <v>91</v>
      </c>
      <c r="P420" t="str">
        <f t="shared" si="54"/>
        <v>Yes</v>
      </c>
      <c r="Q420">
        <f t="shared" si="55"/>
        <v>45.35</v>
      </c>
      <c r="R420">
        <f t="shared" si="56"/>
        <v>9.9700000000000006</v>
      </c>
      <c r="S420">
        <f t="shared" si="57"/>
        <v>5.74</v>
      </c>
      <c r="T420" t="str">
        <f t="shared" si="58"/>
        <v>Delayed</v>
      </c>
      <c r="U420" t="str">
        <f t="shared" si="59"/>
        <v>High</v>
      </c>
      <c r="V420" t="str">
        <f t="shared" si="60"/>
        <v>Medium Risk</v>
      </c>
      <c r="W420" t="str">
        <f t="shared" si="61"/>
        <v>Sep</v>
      </c>
      <c r="X420">
        <f t="shared" si="62"/>
        <v>2025</v>
      </c>
    </row>
    <row r="421" spans="1:24" x14ac:dyDescent="0.35">
      <c r="A421" s="3">
        <v>45770</v>
      </c>
      <c r="B421" t="s">
        <v>157</v>
      </c>
      <c r="C421" t="s">
        <v>39</v>
      </c>
      <c r="D421" t="s">
        <v>567</v>
      </c>
      <c r="E421" t="s">
        <v>28</v>
      </c>
      <c r="F421" t="s">
        <v>63</v>
      </c>
      <c r="G421" t="s">
        <v>42</v>
      </c>
      <c r="H421">
        <v>35</v>
      </c>
      <c r="I421">
        <v>4777</v>
      </c>
      <c r="J421">
        <v>119</v>
      </c>
      <c r="K421">
        <v>12.8</v>
      </c>
      <c r="L421" t="s">
        <v>49</v>
      </c>
      <c r="M421">
        <v>20488.62</v>
      </c>
      <c r="N421">
        <v>20904</v>
      </c>
      <c r="O421" t="s">
        <v>67</v>
      </c>
      <c r="P421" t="str">
        <f t="shared" si="54"/>
        <v>Yes</v>
      </c>
      <c r="Q421">
        <f t="shared" si="55"/>
        <v>136.49</v>
      </c>
      <c r="R421">
        <f t="shared" si="56"/>
        <v>4.29</v>
      </c>
      <c r="S421">
        <f t="shared" si="57"/>
        <v>0.98</v>
      </c>
      <c r="T421" t="str">
        <f t="shared" si="58"/>
        <v>Delayed</v>
      </c>
      <c r="U421" t="str">
        <f t="shared" si="59"/>
        <v>Low</v>
      </c>
      <c r="V421" t="str">
        <f t="shared" si="60"/>
        <v>High Risk</v>
      </c>
      <c r="W421" t="str">
        <f t="shared" si="61"/>
        <v>Apr</v>
      </c>
      <c r="X421">
        <f t="shared" si="62"/>
        <v>2025</v>
      </c>
    </row>
    <row r="422" spans="1:24" x14ac:dyDescent="0.35">
      <c r="A422" s="3">
        <v>46022</v>
      </c>
      <c r="B422" t="s">
        <v>214</v>
      </c>
      <c r="C422" t="s">
        <v>25</v>
      </c>
      <c r="D422" t="s">
        <v>568</v>
      </c>
      <c r="E422" t="s">
        <v>54</v>
      </c>
      <c r="F422" t="s">
        <v>48</v>
      </c>
      <c r="G422" t="s">
        <v>35</v>
      </c>
      <c r="H422">
        <v>76</v>
      </c>
      <c r="I422">
        <v>1154</v>
      </c>
      <c r="J422">
        <v>21</v>
      </c>
      <c r="K422">
        <v>18.5</v>
      </c>
      <c r="L422" t="s">
        <v>43</v>
      </c>
      <c r="M422">
        <v>48761.02</v>
      </c>
      <c r="N422">
        <v>21523</v>
      </c>
      <c r="O422" t="s">
        <v>67</v>
      </c>
      <c r="P422" t="str">
        <f t="shared" si="54"/>
        <v>Yes</v>
      </c>
      <c r="Q422">
        <f t="shared" si="55"/>
        <v>15.18</v>
      </c>
      <c r="R422">
        <f t="shared" si="56"/>
        <v>42.25</v>
      </c>
      <c r="S422">
        <f t="shared" si="57"/>
        <v>2.27</v>
      </c>
      <c r="T422" t="str">
        <f t="shared" si="58"/>
        <v>Delayed</v>
      </c>
      <c r="U422" t="str">
        <f t="shared" si="59"/>
        <v>High</v>
      </c>
      <c r="V422" t="str">
        <f t="shared" si="60"/>
        <v>Low Risk</v>
      </c>
      <c r="W422" t="str">
        <f t="shared" si="61"/>
        <v>Dec</v>
      </c>
      <c r="X422">
        <f t="shared" si="62"/>
        <v>2025</v>
      </c>
    </row>
    <row r="423" spans="1:24" x14ac:dyDescent="0.35">
      <c r="A423" s="3">
        <v>45812</v>
      </c>
      <c r="B423" t="s">
        <v>46</v>
      </c>
      <c r="C423" t="s">
        <v>57</v>
      </c>
      <c r="D423" t="s">
        <v>569</v>
      </c>
      <c r="E423" t="s">
        <v>28</v>
      </c>
      <c r="F423" t="s">
        <v>66</v>
      </c>
      <c r="G423" t="s">
        <v>35</v>
      </c>
      <c r="H423">
        <v>49.6</v>
      </c>
      <c r="I423">
        <v>1480</v>
      </c>
      <c r="J423">
        <v>56</v>
      </c>
      <c r="K423">
        <v>17.399999999999999</v>
      </c>
      <c r="L423" t="s">
        <v>43</v>
      </c>
      <c r="M423">
        <v>24170</v>
      </c>
      <c r="N423">
        <v>24207</v>
      </c>
      <c r="O423" t="s">
        <v>44</v>
      </c>
      <c r="P423" t="str">
        <f t="shared" si="54"/>
        <v>Yes</v>
      </c>
      <c r="Q423">
        <f t="shared" si="55"/>
        <v>29.84</v>
      </c>
      <c r="R423">
        <f t="shared" si="56"/>
        <v>16.329999999999998</v>
      </c>
      <c r="S423">
        <f t="shared" si="57"/>
        <v>1</v>
      </c>
      <c r="T423" t="str">
        <f t="shared" si="58"/>
        <v>Delayed</v>
      </c>
      <c r="U423" t="str">
        <f t="shared" si="59"/>
        <v>Medium</v>
      </c>
      <c r="V423" t="str">
        <f t="shared" si="60"/>
        <v>Low Risk</v>
      </c>
      <c r="W423" t="str">
        <f t="shared" si="61"/>
        <v>Jun</v>
      </c>
      <c r="X423">
        <f t="shared" si="62"/>
        <v>2025</v>
      </c>
    </row>
    <row r="424" spans="1:24" x14ac:dyDescent="0.35">
      <c r="A424" s="3">
        <v>45687</v>
      </c>
      <c r="B424" t="s">
        <v>76</v>
      </c>
      <c r="C424" t="s">
        <v>95</v>
      </c>
      <c r="D424" t="s">
        <v>570</v>
      </c>
      <c r="E424" t="s">
        <v>54</v>
      </c>
      <c r="F424" t="s">
        <v>41</v>
      </c>
      <c r="G424" t="s">
        <v>29</v>
      </c>
      <c r="H424">
        <v>79.7</v>
      </c>
      <c r="I424">
        <v>1056</v>
      </c>
      <c r="J424">
        <v>76</v>
      </c>
      <c r="K424">
        <v>16.399999999999999</v>
      </c>
      <c r="L424" t="s">
        <v>49</v>
      </c>
      <c r="M424">
        <v>45728.88</v>
      </c>
      <c r="N424">
        <v>15717</v>
      </c>
      <c r="O424" t="s">
        <v>59</v>
      </c>
      <c r="P424" t="str">
        <f t="shared" si="54"/>
        <v>Yes</v>
      </c>
      <c r="Q424">
        <f t="shared" si="55"/>
        <v>13.25</v>
      </c>
      <c r="R424">
        <f t="shared" si="56"/>
        <v>43.3</v>
      </c>
      <c r="S424">
        <f t="shared" si="57"/>
        <v>2.91</v>
      </c>
      <c r="T424" t="str">
        <f t="shared" si="58"/>
        <v>Delayed</v>
      </c>
      <c r="U424" t="str">
        <f t="shared" si="59"/>
        <v>High</v>
      </c>
      <c r="V424" t="str">
        <f t="shared" si="60"/>
        <v>High Risk</v>
      </c>
      <c r="W424" t="str">
        <f t="shared" si="61"/>
        <v>Jan</v>
      </c>
      <c r="X424">
        <f t="shared" si="62"/>
        <v>2025</v>
      </c>
    </row>
    <row r="425" spans="1:24" x14ac:dyDescent="0.35">
      <c r="A425" s="3">
        <v>45818</v>
      </c>
      <c r="B425" t="s">
        <v>463</v>
      </c>
      <c r="C425" t="s">
        <v>25</v>
      </c>
      <c r="D425" t="s">
        <v>571</v>
      </c>
      <c r="E425" t="s">
        <v>54</v>
      </c>
      <c r="F425" t="s">
        <v>27</v>
      </c>
      <c r="G425" t="s">
        <v>42</v>
      </c>
      <c r="H425">
        <v>47.7</v>
      </c>
      <c r="I425">
        <v>4413</v>
      </c>
      <c r="J425">
        <v>30</v>
      </c>
      <c r="K425">
        <v>16.5</v>
      </c>
      <c r="L425" t="s">
        <v>49</v>
      </c>
      <c r="M425">
        <v>28436.46</v>
      </c>
      <c r="N425">
        <v>12942</v>
      </c>
      <c r="O425" t="s">
        <v>44</v>
      </c>
      <c r="P425" t="str">
        <f t="shared" si="54"/>
        <v>Yes</v>
      </c>
      <c r="Q425">
        <f t="shared" si="55"/>
        <v>92.52</v>
      </c>
      <c r="R425">
        <f t="shared" si="56"/>
        <v>6.44</v>
      </c>
      <c r="S425">
        <f t="shared" si="57"/>
        <v>2.2000000000000002</v>
      </c>
      <c r="T425" t="str">
        <f t="shared" si="58"/>
        <v>Delayed</v>
      </c>
      <c r="U425" t="str">
        <f t="shared" si="59"/>
        <v>Medium</v>
      </c>
      <c r="V425" t="str">
        <f t="shared" si="60"/>
        <v>High Risk</v>
      </c>
      <c r="W425" t="str">
        <f t="shared" si="61"/>
        <v>Jun</v>
      </c>
      <c r="X425">
        <f t="shared" si="62"/>
        <v>2025</v>
      </c>
    </row>
    <row r="426" spans="1:24" x14ac:dyDescent="0.35">
      <c r="A426" s="3">
        <v>46010</v>
      </c>
      <c r="B426" t="s">
        <v>82</v>
      </c>
      <c r="C426" t="s">
        <v>25</v>
      </c>
      <c r="D426" t="s">
        <v>572</v>
      </c>
      <c r="E426" t="s">
        <v>27</v>
      </c>
      <c r="F426" t="s">
        <v>66</v>
      </c>
      <c r="G426" t="s">
        <v>35</v>
      </c>
      <c r="H426">
        <v>36.1</v>
      </c>
      <c r="I426">
        <v>2307</v>
      </c>
      <c r="J426">
        <v>38</v>
      </c>
      <c r="K426">
        <v>11.8</v>
      </c>
      <c r="L426" t="s">
        <v>43</v>
      </c>
      <c r="M426">
        <v>17700.39</v>
      </c>
      <c r="N426">
        <v>27469</v>
      </c>
      <c r="O426" t="s">
        <v>59</v>
      </c>
      <c r="P426" t="str">
        <f t="shared" si="54"/>
        <v>Yes</v>
      </c>
      <c r="Q426">
        <f t="shared" si="55"/>
        <v>63.91</v>
      </c>
      <c r="R426">
        <f t="shared" si="56"/>
        <v>7.67</v>
      </c>
      <c r="S426">
        <f t="shared" si="57"/>
        <v>0.64</v>
      </c>
      <c r="T426" t="str">
        <f t="shared" si="58"/>
        <v>Delayed</v>
      </c>
      <c r="U426" t="str">
        <f t="shared" si="59"/>
        <v>Low</v>
      </c>
      <c r="V426" t="str">
        <f t="shared" si="60"/>
        <v>Low Risk</v>
      </c>
      <c r="W426" t="str">
        <f t="shared" si="61"/>
        <v>Dec</v>
      </c>
      <c r="X426">
        <f t="shared" si="62"/>
        <v>2025</v>
      </c>
    </row>
    <row r="427" spans="1:24" x14ac:dyDescent="0.35">
      <c r="A427" s="3">
        <v>45977</v>
      </c>
      <c r="B427" t="s">
        <v>98</v>
      </c>
      <c r="C427" t="s">
        <v>39</v>
      </c>
      <c r="D427" t="s">
        <v>573</v>
      </c>
      <c r="E427" t="s">
        <v>27</v>
      </c>
      <c r="F427" t="s">
        <v>41</v>
      </c>
      <c r="G427" t="s">
        <v>29</v>
      </c>
      <c r="H427">
        <v>43.1</v>
      </c>
      <c r="I427">
        <v>3279</v>
      </c>
      <c r="J427">
        <v>67</v>
      </c>
      <c r="K427">
        <v>15.3</v>
      </c>
      <c r="L427" t="s">
        <v>49</v>
      </c>
      <c r="M427">
        <v>20515.11</v>
      </c>
      <c r="N427">
        <v>26026</v>
      </c>
      <c r="O427" t="s">
        <v>59</v>
      </c>
      <c r="P427" t="str">
        <f t="shared" si="54"/>
        <v>Yes</v>
      </c>
      <c r="Q427">
        <f t="shared" si="55"/>
        <v>76.08</v>
      </c>
      <c r="R427">
        <f t="shared" si="56"/>
        <v>6.26</v>
      </c>
      <c r="S427">
        <f t="shared" si="57"/>
        <v>0.79</v>
      </c>
      <c r="T427" t="str">
        <f t="shared" si="58"/>
        <v>Delayed</v>
      </c>
      <c r="U427" t="str">
        <f t="shared" si="59"/>
        <v>Medium</v>
      </c>
      <c r="V427" t="str">
        <f t="shared" si="60"/>
        <v>High Risk</v>
      </c>
      <c r="W427" t="str">
        <f t="shared" si="61"/>
        <v>Nov</v>
      </c>
      <c r="X427">
        <f t="shared" si="62"/>
        <v>2025</v>
      </c>
    </row>
    <row r="428" spans="1:24" x14ac:dyDescent="0.35">
      <c r="A428" s="3">
        <v>45923</v>
      </c>
      <c r="B428" t="s">
        <v>100</v>
      </c>
      <c r="C428" t="s">
        <v>25</v>
      </c>
      <c r="D428" t="s">
        <v>574</v>
      </c>
      <c r="E428" t="s">
        <v>27</v>
      </c>
      <c r="F428" t="s">
        <v>48</v>
      </c>
      <c r="G428" t="s">
        <v>29</v>
      </c>
      <c r="H428">
        <v>57.2</v>
      </c>
      <c r="I428">
        <v>982</v>
      </c>
      <c r="J428">
        <v>72</v>
      </c>
      <c r="K428">
        <v>19.7</v>
      </c>
      <c r="L428" t="s">
        <v>30</v>
      </c>
      <c r="M428">
        <v>34320.620000000003</v>
      </c>
      <c r="N428">
        <v>19130</v>
      </c>
      <c r="O428" t="s">
        <v>36</v>
      </c>
      <c r="P428" t="str">
        <f t="shared" si="54"/>
        <v>Yes</v>
      </c>
      <c r="Q428">
        <f t="shared" si="55"/>
        <v>17.170000000000002</v>
      </c>
      <c r="R428">
        <f t="shared" si="56"/>
        <v>34.950000000000003</v>
      </c>
      <c r="S428">
        <f t="shared" si="57"/>
        <v>1.79</v>
      </c>
      <c r="T428" t="str">
        <f t="shared" si="58"/>
        <v>Delayed</v>
      </c>
      <c r="U428" t="str">
        <f t="shared" si="59"/>
        <v>Medium</v>
      </c>
      <c r="V428" t="str">
        <f t="shared" si="60"/>
        <v>Medium Risk</v>
      </c>
      <c r="W428" t="str">
        <f t="shared" si="61"/>
        <v>Sep</v>
      </c>
      <c r="X428">
        <f t="shared" si="62"/>
        <v>2025</v>
      </c>
    </row>
    <row r="429" spans="1:24" x14ac:dyDescent="0.35">
      <c r="A429" s="3">
        <v>45716</v>
      </c>
      <c r="B429" t="s">
        <v>100</v>
      </c>
      <c r="C429" t="s">
        <v>130</v>
      </c>
      <c r="D429" t="s">
        <v>575</v>
      </c>
      <c r="E429" t="s">
        <v>48</v>
      </c>
      <c r="F429" t="s">
        <v>63</v>
      </c>
      <c r="G429" t="s">
        <v>29</v>
      </c>
      <c r="H429">
        <v>48.1</v>
      </c>
      <c r="I429">
        <v>2617</v>
      </c>
      <c r="J429">
        <v>61</v>
      </c>
      <c r="K429">
        <v>13.1</v>
      </c>
      <c r="L429" t="s">
        <v>43</v>
      </c>
      <c r="M429">
        <v>24843.35</v>
      </c>
      <c r="N429">
        <v>24531</v>
      </c>
      <c r="O429" t="s">
        <v>36</v>
      </c>
      <c r="P429" t="str">
        <f t="shared" si="54"/>
        <v>Yes</v>
      </c>
      <c r="Q429">
        <f t="shared" si="55"/>
        <v>54.41</v>
      </c>
      <c r="R429">
        <f t="shared" si="56"/>
        <v>9.49</v>
      </c>
      <c r="S429">
        <f t="shared" si="57"/>
        <v>1.01</v>
      </c>
      <c r="T429" t="str">
        <f t="shared" si="58"/>
        <v>Delayed</v>
      </c>
      <c r="U429" t="str">
        <f t="shared" si="59"/>
        <v>Medium</v>
      </c>
      <c r="V429" t="str">
        <f t="shared" si="60"/>
        <v>Low Risk</v>
      </c>
      <c r="W429" t="str">
        <f t="shared" si="61"/>
        <v>Feb</v>
      </c>
      <c r="X429">
        <f t="shared" si="62"/>
        <v>2025</v>
      </c>
    </row>
    <row r="430" spans="1:24" x14ac:dyDescent="0.35">
      <c r="A430" s="3">
        <v>45995</v>
      </c>
      <c r="B430" t="s">
        <v>139</v>
      </c>
      <c r="C430" t="s">
        <v>39</v>
      </c>
      <c r="D430" t="s">
        <v>576</v>
      </c>
      <c r="E430" t="s">
        <v>66</v>
      </c>
      <c r="F430" t="s">
        <v>27</v>
      </c>
      <c r="G430" t="s">
        <v>42</v>
      </c>
      <c r="H430">
        <v>52.9</v>
      </c>
      <c r="I430">
        <v>4868</v>
      </c>
      <c r="J430">
        <v>44</v>
      </c>
      <c r="K430">
        <v>19.8</v>
      </c>
      <c r="L430" t="s">
        <v>49</v>
      </c>
      <c r="M430">
        <v>32853.839999999997</v>
      </c>
      <c r="N430">
        <v>20053</v>
      </c>
      <c r="O430" t="s">
        <v>44</v>
      </c>
      <c r="P430" t="str">
        <f t="shared" si="54"/>
        <v>Yes</v>
      </c>
      <c r="Q430">
        <f t="shared" si="55"/>
        <v>92.02</v>
      </c>
      <c r="R430">
        <f t="shared" si="56"/>
        <v>6.75</v>
      </c>
      <c r="S430">
        <f t="shared" si="57"/>
        <v>1.64</v>
      </c>
      <c r="T430" t="str">
        <f t="shared" si="58"/>
        <v>Delayed</v>
      </c>
      <c r="U430" t="str">
        <f t="shared" si="59"/>
        <v>Medium</v>
      </c>
      <c r="V430" t="str">
        <f t="shared" si="60"/>
        <v>High Risk</v>
      </c>
      <c r="W430" t="str">
        <f t="shared" si="61"/>
        <v>Dec</v>
      </c>
      <c r="X430">
        <f t="shared" si="62"/>
        <v>2025</v>
      </c>
    </row>
    <row r="431" spans="1:24" x14ac:dyDescent="0.35">
      <c r="A431" s="3">
        <v>45990</v>
      </c>
      <c r="B431" t="s">
        <v>246</v>
      </c>
      <c r="C431" t="s">
        <v>52</v>
      </c>
      <c r="D431" t="s">
        <v>577</v>
      </c>
      <c r="E431" t="s">
        <v>66</v>
      </c>
      <c r="F431" t="s">
        <v>28</v>
      </c>
      <c r="G431" t="s">
        <v>29</v>
      </c>
      <c r="H431">
        <v>44.2</v>
      </c>
      <c r="I431">
        <v>1145</v>
      </c>
      <c r="J431">
        <v>55</v>
      </c>
      <c r="K431">
        <v>14.9</v>
      </c>
      <c r="L431" t="s">
        <v>30</v>
      </c>
      <c r="M431">
        <v>30433.25</v>
      </c>
      <c r="N431">
        <v>8425</v>
      </c>
      <c r="O431" t="s">
        <v>59</v>
      </c>
      <c r="P431" t="str">
        <f t="shared" si="54"/>
        <v>Yes</v>
      </c>
      <c r="Q431">
        <f t="shared" si="55"/>
        <v>25.9</v>
      </c>
      <c r="R431">
        <f t="shared" si="56"/>
        <v>26.58</v>
      </c>
      <c r="S431">
        <f t="shared" si="57"/>
        <v>3.61</v>
      </c>
      <c r="T431" t="str">
        <f t="shared" si="58"/>
        <v>Delayed</v>
      </c>
      <c r="U431" t="str">
        <f t="shared" si="59"/>
        <v>Medium</v>
      </c>
      <c r="V431" t="str">
        <f t="shared" si="60"/>
        <v>Medium Risk</v>
      </c>
      <c r="W431" t="str">
        <f t="shared" si="61"/>
        <v>Nov</v>
      </c>
      <c r="X431">
        <f t="shared" si="62"/>
        <v>2025</v>
      </c>
    </row>
    <row r="432" spans="1:24" x14ac:dyDescent="0.35">
      <c r="A432" s="3">
        <v>45982</v>
      </c>
      <c r="B432" t="s">
        <v>171</v>
      </c>
      <c r="C432" t="s">
        <v>95</v>
      </c>
      <c r="D432" t="s">
        <v>578</v>
      </c>
      <c r="E432" t="s">
        <v>48</v>
      </c>
      <c r="F432" t="s">
        <v>63</v>
      </c>
      <c r="G432" t="s">
        <v>71</v>
      </c>
      <c r="H432">
        <v>26.6</v>
      </c>
      <c r="I432">
        <v>4948</v>
      </c>
      <c r="J432">
        <v>112</v>
      </c>
      <c r="K432">
        <v>18.5</v>
      </c>
      <c r="L432" t="s">
        <v>30</v>
      </c>
      <c r="M432">
        <v>13983.85</v>
      </c>
      <c r="N432">
        <v>7404</v>
      </c>
      <c r="O432" t="s">
        <v>59</v>
      </c>
      <c r="P432" t="str">
        <f t="shared" si="54"/>
        <v>Yes</v>
      </c>
      <c r="Q432">
        <f t="shared" si="55"/>
        <v>186.02</v>
      </c>
      <c r="R432">
        <f t="shared" si="56"/>
        <v>2.83</v>
      </c>
      <c r="S432">
        <f t="shared" si="57"/>
        <v>1.89</v>
      </c>
      <c r="T432" t="str">
        <f t="shared" si="58"/>
        <v>Delayed</v>
      </c>
      <c r="U432" t="str">
        <f t="shared" si="59"/>
        <v>Low</v>
      </c>
      <c r="V432" t="str">
        <f t="shared" si="60"/>
        <v>Medium Risk</v>
      </c>
      <c r="W432" t="str">
        <f t="shared" si="61"/>
        <v>Nov</v>
      </c>
      <c r="X432">
        <f t="shared" si="62"/>
        <v>2025</v>
      </c>
    </row>
    <row r="433" spans="1:24" x14ac:dyDescent="0.35">
      <c r="A433" s="3">
        <v>45852</v>
      </c>
      <c r="B433" t="s">
        <v>311</v>
      </c>
      <c r="C433" t="s">
        <v>109</v>
      </c>
      <c r="D433" t="s">
        <v>579</v>
      </c>
      <c r="E433" t="s">
        <v>63</v>
      </c>
      <c r="F433" t="s">
        <v>41</v>
      </c>
      <c r="G433" t="s">
        <v>35</v>
      </c>
      <c r="H433">
        <v>37</v>
      </c>
      <c r="I433">
        <v>1535</v>
      </c>
      <c r="J433">
        <v>43</v>
      </c>
      <c r="K433">
        <v>11.7</v>
      </c>
      <c r="L433" t="s">
        <v>49</v>
      </c>
      <c r="M433">
        <v>17041.66</v>
      </c>
      <c r="N433">
        <v>13467</v>
      </c>
      <c r="O433" t="s">
        <v>84</v>
      </c>
      <c r="P433" t="str">
        <f t="shared" si="54"/>
        <v>Yes</v>
      </c>
      <c r="Q433">
        <f t="shared" si="55"/>
        <v>41.49</v>
      </c>
      <c r="R433">
        <f t="shared" si="56"/>
        <v>11.1</v>
      </c>
      <c r="S433">
        <f t="shared" si="57"/>
        <v>1.27</v>
      </c>
      <c r="T433" t="str">
        <f t="shared" si="58"/>
        <v>Delayed</v>
      </c>
      <c r="U433" t="str">
        <f t="shared" si="59"/>
        <v>Low</v>
      </c>
      <c r="V433" t="str">
        <f t="shared" si="60"/>
        <v>High Risk</v>
      </c>
      <c r="W433" t="str">
        <f t="shared" si="61"/>
        <v>Jul</v>
      </c>
      <c r="X433">
        <f t="shared" si="62"/>
        <v>2025</v>
      </c>
    </row>
    <row r="434" spans="1:24" x14ac:dyDescent="0.35">
      <c r="A434" s="3">
        <v>45896</v>
      </c>
      <c r="B434" t="s">
        <v>256</v>
      </c>
      <c r="C434" t="s">
        <v>130</v>
      </c>
      <c r="D434" t="s">
        <v>580</v>
      </c>
      <c r="E434" t="s">
        <v>63</v>
      </c>
      <c r="F434" t="s">
        <v>27</v>
      </c>
      <c r="G434" t="s">
        <v>42</v>
      </c>
      <c r="H434">
        <v>23.3</v>
      </c>
      <c r="I434">
        <v>2940</v>
      </c>
      <c r="J434">
        <v>66</v>
      </c>
      <c r="K434">
        <v>12.4</v>
      </c>
      <c r="L434" t="s">
        <v>78</v>
      </c>
      <c r="M434">
        <v>10612.58</v>
      </c>
      <c r="N434">
        <v>20673</v>
      </c>
      <c r="O434" t="s">
        <v>59</v>
      </c>
      <c r="P434" t="str">
        <f t="shared" si="54"/>
        <v>No</v>
      </c>
      <c r="Q434">
        <f t="shared" si="55"/>
        <v>126.18</v>
      </c>
      <c r="R434">
        <f t="shared" si="56"/>
        <v>3.61</v>
      </c>
      <c r="S434">
        <f t="shared" si="57"/>
        <v>0.51</v>
      </c>
      <c r="T434" t="str">
        <f t="shared" si="58"/>
        <v>On Time</v>
      </c>
      <c r="U434" t="str">
        <f t="shared" si="59"/>
        <v>Low</v>
      </c>
      <c r="V434" t="str">
        <f t="shared" si="60"/>
        <v>Low Risk</v>
      </c>
      <c r="W434" t="str">
        <f t="shared" si="61"/>
        <v>Aug</v>
      </c>
      <c r="X434">
        <f t="shared" si="62"/>
        <v>2025</v>
      </c>
    </row>
    <row r="435" spans="1:24" x14ac:dyDescent="0.35">
      <c r="A435" s="3">
        <v>45786</v>
      </c>
      <c r="B435" t="s">
        <v>317</v>
      </c>
      <c r="C435" t="s">
        <v>39</v>
      </c>
      <c r="D435" t="s">
        <v>581</v>
      </c>
      <c r="E435" t="s">
        <v>48</v>
      </c>
      <c r="F435" t="s">
        <v>55</v>
      </c>
      <c r="G435" t="s">
        <v>42</v>
      </c>
      <c r="H435">
        <v>37.200000000000003</v>
      </c>
      <c r="I435">
        <v>1935</v>
      </c>
      <c r="J435">
        <v>117</v>
      </c>
      <c r="K435">
        <v>11.5</v>
      </c>
      <c r="L435" t="s">
        <v>30</v>
      </c>
      <c r="M435">
        <v>20263.63</v>
      </c>
      <c r="N435">
        <v>21322</v>
      </c>
      <c r="O435" t="s">
        <v>31</v>
      </c>
      <c r="P435" t="str">
        <f t="shared" si="54"/>
        <v>Yes</v>
      </c>
      <c r="Q435">
        <f t="shared" si="55"/>
        <v>52.02</v>
      </c>
      <c r="R435">
        <f t="shared" si="56"/>
        <v>10.47</v>
      </c>
      <c r="S435">
        <f t="shared" si="57"/>
        <v>0.95</v>
      </c>
      <c r="T435" t="str">
        <f t="shared" si="58"/>
        <v>Delayed</v>
      </c>
      <c r="U435" t="str">
        <f t="shared" si="59"/>
        <v>Low</v>
      </c>
      <c r="V435" t="str">
        <f t="shared" si="60"/>
        <v>Medium Risk</v>
      </c>
      <c r="W435" t="str">
        <f t="shared" si="61"/>
        <v>May</v>
      </c>
      <c r="X435">
        <f t="shared" si="62"/>
        <v>2025</v>
      </c>
    </row>
    <row r="436" spans="1:24" x14ac:dyDescent="0.35">
      <c r="A436" s="3">
        <v>45658</v>
      </c>
      <c r="B436" t="s">
        <v>223</v>
      </c>
      <c r="C436" t="s">
        <v>57</v>
      </c>
      <c r="D436" t="s">
        <v>582</v>
      </c>
      <c r="E436" t="s">
        <v>28</v>
      </c>
      <c r="F436" t="s">
        <v>63</v>
      </c>
      <c r="G436" t="s">
        <v>29</v>
      </c>
      <c r="H436">
        <v>25.2</v>
      </c>
      <c r="I436">
        <v>2957</v>
      </c>
      <c r="J436">
        <v>35</v>
      </c>
      <c r="K436">
        <v>12.8</v>
      </c>
      <c r="L436" t="s">
        <v>30</v>
      </c>
      <c r="M436">
        <v>12847.75</v>
      </c>
      <c r="N436">
        <v>10956</v>
      </c>
      <c r="O436" t="s">
        <v>36</v>
      </c>
      <c r="P436" t="str">
        <f t="shared" si="54"/>
        <v>Yes</v>
      </c>
      <c r="Q436">
        <f t="shared" si="55"/>
        <v>117.34</v>
      </c>
      <c r="R436">
        <f t="shared" si="56"/>
        <v>4.34</v>
      </c>
      <c r="S436">
        <f t="shared" si="57"/>
        <v>1.17</v>
      </c>
      <c r="T436" t="str">
        <f t="shared" si="58"/>
        <v>Delayed</v>
      </c>
      <c r="U436" t="str">
        <f t="shared" si="59"/>
        <v>Low</v>
      </c>
      <c r="V436" t="str">
        <f t="shared" si="60"/>
        <v>Medium Risk</v>
      </c>
      <c r="W436" t="str">
        <f t="shared" si="61"/>
        <v>Jan</v>
      </c>
      <c r="X436">
        <f t="shared" si="62"/>
        <v>2025</v>
      </c>
    </row>
    <row r="437" spans="1:24" x14ac:dyDescent="0.35">
      <c r="A437" s="3">
        <v>45938</v>
      </c>
      <c r="B437" t="s">
        <v>139</v>
      </c>
      <c r="C437" t="s">
        <v>130</v>
      </c>
      <c r="D437" t="s">
        <v>583</v>
      </c>
      <c r="E437" t="s">
        <v>63</v>
      </c>
      <c r="F437" t="s">
        <v>48</v>
      </c>
      <c r="G437" t="s">
        <v>29</v>
      </c>
      <c r="H437">
        <v>54.4</v>
      </c>
      <c r="I437">
        <v>831</v>
      </c>
      <c r="J437">
        <v>43</v>
      </c>
      <c r="K437">
        <v>16.100000000000001</v>
      </c>
      <c r="L437" t="s">
        <v>49</v>
      </c>
      <c r="M437">
        <v>33889.31</v>
      </c>
      <c r="N437">
        <v>27697</v>
      </c>
      <c r="O437" t="s">
        <v>91</v>
      </c>
      <c r="P437" t="str">
        <f t="shared" si="54"/>
        <v>Yes</v>
      </c>
      <c r="Q437">
        <f t="shared" si="55"/>
        <v>15.28</v>
      </c>
      <c r="R437">
        <f t="shared" si="56"/>
        <v>40.78</v>
      </c>
      <c r="S437">
        <f t="shared" si="57"/>
        <v>1.22</v>
      </c>
      <c r="T437" t="str">
        <f t="shared" si="58"/>
        <v>Delayed</v>
      </c>
      <c r="U437" t="str">
        <f t="shared" si="59"/>
        <v>Medium</v>
      </c>
      <c r="V437" t="str">
        <f t="shared" si="60"/>
        <v>High Risk</v>
      </c>
      <c r="W437" t="str">
        <f t="shared" si="61"/>
        <v>Oct</v>
      </c>
      <c r="X437">
        <f t="shared" si="62"/>
        <v>2025</v>
      </c>
    </row>
    <row r="438" spans="1:24" x14ac:dyDescent="0.35">
      <c r="A438" s="3">
        <v>45872</v>
      </c>
      <c r="B438" t="s">
        <v>233</v>
      </c>
      <c r="C438" t="s">
        <v>69</v>
      </c>
      <c r="D438" t="s">
        <v>584</v>
      </c>
      <c r="E438" t="s">
        <v>55</v>
      </c>
      <c r="F438" t="s">
        <v>54</v>
      </c>
      <c r="G438" t="s">
        <v>42</v>
      </c>
      <c r="H438">
        <v>35.6</v>
      </c>
      <c r="I438">
        <v>4366</v>
      </c>
      <c r="J438">
        <v>51</v>
      </c>
      <c r="K438">
        <v>15.6</v>
      </c>
      <c r="L438" t="s">
        <v>78</v>
      </c>
      <c r="M438">
        <v>20482.98</v>
      </c>
      <c r="N438">
        <v>9191</v>
      </c>
      <c r="O438" t="s">
        <v>50</v>
      </c>
      <c r="P438" t="str">
        <f t="shared" si="54"/>
        <v>No</v>
      </c>
      <c r="Q438">
        <f t="shared" si="55"/>
        <v>122.64</v>
      </c>
      <c r="R438">
        <f t="shared" si="56"/>
        <v>4.6900000000000004</v>
      </c>
      <c r="S438">
        <f t="shared" si="57"/>
        <v>2.23</v>
      </c>
      <c r="T438" t="str">
        <f t="shared" si="58"/>
        <v>On Time</v>
      </c>
      <c r="U438" t="str">
        <f t="shared" si="59"/>
        <v>Low</v>
      </c>
      <c r="V438" t="str">
        <f t="shared" si="60"/>
        <v>Low Risk</v>
      </c>
      <c r="W438" t="str">
        <f t="shared" si="61"/>
        <v>Aug</v>
      </c>
      <c r="X438">
        <f t="shared" si="62"/>
        <v>2025</v>
      </c>
    </row>
    <row r="439" spans="1:24" x14ac:dyDescent="0.35">
      <c r="A439" s="3">
        <v>45987</v>
      </c>
      <c r="B439" t="s">
        <v>33</v>
      </c>
      <c r="C439" t="s">
        <v>39</v>
      </c>
      <c r="D439" t="s">
        <v>585</v>
      </c>
      <c r="E439" t="s">
        <v>41</v>
      </c>
      <c r="F439" t="s">
        <v>54</v>
      </c>
      <c r="G439" t="s">
        <v>29</v>
      </c>
      <c r="H439">
        <v>39.4</v>
      </c>
      <c r="I439">
        <v>1238</v>
      </c>
      <c r="J439">
        <v>26</v>
      </c>
      <c r="K439">
        <v>19.3</v>
      </c>
      <c r="L439" t="s">
        <v>49</v>
      </c>
      <c r="M439">
        <v>20140.72</v>
      </c>
      <c r="N439">
        <v>9236</v>
      </c>
      <c r="O439" t="s">
        <v>67</v>
      </c>
      <c r="P439" t="str">
        <f t="shared" si="54"/>
        <v>Yes</v>
      </c>
      <c r="Q439">
        <f t="shared" si="55"/>
        <v>31.42</v>
      </c>
      <c r="R439">
        <f t="shared" si="56"/>
        <v>16.27</v>
      </c>
      <c r="S439">
        <f t="shared" si="57"/>
        <v>2.1800000000000002</v>
      </c>
      <c r="T439" t="str">
        <f t="shared" si="58"/>
        <v>Delayed</v>
      </c>
      <c r="U439" t="str">
        <f t="shared" si="59"/>
        <v>Low</v>
      </c>
      <c r="V439" t="str">
        <f t="shared" si="60"/>
        <v>High Risk</v>
      </c>
      <c r="W439" t="str">
        <f t="shared" si="61"/>
        <v>Nov</v>
      </c>
      <c r="X439">
        <f t="shared" si="62"/>
        <v>2025</v>
      </c>
    </row>
    <row r="440" spans="1:24" x14ac:dyDescent="0.35">
      <c r="A440" s="3">
        <v>45784</v>
      </c>
      <c r="B440" t="s">
        <v>167</v>
      </c>
      <c r="C440" t="s">
        <v>69</v>
      </c>
      <c r="D440" t="s">
        <v>586</v>
      </c>
      <c r="E440" t="s">
        <v>27</v>
      </c>
      <c r="F440" t="s">
        <v>63</v>
      </c>
      <c r="G440" t="s">
        <v>71</v>
      </c>
      <c r="H440">
        <v>30.3</v>
      </c>
      <c r="I440">
        <v>2229</v>
      </c>
      <c r="J440">
        <v>33</v>
      </c>
      <c r="K440">
        <v>16.100000000000001</v>
      </c>
      <c r="L440" t="s">
        <v>43</v>
      </c>
      <c r="M440">
        <v>16224.66</v>
      </c>
      <c r="N440">
        <v>21042</v>
      </c>
      <c r="O440" t="s">
        <v>31</v>
      </c>
      <c r="P440" t="str">
        <f t="shared" si="54"/>
        <v>Yes</v>
      </c>
      <c r="Q440">
        <f t="shared" si="55"/>
        <v>73.56</v>
      </c>
      <c r="R440">
        <f t="shared" si="56"/>
        <v>7.28</v>
      </c>
      <c r="S440">
        <f t="shared" si="57"/>
        <v>0.77</v>
      </c>
      <c r="T440" t="str">
        <f t="shared" si="58"/>
        <v>Delayed</v>
      </c>
      <c r="U440" t="str">
        <f t="shared" si="59"/>
        <v>Low</v>
      </c>
      <c r="V440" t="str">
        <f t="shared" si="60"/>
        <v>Low Risk</v>
      </c>
      <c r="W440" t="str">
        <f t="shared" si="61"/>
        <v>May</v>
      </c>
      <c r="X440">
        <f t="shared" si="62"/>
        <v>2025</v>
      </c>
    </row>
    <row r="441" spans="1:24" x14ac:dyDescent="0.35">
      <c r="A441" s="3">
        <v>45670</v>
      </c>
      <c r="B441" t="s">
        <v>223</v>
      </c>
      <c r="C441" t="s">
        <v>52</v>
      </c>
      <c r="D441" t="s">
        <v>587</v>
      </c>
      <c r="E441" t="s">
        <v>27</v>
      </c>
      <c r="F441" t="s">
        <v>48</v>
      </c>
      <c r="G441" t="s">
        <v>35</v>
      </c>
      <c r="H441">
        <v>75.400000000000006</v>
      </c>
      <c r="I441">
        <v>3966</v>
      </c>
      <c r="J441">
        <v>115</v>
      </c>
      <c r="K441">
        <v>19.2</v>
      </c>
      <c r="L441" t="s">
        <v>78</v>
      </c>
      <c r="M441">
        <v>52045.62</v>
      </c>
      <c r="N441">
        <v>20790</v>
      </c>
      <c r="O441" t="s">
        <v>67</v>
      </c>
      <c r="P441" t="str">
        <f t="shared" si="54"/>
        <v>No</v>
      </c>
      <c r="Q441">
        <f t="shared" si="55"/>
        <v>52.6</v>
      </c>
      <c r="R441">
        <f t="shared" si="56"/>
        <v>13.12</v>
      </c>
      <c r="S441">
        <f t="shared" si="57"/>
        <v>2.5</v>
      </c>
      <c r="T441" t="str">
        <f t="shared" si="58"/>
        <v>On Time</v>
      </c>
      <c r="U441" t="str">
        <f t="shared" si="59"/>
        <v>High</v>
      </c>
      <c r="V441" t="str">
        <f t="shared" si="60"/>
        <v>Low Risk</v>
      </c>
      <c r="W441" t="str">
        <f t="shared" si="61"/>
        <v>Jan</v>
      </c>
      <c r="X441">
        <f t="shared" si="62"/>
        <v>2025</v>
      </c>
    </row>
    <row r="442" spans="1:24" x14ac:dyDescent="0.35">
      <c r="A442" s="3">
        <v>45766</v>
      </c>
      <c r="B442" t="s">
        <v>246</v>
      </c>
      <c r="C442" t="s">
        <v>39</v>
      </c>
      <c r="D442" t="s">
        <v>588</v>
      </c>
      <c r="E442" t="s">
        <v>55</v>
      </c>
      <c r="F442" t="s">
        <v>54</v>
      </c>
      <c r="G442" t="s">
        <v>35</v>
      </c>
      <c r="H442">
        <v>38.200000000000003</v>
      </c>
      <c r="I442">
        <v>1248</v>
      </c>
      <c r="J442">
        <v>79</v>
      </c>
      <c r="K442">
        <v>11</v>
      </c>
      <c r="L442" t="s">
        <v>49</v>
      </c>
      <c r="M442">
        <v>18614.63</v>
      </c>
      <c r="N442">
        <v>29317</v>
      </c>
      <c r="O442" t="s">
        <v>91</v>
      </c>
      <c r="P442" t="str">
        <f t="shared" si="54"/>
        <v>Yes</v>
      </c>
      <c r="Q442">
        <f t="shared" si="55"/>
        <v>32.67</v>
      </c>
      <c r="R442">
        <f t="shared" si="56"/>
        <v>14.92</v>
      </c>
      <c r="S442">
        <f t="shared" si="57"/>
        <v>0.63</v>
      </c>
      <c r="T442" t="str">
        <f t="shared" si="58"/>
        <v>Delayed</v>
      </c>
      <c r="U442" t="str">
        <f t="shared" si="59"/>
        <v>Low</v>
      </c>
      <c r="V442" t="str">
        <f t="shared" si="60"/>
        <v>High Risk</v>
      </c>
      <c r="W442" t="str">
        <f t="shared" si="61"/>
        <v>Apr</v>
      </c>
      <c r="X442">
        <f t="shared" si="62"/>
        <v>2025</v>
      </c>
    </row>
    <row r="443" spans="1:24" x14ac:dyDescent="0.35">
      <c r="A443" s="3">
        <v>45689</v>
      </c>
      <c r="B443" t="s">
        <v>157</v>
      </c>
      <c r="C443" t="s">
        <v>130</v>
      </c>
      <c r="D443" t="s">
        <v>589</v>
      </c>
      <c r="E443" t="s">
        <v>63</v>
      </c>
      <c r="F443" t="s">
        <v>66</v>
      </c>
      <c r="G443" t="s">
        <v>35</v>
      </c>
      <c r="H443">
        <v>68.2</v>
      </c>
      <c r="I443">
        <v>514</v>
      </c>
      <c r="J443">
        <v>66</v>
      </c>
      <c r="K443">
        <v>13.9</v>
      </c>
      <c r="L443" t="s">
        <v>30</v>
      </c>
      <c r="M443">
        <v>35348.480000000003</v>
      </c>
      <c r="N443">
        <v>11722</v>
      </c>
      <c r="O443" t="s">
        <v>36</v>
      </c>
      <c r="P443" t="str">
        <f t="shared" si="54"/>
        <v>Yes</v>
      </c>
      <c r="Q443">
        <f t="shared" si="55"/>
        <v>7.54</v>
      </c>
      <c r="R443">
        <f t="shared" si="56"/>
        <v>68.77</v>
      </c>
      <c r="S443">
        <f t="shared" si="57"/>
        <v>3.02</v>
      </c>
      <c r="T443" t="str">
        <f t="shared" si="58"/>
        <v>Delayed</v>
      </c>
      <c r="U443" t="str">
        <f t="shared" si="59"/>
        <v>High</v>
      </c>
      <c r="V443" t="str">
        <f t="shared" si="60"/>
        <v>Medium Risk</v>
      </c>
      <c r="W443" t="str">
        <f t="shared" si="61"/>
        <v>Feb</v>
      </c>
      <c r="X443">
        <f t="shared" si="62"/>
        <v>2025</v>
      </c>
    </row>
    <row r="444" spans="1:24" x14ac:dyDescent="0.35">
      <c r="A444" s="3">
        <v>45967</v>
      </c>
      <c r="B444" t="s">
        <v>275</v>
      </c>
      <c r="C444" t="s">
        <v>39</v>
      </c>
      <c r="D444" t="s">
        <v>590</v>
      </c>
      <c r="E444" t="s">
        <v>55</v>
      </c>
      <c r="F444" t="s">
        <v>28</v>
      </c>
      <c r="G444" t="s">
        <v>42</v>
      </c>
      <c r="H444">
        <v>46.2</v>
      </c>
      <c r="I444">
        <v>2839</v>
      </c>
      <c r="J444">
        <v>70</v>
      </c>
      <c r="K444">
        <v>20.6</v>
      </c>
      <c r="L444" t="s">
        <v>49</v>
      </c>
      <c r="M444">
        <v>25198.959999999999</v>
      </c>
      <c r="N444">
        <v>19496</v>
      </c>
      <c r="O444" t="s">
        <v>36</v>
      </c>
      <c r="P444" t="str">
        <f t="shared" si="54"/>
        <v>Yes</v>
      </c>
      <c r="Q444">
        <f t="shared" si="55"/>
        <v>61.45</v>
      </c>
      <c r="R444">
        <f t="shared" si="56"/>
        <v>8.8800000000000008</v>
      </c>
      <c r="S444">
        <f t="shared" si="57"/>
        <v>1.29</v>
      </c>
      <c r="T444" t="str">
        <f t="shared" si="58"/>
        <v>Delayed</v>
      </c>
      <c r="U444" t="str">
        <f t="shared" si="59"/>
        <v>Medium</v>
      </c>
      <c r="V444" t="str">
        <f t="shared" si="60"/>
        <v>High Risk</v>
      </c>
      <c r="W444" t="str">
        <f t="shared" si="61"/>
        <v>Nov</v>
      </c>
      <c r="X444">
        <f t="shared" si="62"/>
        <v>2025</v>
      </c>
    </row>
    <row r="445" spans="1:24" x14ac:dyDescent="0.35">
      <c r="A445" s="3">
        <v>45713</v>
      </c>
      <c r="B445" t="s">
        <v>171</v>
      </c>
      <c r="C445" t="s">
        <v>95</v>
      </c>
      <c r="D445" t="s">
        <v>591</v>
      </c>
      <c r="E445" t="s">
        <v>48</v>
      </c>
      <c r="F445" t="s">
        <v>55</v>
      </c>
      <c r="G445" t="s">
        <v>29</v>
      </c>
      <c r="H445">
        <v>42.7</v>
      </c>
      <c r="I445">
        <v>1862</v>
      </c>
      <c r="J445">
        <v>96</v>
      </c>
      <c r="K445">
        <v>11.9</v>
      </c>
      <c r="L445" t="s">
        <v>49</v>
      </c>
      <c r="M445">
        <v>23447.4</v>
      </c>
      <c r="N445">
        <v>11455</v>
      </c>
      <c r="O445" t="s">
        <v>84</v>
      </c>
      <c r="P445" t="str">
        <f t="shared" si="54"/>
        <v>Yes</v>
      </c>
      <c r="Q445">
        <f t="shared" si="55"/>
        <v>43.61</v>
      </c>
      <c r="R445">
        <f t="shared" si="56"/>
        <v>12.59</v>
      </c>
      <c r="S445">
        <f t="shared" si="57"/>
        <v>2.0499999999999998</v>
      </c>
      <c r="T445" t="str">
        <f t="shared" si="58"/>
        <v>Delayed</v>
      </c>
      <c r="U445" t="str">
        <f t="shared" si="59"/>
        <v>Medium</v>
      </c>
      <c r="V445" t="str">
        <f t="shared" si="60"/>
        <v>High Risk</v>
      </c>
      <c r="W445" t="str">
        <f t="shared" si="61"/>
        <v>Feb</v>
      </c>
      <c r="X445">
        <f t="shared" si="62"/>
        <v>2025</v>
      </c>
    </row>
    <row r="446" spans="1:24" x14ac:dyDescent="0.35">
      <c r="A446" s="3">
        <v>45920</v>
      </c>
      <c r="B446" t="s">
        <v>111</v>
      </c>
      <c r="C446" t="s">
        <v>95</v>
      </c>
      <c r="D446" t="s">
        <v>592</v>
      </c>
      <c r="E446" t="s">
        <v>66</v>
      </c>
      <c r="F446" t="s">
        <v>28</v>
      </c>
      <c r="G446" t="s">
        <v>35</v>
      </c>
      <c r="H446">
        <v>47.8</v>
      </c>
      <c r="I446">
        <v>2144</v>
      </c>
      <c r="J446">
        <v>76</v>
      </c>
      <c r="K446">
        <v>20.399999999999999</v>
      </c>
      <c r="L446" t="s">
        <v>30</v>
      </c>
      <c r="M446">
        <v>32629.85</v>
      </c>
      <c r="N446">
        <v>14215</v>
      </c>
      <c r="O446" t="s">
        <v>91</v>
      </c>
      <c r="P446" t="str">
        <f t="shared" si="54"/>
        <v>Yes</v>
      </c>
      <c r="Q446">
        <f t="shared" si="55"/>
        <v>44.85</v>
      </c>
      <c r="R446">
        <f t="shared" si="56"/>
        <v>15.22</v>
      </c>
      <c r="S446">
        <f t="shared" si="57"/>
        <v>2.2999999999999998</v>
      </c>
      <c r="T446" t="str">
        <f t="shared" si="58"/>
        <v>Delayed</v>
      </c>
      <c r="U446" t="str">
        <f t="shared" si="59"/>
        <v>Medium</v>
      </c>
      <c r="V446" t="str">
        <f t="shared" si="60"/>
        <v>Medium Risk</v>
      </c>
      <c r="W446" t="str">
        <f t="shared" si="61"/>
        <v>Sep</v>
      </c>
      <c r="X446">
        <f t="shared" si="62"/>
        <v>2025</v>
      </c>
    </row>
    <row r="447" spans="1:24" x14ac:dyDescent="0.35">
      <c r="A447" s="3">
        <v>45686</v>
      </c>
      <c r="B447" t="s">
        <v>246</v>
      </c>
      <c r="C447" t="s">
        <v>69</v>
      </c>
      <c r="D447" t="s">
        <v>593</v>
      </c>
      <c r="E447" t="s">
        <v>28</v>
      </c>
      <c r="F447" t="s">
        <v>55</v>
      </c>
      <c r="G447" t="s">
        <v>42</v>
      </c>
      <c r="H447">
        <v>73.2</v>
      </c>
      <c r="I447">
        <v>4179</v>
      </c>
      <c r="J447">
        <v>93</v>
      </c>
      <c r="K447">
        <v>18.100000000000001</v>
      </c>
      <c r="L447" t="s">
        <v>43</v>
      </c>
      <c r="M447">
        <v>45567.98</v>
      </c>
      <c r="N447">
        <v>17834</v>
      </c>
      <c r="O447" t="s">
        <v>31</v>
      </c>
      <c r="P447" t="str">
        <f t="shared" si="54"/>
        <v>Yes</v>
      </c>
      <c r="Q447">
        <f t="shared" si="55"/>
        <v>57.09</v>
      </c>
      <c r="R447">
        <f t="shared" si="56"/>
        <v>10.9</v>
      </c>
      <c r="S447">
        <f t="shared" si="57"/>
        <v>2.56</v>
      </c>
      <c r="T447" t="str">
        <f t="shared" si="58"/>
        <v>Delayed</v>
      </c>
      <c r="U447" t="str">
        <f t="shared" si="59"/>
        <v>High</v>
      </c>
      <c r="V447" t="str">
        <f t="shared" si="60"/>
        <v>Low Risk</v>
      </c>
      <c r="W447" t="str">
        <f t="shared" si="61"/>
        <v>Jan</v>
      </c>
      <c r="X447">
        <f t="shared" si="62"/>
        <v>2025</v>
      </c>
    </row>
    <row r="448" spans="1:24" x14ac:dyDescent="0.35">
      <c r="A448" s="3">
        <v>45737</v>
      </c>
      <c r="B448" t="s">
        <v>250</v>
      </c>
      <c r="C448" t="s">
        <v>130</v>
      </c>
      <c r="D448" t="s">
        <v>594</v>
      </c>
      <c r="E448" t="s">
        <v>55</v>
      </c>
      <c r="F448" t="s">
        <v>41</v>
      </c>
      <c r="G448" t="s">
        <v>42</v>
      </c>
      <c r="H448">
        <v>75.400000000000006</v>
      </c>
      <c r="I448">
        <v>4361</v>
      </c>
      <c r="J448">
        <v>85</v>
      </c>
      <c r="K448">
        <v>20.5</v>
      </c>
      <c r="L448" t="s">
        <v>30</v>
      </c>
      <c r="M448">
        <v>50105.67</v>
      </c>
      <c r="N448">
        <v>15464</v>
      </c>
      <c r="O448" t="s">
        <v>50</v>
      </c>
      <c r="P448" t="str">
        <f t="shared" si="54"/>
        <v>Yes</v>
      </c>
      <c r="Q448">
        <f t="shared" si="55"/>
        <v>57.84</v>
      </c>
      <c r="R448">
        <f t="shared" si="56"/>
        <v>11.49</v>
      </c>
      <c r="S448">
        <f t="shared" si="57"/>
        <v>3.24</v>
      </c>
      <c r="T448" t="str">
        <f t="shared" si="58"/>
        <v>Delayed</v>
      </c>
      <c r="U448" t="str">
        <f t="shared" si="59"/>
        <v>High</v>
      </c>
      <c r="V448" t="str">
        <f t="shared" si="60"/>
        <v>Medium Risk</v>
      </c>
      <c r="W448" t="str">
        <f t="shared" si="61"/>
        <v>Mar</v>
      </c>
      <c r="X448">
        <f t="shared" si="62"/>
        <v>2025</v>
      </c>
    </row>
    <row r="449" spans="1:24" x14ac:dyDescent="0.35">
      <c r="A449" s="3">
        <v>46012</v>
      </c>
      <c r="B449" t="s">
        <v>256</v>
      </c>
      <c r="C449" t="s">
        <v>25</v>
      </c>
      <c r="D449" t="s">
        <v>595</v>
      </c>
      <c r="E449" t="s">
        <v>55</v>
      </c>
      <c r="F449" t="s">
        <v>27</v>
      </c>
      <c r="G449" t="s">
        <v>29</v>
      </c>
      <c r="H449">
        <v>62.8</v>
      </c>
      <c r="I449">
        <v>1487</v>
      </c>
      <c r="J449">
        <v>46</v>
      </c>
      <c r="K449">
        <v>17.5</v>
      </c>
      <c r="L449" t="s">
        <v>43</v>
      </c>
      <c r="M449">
        <v>38609.64</v>
      </c>
      <c r="N449">
        <v>7381</v>
      </c>
      <c r="O449" t="s">
        <v>36</v>
      </c>
      <c r="P449" t="str">
        <f t="shared" si="54"/>
        <v>Yes</v>
      </c>
      <c r="Q449">
        <f t="shared" si="55"/>
        <v>23.68</v>
      </c>
      <c r="R449">
        <f t="shared" si="56"/>
        <v>25.96</v>
      </c>
      <c r="S449">
        <f t="shared" si="57"/>
        <v>5.23</v>
      </c>
      <c r="T449" t="str">
        <f t="shared" si="58"/>
        <v>Delayed</v>
      </c>
      <c r="U449" t="str">
        <f t="shared" si="59"/>
        <v>High</v>
      </c>
      <c r="V449" t="str">
        <f t="shared" si="60"/>
        <v>Low Risk</v>
      </c>
      <c r="W449" t="str">
        <f t="shared" si="61"/>
        <v>Dec</v>
      </c>
      <c r="X449">
        <f t="shared" si="62"/>
        <v>2025</v>
      </c>
    </row>
    <row r="450" spans="1:24" x14ac:dyDescent="0.35">
      <c r="A450" s="3">
        <v>45983</v>
      </c>
      <c r="B450" t="s">
        <v>190</v>
      </c>
      <c r="C450" t="s">
        <v>109</v>
      </c>
      <c r="D450" t="s">
        <v>596</v>
      </c>
      <c r="E450" t="s">
        <v>66</v>
      </c>
      <c r="F450" t="s">
        <v>54</v>
      </c>
      <c r="G450" t="s">
        <v>29</v>
      </c>
      <c r="H450">
        <v>68.400000000000006</v>
      </c>
      <c r="I450">
        <v>3967</v>
      </c>
      <c r="J450">
        <v>57</v>
      </c>
      <c r="K450">
        <v>16.7</v>
      </c>
      <c r="L450" t="s">
        <v>43</v>
      </c>
      <c r="M450">
        <v>39718.230000000003</v>
      </c>
      <c r="N450">
        <v>27518</v>
      </c>
      <c r="O450" t="s">
        <v>44</v>
      </c>
      <c r="P450" t="str">
        <f t="shared" ref="P450:P513" si="63">IF(OR(L450="Rain",L450="Fog",L450="Storm"),"Yes","No")</f>
        <v>Yes</v>
      </c>
      <c r="Q450">
        <f t="shared" ref="Q450:Q513" si="64">ROUND(I450/H450,2)</f>
        <v>58</v>
      </c>
      <c r="R450">
        <f t="shared" ref="R450:R513" si="65">ROUND(M450/I450,2)</f>
        <v>10.01</v>
      </c>
      <c r="S450">
        <f t="shared" ref="S450:S513" si="66">ROUND(M450/N450,2)</f>
        <v>1.44</v>
      </c>
      <c r="T450" t="str">
        <f t="shared" ref="T450:T513" si="67">IF(P450="Yes","Delayed","On Time")</f>
        <v>Delayed</v>
      </c>
      <c r="U450" t="str">
        <f t="shared" ref="U450:U513" si="68">IF(H450&gt;=60,"High",IF(H450&gt;=40,"Medium","Low"))</f>
        <v>High</v>
      </c>
      <c r="V450" t="str">
        <f t="shared" ref="V450:V513" si="69">IF(L450="Storm","High Risk",IF(L450="Rain","Medium Risk","Low Risk"))</f>
        <v>Low Risk</v>
      </c>
      <c r="W450" t="str">
        <f t="shared" ref="W450:W513" si="70">TEXT(A450,"mmm")</f>
        <v>Nov</v>
      </c>
      <c r="X450">
        <f t="shared" si="62"/>
        <v>2025</v>
      </c>
    </row>
    <row r="451" spans="1:24" x14ac:dyDescent="0.35">
      <c r="A451" s="3">
        <v>45962</v>
      </c>
      <c r="B451" t="s">
        <v>185</v>
      </c>
      <c r="C451" t="s">
        <v>95</v>
      </c>
      <c r="D451" t="s">
        <v>597</v>
      </c>
      <c r="E451" t="s">
        <v>54</v>
      </c>
      <c r="F451" t="s">
        <v>63</v>
      </c>
      <c r="G451" t="s">
        <v>71</v>
      </c>
      <c r="H451">
        <v>75.5</v>
      </c>
      <c r="I451">
        <v>4476</v>
      </c>
      <c r="J451">
        <v>91</v>
      </c>
      <c r="K451">
        <v>11.5</v>
      </c>
      <c r="L451" t="s">
        <v>30</v>
      </c>
      <c r="M451">
        <v>38502.32</v>
      </c>
      <c r="N451">
        <v>16514</v>
      </c>
      <c r="O451" t="s">
        <v>84</v>
      </c>
      <c r="P451" t="str">
        <f t="shared" si="63"/>
        <v>Yes</v>
      </c>
      <c r="Q451">
        <f t="shared" si="64"/>
        <v>59.28</v>
      </c>
      <c r="R451">
        <f t="shared" si="65"/>
        <v>8.6</v>
      </c>
      <c r="S451">
        <f t="shared" si="66"/>
        <v>2.33</v>
      </c>
      <c r="T451" t="str">
        <f t="shared" si="67"/>
        <v>Delayed</v>
      </c>
      <c r="U451" t="str">
        <f t="shared" si="68"/>
        <v>High</v>
      </c>
      <c r="V451" t="str">
        <f t="shared" si="69"/>
        <v>Medium Risk</v>
      </c>
      <c r="W451" t="str">
        <f t="shared" si="70"/>
        <v>Nov</v>
      </c>
      <c r="X451">
        <f t="shared" ref="X451:X514" si="71">YEAR(A451)</f>
        <v>2025</v>
      </c>
    </row>
    <row r="452" spans="1:24" x14ac:dyDescent="0.35">
      <c r="A452" s="3">
        <v>45869</v>
      </c>
      <c r="B452" t="s">
        <v>193</v>
      </c>
      <c r="C452" t="s">
        <v>69</v>
      </c>
      <c r="D452" t="s">
        <v>598</v>
      </c>
      <c r="E452" t="s">
        <v>27</v>
      </c>
      <c r="F452" t="s">
        <v>41</v>
      </c>
      <c r="G452" t="s">
        <v>29</v>
      </c>
      <c r="H452">
        <v>24</v>
      </c>
      <c r="I452">
        <v>4791</v>
      </c>
      <c r="J452">
        <v>67</v>
      </c>
      <c r="K452">
        <v>10.199999999999999</v>
      </c>
      <c r="L452" t="s">
        <v>43</v>
      </c>
      <c r="M452">
        <v>12411.23</v>
      </c>
      <c r="N452">
        <v>10445</v>
      </c>
      <c r="O452" t="s">
        <v>50</v>
      </c>
      <c r="P452" t="str">
        <f t="shared" si="63"/>
        <v>Yes</v>
      </c>
      <c r="Q452">
        <f t="shared" si="64"/>
        <v>199.63</v>
      </c>
      <c r="R452">
        <f t="shared" si="65"/>
        <v>2.59</v>
      </c>
      <c r="S452">
        <f t="shared" si="66"/>
        <v>1.19</v>
      </c>
      <c r="T452" t="str">
        <f t="shared" si="67"/>
        <v>Delayed</v>
      </c>
      <c r="U452" t="str">
        <f t="shared" si="68"/>
        <v>Low</v>
      </c>
      <c r="V452" t="str">
        <f t="shared" si="69"/>
        <v>Low Risk</v>
      </c>
      <c r="W452" t="str">
        <f t="shared" si="70"/>
        <v>Jul</v>
      </c>
      <c r="X452">
        <f t="shared" si="71"/>
        <v>2025</v>
      </c>
    </row>
    <row r="453" spans="1:24" x14ac:dyDescent="0.35">
      <c r="A453" s="3">
        <v>45689</v>
      </c>
      <c r="B453" t="s">
        <v>80</v>
      </c>
      <c r="C453" t="s">
        <v>57</v>
      </c>
      <c r="D453" t="s">
        <v>599</v>
      </c>
      <c r="E453" t="s">
        <v>27</v>
      </c>
      <c r="F453" t="s">
        <v>63</v>
      </c>
      <c r="G453" t="s">
        <v>29</v>
      </c>
      <c r="H453">
        <v>61</v>
      </c>
      <c r="I453">
        <v>803</v>
      </c>
      <c r="J453">
        <v>20</v>
      </c>
      <c r="K453">
        <v>19</v>
      </c>
      <c r="L453" t="s">
        <v>78</v>
      </c>
      <c r="M453">
        <v>37745.379999999997</v>
      </c>
      <c r="N453">
        <v>28065</v>
      </c>
      <c r="O453" t="s">
        <v>84</v>
      </c>
      <c r="P453" t="str">
        <f t="shared" si="63"/>
        <v>No</v>
      </c>
      <c r="Q453">
        <f t="shared" si="64"/>
        <v>13.16</v>
      </c>
      <c r="R453">
        <f t="shared" si="65"/>
        <v>47.01</v>
      </c>
      <c r="S453">
        <f t="shared" si="66"/>
        <v>1.34</v>
      </c>
      <c r="T453" t="str">
        <f t="shared" si="67"/>
        <v>On Time</v>
      </c>
      <c r="U453" t="str">
        <f t="shared" si="68"/>
        <v>High</v>
      </c>
      <c r="V453" t="str">
        <f t="shared" si="69"/>
        <v>Low Risk</v>
      </c>
      <c r="W453" t="str">
        <f t="shared" si="70"/>
        <v>Feb</v>
      </c>
      <c r="X453">
        <f t="shared" si="71"/>
        <v>2025</v>
      </c>
    </row>
    <row r="454" spans="1:24" x14ac:dyDescent="0.35">
      <c r="A454" s="3">
        <v>45742</v>
      </c>
      <c r="B454" t="s">
        <v>256</v>
      </c>
      <c r="C454" t="s">
        <v>69</v>
      </c>
      <c r="D454" t="s">
        <v>600</v>
      </c>
      <c r="E454" t="s">
        <v>55</v>
      </c>
      <c r="F454" t="s">
        <v>66</v>
      </c>
      <c r="G454" t="s">
        <v>35</v>
      </c>
      <c r="H454">
        <v>45.6</v>
      </c>
      <c r="I454">
        <v>1214</v>
      </c>
      <c r="J454">
        <v>87</v>
      </c>
      <c r="K454">
        <v>19.5</v>
      </c>
      <c r="L454" t="s">
        <v>78</v>
      </c>
      <c r="M454">
        <v>20580.71</v>
      </c>
      <c r="N454">
        <v>13239</v>
      </c>
      <c r="O454" t="s">
        <v>84</v>
      </c>
      <c r="P454" t="str">
        <f t="shared" si="63"/>
        <v>No</v>
      </c>
      <c r="Q454">
        <f t="shared" si="64"/>
        <v>26.62</v>
      </c>
      <c r="R454">
        <f t="shared" si="65"/>
        <v>16.95</v>
      </c>
      <c r="S454">
        <f t="shared" si="66"/>
        <v>1.55</v>
      </c>
      <c r="T454" t="str">
        <f t="shared" si="67"/>
        <v>On Time</v>
      </c>
      <c r="U454" t="str">
        <f t="shared" si="68"/>
        <v>Medium</v>
      </c>
      <c r="V454" t="str">
        <f t="shared" si="69"/>
        <v>Low Risk</v>
      </c>
      <c r="W454" t="str">
        <f t="shared" si="70"/>
        <v>Mar</v>
      </c>
      <c r="X454">
        <f t="shared" si="71"/>
        <v>2025</v>
      </c>
    </row>
    <row r="455" spans="1:24" x14ac:dyDescent="0.35">
      <c r="A455" s="3">
        <v>45660</v>
      </c>
      <c r="B455" t="s">
        <v>123</v>
      </c>
      <c r="C455" t="s">
        <v>39</v>
      </c>
      <c r="D455" t="s">
        <v>601</v>
      </c>
      <c r="E455" t="s">
        <v>55</v>
      </c>
      <c r="F455" t="s">
        <v>27</v>
      </c>
      <c r="G455" t="s">
        <v>35</v>
      </c>
      <c r="H455">
        <v>51.6</v>
      </c>
      <c r="I455">
        <v>1334</v>
      </c>
      <c r="J455">
        <v>30</v>
      </c>
      <c r="K455">
        <v>17.7</v>
      </c>
      <c r="L455" t="s">
        <v>49</v>
      </c>
      <c r="M455">
        <v>27342.19</v>
      </c>
      <c r="N455">
        <v>5681</v>
      </c>
      <c r="O455" t="s">
        <v>36</v>
      </c>
      <c r="P455" t="str">
        <f t="shared" si="63"/>
        <v>Yes</v>
      </c>
      <c r="Q455">
        <f t="shared" si="64"/>
        <v>25.85</v>
      </c>
      <c r="R455">
        <f t="shared" si="65"/>
        <v>20.5</v>
      </c>
      <c r="S455">
        <f t="shared" si="66"/>
        <v>4.8099999999999996</v>
      </c>
      <c r="T455" t="str">
        <f t="shared" si="67"/>
        <v>Delayed</v>
      </c>
      <c r="U455" t="str">
        <f t="shared" si="68"/>
        <v>Medium</v>
      </c>
      <c r="V455" t="str">
        <f t="shared" si="69"/>
        <v>High Risk</v>
      </c>
      <c r="W455" t="str">
        <f t="shared" si="70"/>
        <v>Jan</v>
      </c>
      <c r="X455">
        <f t="shared" si="71"/>
        <v>2025</v>
      </c>
    </row>
    <row r="456" spans="1:24" x14ac:dyDescent="0.35">
      <c r="A456" s="3">
        <v>45945</v>
      </c>
      <c r="B456" t="s">
        <v>210</v>
      </c>
      <c r="C456" t="s">
        <v>57</v>
      </c>
      <c r="D456" t="s">
        <v>602</v>
      </c>
      <c r="E456" t="s">
        <v>41</v>
      </c>
      <c r="F456" t="s">
        <v>66</v>
      </c>
      <c r="G456" t="s">
        <v>71</v>
      </c>
      <c r="H456">
        <v>66.099999999999994</v>
      </c>
      <c r="I456">
        <v>1718</v>
      </c>
      <c r="J456">
        <v>111</v>
      </c>
      <c r="K456">
        <v>21.1</v>
      </c>
      <c r="L456" t="s">
        <v>30</v>
      </c>
      <c r="M456">
        <v>37437.78</v>
      </c>
      <c r="N456">
        <v>13490</v>
      </c>
      <c r="O456" t="s">
        <v>50</v>
      </c>
      <c r="P456" t="str">
        <f t="shared" si="63"/>
        <v>Yes</v>
      </c>
      <c r="Q456">
        <f t="shared" si="64"/>
        <v>25.99</v>
      </c>
      <c r="R456">
        <f t="shared" si="65"/>
        <v>21.79</v>
      </c>
      <c r="S456">
        <f t="shared" si="66"/>
        <v>2.78</v>
      </c>
      <c r="T456" t="str">
        <f t="shared" si="67"/>
        <v>Delayed</v>
      </c>
      <c r="U456" t="str">
        <f t="shared" si="68"/>
        <v>High</v>
      </c>
      <c r="V456" t="str">
        <f t="shared" si="69"/>
        <v>Medium Risk</v>
      </c>
      <c r="W456" t="str">
        <f t="shared" si="70"/>
        <v>Oct</v>
      </c>
      <c r="X456">
        <f t="shared" si="71"/>
        <v>2025</v>
      </c>
    </row>
    <row r="457" spans="1:24" x14ac:dyDescent="0.35">
      <c r="A457" s="3">
        <v>45814</v>
      </c>
      <c r="B457" t="s">
        <v>152</v>
      </c>
      <c r="C457" t="s">
        <v>25</v>
      </c>
      <c r="D457" t="s">
        <v>603</v>
      </c>
      <c r="E457" t="s">
        <v>48</v>
      </c>
      <c r="F457" t="s">
        <v>28</v>
      </c>
      <c r="G457" t="s">
        <v>42</v>
      </c>
      <c r="H457">
        <v>22.5</v>
      </c>
      <c r="I457">
        <v>1429</v>
      </c>
      <c r="J457">
        <v>45</v>
      </c>
      <c r="K457">
        <v>18.2</v>
      </c>
      <c r="L457" t="s">
        <v>78</v>
      </c>
      <c r="M457">
        <v>11213.37</v>
      </c>
      <c r="N457">
        <v>28320</v>
      </c>
      <c r="O457" t="s">
        <v>84</v>
      </c>
      <c r="P457" t="str">
        <f t="shared" si="63"/>
        <v>No</v>
      </c>
      <c r="Q457">
        <f t="shared" si="64"/>
        <v>63.51</v>
      </c>
      <c r="R457">
        <f t="shared" si="65"/>
        <v>7.85</v>
      </c>
      <c r="S457">
        <f t="shared" si="66"/>
        <v>0.4</v>
      </c>
      <c r="T457" t="str">
        <f t="shared" si="67"/>
        <v>On Time</v>
      </c>
      <c r="U457" t="str">
        <f t="shared" si="68"/>
        <v>Low</v>
      </c>
      <c r="V457" t="str">
        <f t="shared" si="69"/>
        <v>Low Risk</v>
      </c>
      <c r="W457" t="str">
        <f t="shared" si="70"/>
        <v>Jun</v>
      </c>
      <c r="X457">
        <f t="shared" si="71"/>
        <v>2025</v>
      </c>
    </row>
    <row r="458" spans="1:24" x14ac:dyDescent="0.35">
      <c r="A458" s="3">
        <v>45903</v>
      </c>
      <c r="B458" t="s">
        <v>125</v>
      </c>
      <c r="C458" t="s">
        <v>39</v>
      </c>
      <c r="D458" t="s">
        <v>604</v>
      </c>
      <c r="E458" t="s">
        <v>27</v>
      </c>
      <c r="F458" t="s">
        <v>54</v>
      </c>
      <c r="G458" t="s">
        <v>29</v>
      </c>
      <c r="H458">
        <v>79</v>
      </c>
      <c r="I458">
        <v>4430</v>
      </c>
      <c r="J458">
        <v>20</v>
      </c>
      <c r="K458">
        <v>14.5</v>
      </c>
      <c r="L458" t="s">
        <v>78</v>
      </c>
      <c r="M458">
        <v>42362.81</v>
      </c>
      <c r="N458">
        <v>5097</v>
      </c>
      <c r="O458" t="s">
        <v>67</v>
      </c>
      <c r="P458" t="str">
        <f t="shared" si="63"/>
        <v>No</v>
      </c>
      <c r="Q458">
        <f t="shared" si="64"/>
        <v>56.08</v>
      </c>
      <c r="R458">
        <f t="shared" si="65"/>
        <v>9.56</v>
      </c>
      <c r="S458">
        <f t="shared" si="66"/>
        <v>8.31</v>
      </c>
      <c r="T458" t="str">
        <f t="shared" si="67"/>
        <v>On Time</v>
      </c>
      <c r="U458" t="str">
        <f t="shared" si="68"/>
        <v>High</v>
      </c>
      <c r="V458" t="str">
        <f t="shared" si="69"/>
        <v>Low Risk</v>
      </c>
      <c r="W458" t="str">
        <f t="shared" si="70"/>
        <v>Sep</v>
      </c>
      <c r="X458">
        <f t="shared" si="71"/>
        <v>2025</v>
      </c>
    </row>
    <row r="459" spans="1:24" x14ac:dyDescent="0.35">
      <c r="A459" s="3">
        <v>45937</v>
      </c>
      <c r="B459" t="s">
        <v>221</v>
      </c>
      <c r="C459" t="s">
        <v>25</v>
      </c>
      <c r="D459" t="s">
        <v>605</v>
      </c>
      <c r="E459" t="s">
        <v>63</v>
      </c>
      <c r="F459" t="s">
        <v>28</v>
      </c>
      <c r="G459" t="s">
        <v>29</v>
      </c>
      <c r="H459">
        <v>55.2</v>
      </c>
      <c r="I459">
        <v>3502</v>
      </c>
      <c r="J459">
        <v>21</v>
      </c>
      <c r="K459">
        <v>10.199999999999999</v>
      </c>
      <c r="L459" t="s">
        <v>43</v>
      </c>
      <c r="M459">
        <v>38257.08</v>
      </c>
      <c r="N459">
        <v>15882</v>
      </c>
      <c r="O459" t="s">
        <v>50</v>
      </c>
      <c r="P459" t="str">
        <f t="shared" si="63"/>
        <v>Yes</v>
      </c>
      <c r="Q459">
        <f t="shared" si="64"/>
        <v>63.44</v>
      </c>
      <c r="R459">
        <f t="shared" si="65"/>
        <v>10.92</v>
      </c>
      <c r="S459">
        <f t="shared" si="66"/>
        <v>2.41</v>
      </c>
      <c r="T459" t="str">
        <f t="shared" si="67"/>
        <v>Delayed</v>
      </c>
      <c r="U459" t="str">
        <f t="shared" si="68"/>
        <v>Medium</v>
      </c>
      <c r="V459" t="str">
        <f t="shared" si="69"/>
        <v>Low Risk</v>
      </c>
      <c r="W459" t="str">
        <f t="shared" si="70"/>
        <v>Oct</v>
      </c>
      <c r="X459">
        <f t="shared" si="71"/>
        <v>2025</v>
      </c>
    </row>
    <row r="460" spans="1:24" x14ac:dyDescent="0.35">
      <c r="A460" s="3">
        <v>45784</v>
      </c>
      <c r="B460" t="s">
        <v>188</v>
      </c>
      <c r="C460" t="s">
        <v>39</v>
      </c>
      <c r="D460" t="s">
        <v>606</v>
      </c>
      <c r="E460" t="s">
        <v>28</v>
      </c>
      <c r="F460" t="s">
        <v>55</v>
      </c>
      <c r="G460" t="s">
        <v>42</v>
      </c>
      <c r="H460">
        <v>23.3</v>
      </c>
      <c r="I460">
        <v>4738</v>
      </c>
      <c r="J460">
        <v>80</v>
      </c>
      <c r="K460">
        <v>18.3</v>
      </c>
      <c r="L460" t="s">
        <v>30</v>
      </c>
      <c r="M460">
        <v>13981.74</v>
      </c>
      <c r="N460">
        <v>27625</v>
      </c>
      <c r="O460" t="s">
        <v>84</v>
      </c>
      <c r="P460" t="str">
        <f t="shared" si="63"/>
        <v>Yes</v>
      </c>
      <c r="Q460">
        <f t="shared" si="64"/>
        <v>203.35</v>
      </c>
      <c r="R460">
        <f t="shared" si="65"/>
        <v>2.95</v>
      </c>
      <c r="S460">
        <f t="shared" si="66"/>
        <v>0.51</v>
      </c>
      <c r="T460" t="str">
        <f t="shared" si="67"/>
        <v>Delayed</v>
      </c>
      <c r="U460" t="str">
        <f t="shared" si="68"/>
        <v>Low</v>
      </c>
      <c r="V460" t="str">
        <f t="shared" si="69"/>
        <v>Medium Risk</v>
      </c>
      <c r="W460" t="str">
        <f t="shared" si="70"/>
        <v>May</v>
      </c>
      <c r="X460">
        <f t="shared" si="71"/>
        <v>2025</v>
      </c>
    </row>
    <row r="461" spans="1:24" x14ac:dyDescent="0.35">
      <c r="A461" s="3">
        <v>45942</v>
      </c>
      <c r="B461" t="s">
        <v>366</v>
      </c>
      <c r="C461" t="s">
        <v>39</v>
      </c>
      <c r="D461" t="s">
        <v>607</v>
      </c>
      <c r="E461" t="s">
        <v>55</v>
      </c>
      <c r="F461" t="s">
        <v>28</v>
      </c>
      <c r="G461" t="s">
        <v>42</v>
      </c>
      <c r="H461">
        <v>79.7</v>
      </c>
      <c r="I461">
        <v>1425</v>
      </c>
      <c r="J461">
        <v>62</v>
      </c>
      <c r="K461">
        <v>10.3</v>
      </c>
      <c r="L461" t="s">
        <v>78</v>
      </c>
      <c r="M461">
        <v>42648.29</v>
      </c>
      <c r="N461">
        <v>10144</v>
      </c>
      <c r="O461" t="s">
        <v>36</v>
      </c>
      <c r="P461" t="str">
        <f t="shared" si="63"/>
        <v>No</v>
      </c>
      <c r="Q461">
        <f t="shared" si="64"/>
        <v>17.88</v>
      </c>
      <c r="R461">
        <f t="shared" si="65"/>
        <v>29.93</v>
      </c>
      <c r="S461">
        <f t="shared" si="66"/>
        <v>4.2</v>
      </c>
      <c r="T461" t="str">
        <f t="shared" si="67"/>
        <v>On Time</v>
      </c>
      <c r="U461" t="str">
        <f t="shared" si="68"/>
        <v>High</v>
      </c>
      <c r="V461" t="str">
        <f t="shared" si="69"/>
        <v>Low Risk</v>
      </c>
      <c r="W461" t="str">
        <f t="shared" si="70"/>
        <v>Oct</v>
      </c>
      <c r="X461">
        <f t="shared" si="71"/>
        <v>2025</v>
      </c>
    </row>
    <row r="462" spans="1:24" x14ac:dyDescent="0.35">
      <c r="A462" s="3">
        <v>45914</v>
      </c>
      <c r="B462" t="s">
        <v>24</v>
      </c>
      <c r="C462" t="s">
        <v>52</v>
      </c>
      <c r="D462" t="s">
        <v>608</v>
      </c>
      <c r="E462" t="s">
        <v>55</v>
      </c>
      <c r="F462" t="s">
        <v>41</v>
      </c>
      <c r="G462" t="s">
        <v>42</v>
      </c>
      <c r="H462">
        <v>68.3</v>
      </c>
      <c r="I462">
        <v>2526</v>
      </c>
      <c r="J462">
        <v>63</v>
      </c>
      <c r="K462">
        <v>15.2</v>
      </c>
      <c r="L462" t="s">
        <v>43</v>
      </c>
      <c r="M462">
        <v>42641.49</v>
      </c>
      <c r="N462">
        <v>25169</v>
      </c>
      <c r="O462" t="s">
        <v>44</v>
      </c>
      <c r="P462" t="str">
        <f t="shared" si="63"/>
        <v>Yes</v>
      </c>
      <c r="Q462">
        <f t="shared" si="64"/>
        <v>36.979999999999997</v>
      </c>
      <c r="R462">
        <f t="shared" si="65"/>
        <v>16.88</v>
      </c>
      <c r="S462">
        <f t="shared" si="66"/>
        <v>1.69</v>
      </c>
      <c r="T462" t="str">
        <f t="shared" si="67"/>
        <v>Delayed</v>
      </c>
      <c r="U462" t="str">
        <f t="shared" si="68"/>
        <v>High</v>
      </c>
      <c r="V462" t="str">
        <f t="shared" si="69"/>
        <v>Low Risk</v>
      </c>
      <c r="W462" t="str">
        <f t="shared" si="70"/>
        <v>Sep</v>
      </c>
      <c r="X462">
        <f t="shared" si="71"/>
        <v>2025</v>
      </c>
    </row>
    <row r="463" spans="1:24" x14ac:dyDescent="0.35">
      <c r="A463" s="3">
        <v>45954</v>
      </c>
      <c r="B463" t="s">
        <v>120</v>
      </c>
      <c r="C463" t="s">
        <v>109</v>
      </c>
      <c r="D463" t="s">
        <v>609</v>
      </c>
      <c r="E463" t="s">
        <v>27</v>
      </c>
      <c r="F463" t="s">
        <v>54</v>
      </c>
      <c r="G463" t="s">
        <v>71</v>
      </c>
      <c r="H463">
        <v>28.6</v>
      </c>
      <c r="I463">
        <v>3347</v>
      </c>
      <c r="J463">
        <v>57</v>
      </c>
      <c r="K463">
        <v>13.8</v>
      </c>
      <c r="L463" t="s">
        <v>78</v>
      </c>
      <c r="M463">
        <v>17380.96</v>
      </c>
      <c r="N463">
        <v>11819</v>
      </c>
      <c r="O463" t="s">
        <v>67</v>
      </c>
      <c r="P463" t="str">
        <f t="shared" si="63"/>
        <v>No</v>
      </c>
      <c r="Q463">
        <f t="shared" si="64"/>
        <v>117.03</v>
      </c>
      <c r="R463">
        <f t="shared" si="65"/>
        <v>5.19</v>
      </c>
      <c r="S463">
        <f t="shared" si="66"/>
        <v>1.47</v>
      </c>
      <c r="T463" t="str">
        <f t="shared" si="67"/>
        <v>On Time</v>
      </c>
      <c r="U463" t="str">
        <f t="shared" si="68"/>
        <v>Low</v>
      </c>
      <c r="V463" t="str">
        <f t="shared" si="69"/>
        <v>Low Risk</v>
      </c>
      <c r="W463" t="str">
        <f t="shared" si="70"/>
        <v>Oct</v>
      </c>
      <c r="X463">
        <f t="shared" si="71"/>
        <v>2025</v>
      </c>
    </row>
    <row r="464" spans="1:24" x14ac:dyDescent="0.35">
      <c r="A464" s="3">
        <v>45969</v>
      </c>
      <c r="B464" t="s">
        <v>221</v>
      </c>
      <c r="C464" t="s">
        <v>130</v>
      </c>
      <c r="D464" t="s">
        <v>610</v>
      </c>
      <c r="E464" t="s">
        <v>63</v>
      </c>
      <c r="F464" t="s">
        <v>27</v>
      </c>
      <c r="G464" t="s">
        <v>42</v>
      </c>
      <c r="H464">
        <v>71.5</v>
      </c>
      <c r="I464">
        <v>1827</v>
      </c>
      <c r="J464">
        <v>46</v>
      </c>
      <c r="K464">
        <v>13.6</v>
      </c>
      <c r="L464" t="s">
        <v>78</v>
      </c>
      <c r="M464">
        <v>42161.65</v>
      </c>
      <c r="N464">
        <v>24840</v>
      </c>
      <c r="O464" t="s">
        <v>84</v>
      </c>
      <c r="P464" t="str">
        <f t="shared" si="63"/>
        <v>No</v>
      </c>
      <c r="Q464">
        <f t="shared" si="64"/>
        <v>25.55</v>
      </c>
      <c r="R464">
        <f t="shared" si="65"/>
        <v>23.08</v>
      </c>
      <c r="S464">
        <f t="shared" si="66"/>
        <v>1.7</v>
      </c>
      <c r="T464" t="str">
        <f t="shared" si="67"/>
        <v>On Time</v>
      </c>
      <c r="U464" t="str">
        <f t="shared" si="68"/>
        <v>High</v>
      </c>
      <c r="V464" t="str">
        <f t="shared" si="69"/>
        <v>Low Risk</v>
      </c>
      <c r="W464" t="str">
        <f t="shared" si="70"/>
        <v>Nov</v>
      </c>
      <c r="X464">
        <f t="shared" si="71"/>
        <v>2025</v>
      </c>
    </row>
    <row r="465" spans="1:24" x14ac:dyDescent="0.35">
      <c r="A465" s="3">
        <v>45988</v>
      </c>
      <c r="B465" t="s">
        <v>125</v>
      </c>
      <c r="C465" t="s">
        <v>109</v>
      </c>
      <c r="D465" t="s">
        <v>611</v>
      </c>
      <c r="E465" t="s">
        <v>41</v>
      </c>
      <c r="F465" t="s">
        <v>48</v>
      </c>
      <c r="G465" t="s">
        <v>35</v>
      </c>
      <c r="H465">
        <v>73.900000000000006</v>
      </c>
      <c r="I465">
        <v>2309</v>
      </c>
      <c r="J465">
        <v>81</v>
      </c>
      <c r="K465">
        <v>16.5</v>
      </c>
      <c r="L465" t="s">
        <v>30</v>
      </c>
      <c r="M465">
        <v>46981.47</v>
      </c>
      <c r="N465">
        <v>19787</v>
      </c>
      <c r="O465" t="s">
        <v>31</v>
      </c>
      <c r="P465" t="str">
        <f t="shared" si="63"/>
        <v>Yes</v>
      </c>
      <c r="Q465">
        <f t="shared" si="64"/>
        <v>31.24</v>
      </c>
      <c r="R465">
        <f t="shared" si="65"/>
        <v>20.350000000000001</v>
      </c>
      <c r="S465">
        <f t="shared" si="66"/>
        <v>2.37</v>
      </c>
      <c r="T465" t="str">
        <f t="shared" si="67"/>
        <v>Delayed</v>
      </c>
      <c r="U465" t="str">
        <f t="shared" si="68"/>
        <v>High</v>
      </c>
      <c r="V465" t="str">
        <f t="shared" si="69"/>
        <v>Medium Risk</v>
      </c>
      <c r="W465" t="str">
        <f t="shared" si="70"/>
        <v>Nov</v>
      </c>
      <c r="X465">
        <f t="shared" si="71"/>
        <v>2025</v>
      </c>
    </row>
    <row r="466" spans="1:24" x14ac:dyDescent="0.35">
      <c r="A466" s="3">
        <v>45990</v>
      </c>
      <c r="B466" t="s">
        <v>76</v>
      </c>
      <c r="C466" t="s">
        <v>109</v>
      </c>
      <c r="D466" t="s">
        <v>612</v>
      </c>
      <c r="E466" t="s">
        <v>63</v>
      </c>
      <c r="F466" t="s">
        <v>66</v>
      </c>
      <c r="G466" t="s">
        <v>42</v>
      </c>
      <c r="H466">
        <v>44.2</v>
      </c>
      <c r="I466">
        <v>821</v>
      </c>
      <c r="J466">
        <v>74</v>
      </c>
      <c r="K466">
        <v>21.3</v>
      </c>
      <c r="L466" t="s">
        <v>49</v>
      </c>
      <c r="M466">
        <v>30421.17</v>
      </c>
      <c r="N466">
        <v>6228</v>
      </c>
      <c r="O466" t="s">
        <v>36</v>
      </c>
      <c r="P466" t="str">
        <f t="shared" si="63"/>
        <v>Yes</v>
      </c>
      <c r="Q466">
        <f t="shared" si="64"/>
        <v>18.57</v>
      </c>
      <c r="R466">
        <f t="shared" si="65"/>
        <v>37.049999999999997</v>
      </c>
      <c r="S466">
        <f t="shared" si="66"/>
        <v>4.88</v>
      </c>
      <c r="T466" t="str">
        <f t="shared" si="67"/>
        <v>Delayed</v>
      </c>
      <c r="U466" t="str">
        <f t="shared" si="68"/>
        <v>Medium</v>
      </c>
      <c r="V466" t="str">
        <f t="shared" si="69"/>
        <v>High Risk</v>
      </c>
      <c r="W466" t="str">
        <f t="shared" si="70"/>
        <v>Nov</v>
      </c>
      <c r="X466">
        <f t="shared" si="71"/>
        <v>2025</v>
      </c>
    </row>
    <row r="467" spans="1:24" x14ac:dyDescent="0.35">
      <c r="A467" s="3">
        <v>45955</v>
      </c>
      <c r="B467" t="s">
        <v>68</v>
      </c>
      <c r="C467" t="s">
        <v>95</v>
      </c>
      <c r="D467" t="s">
        <v>613</v>
      </c>
      <c r="E467" t="s">
        <v>63</v>
      </c>
      <c r="F467" t="s">
        <v>41</v>
      </c>
      <c r="G467" t="s">
        <v>35</v>
      </c>
      <c r="H467">
        <v>21</v>
      </c>
      <c r="I467">
        <v>3427</v>
      </c>
      <c r="J467">
        <v>35</v>
      </c>
      <c r="K467">
        <v>20.7</v>
      </c>
      <c r="L467" t="s">
        <v>43</v>
      </c>
      <c r="M467">
        <v>11220.84</v>
      </c>
      <c r="N467">
        <v>11489</v>
      </c>
      <c r="O467" t="s">
        <v>44</v>
      </c>
      <c r="P467" t="str">
        <f t="shared" si="63"/>
        <v>Yes</v>
      </c>
      <c r="Q467">
        <f t="shared" si="64"/>
        <v>163.19</v>
      </c>
      <c r="R467">
        <f t="shared" si="65"/>
        <v>3.27</v>
      </c>
      <c r="S467">
        <f t="shared" si="66"/>
        <v>0.98</v>
      </c>
      <c r="T467" t="str">
        <f t="shared" si="67"/>
        <v>Delayed</v>
      </c>
      <c r="U467" t="str">
        <f t="shared" si="68"/>
        <v>Low</v>
      </c>
      <c r="V467" t="str">
        <f t="shared" si="69"/>
        <v>Low Risk</v>
      </c>
      <c r="W467" t="str">
        <f t="shared" si="70"/>
        <v>Oct</v>
      </c>
      <c r="X467">
        <f t="shared" si="71"/>
        <v>2025</v>
      </c>
    </row>
    <row r="468" spans="1:24" x14ac:dyDescent="0.35">
      <c r="A468" s="3">
        <v>45812</v>
      </c>
      <c r="B468" t="s">
        <v>236</v>
      </c>
      <c r="C468" t="s">
        <v>52</v>
      </c>
      <c r="D468" t="s">
        <v>614</v>
      </c>
      <c r="E468" t="s">
        <v>28</v>
      </c>
      <c r="F468" t="s">
        <v>27</v>
      </c>
      <c r="G468" t="s">
        <v>42</v>
      </c>
      <c r="H468">
        <v>73.3</v>
      </c>
      <c r="I468">
        <v>3977</v>
      </c>
      <c r="J468">
        <v>68</v>
      </c>
      <c r="K468">
        <v>15.4</v>
      </c>
      <c r="L468" t="s">
        <v>49</v>
      </c>
      <c r="M468">
        <v>51119.14</v>
      </c>
      <c r="N468">
        <v>26993</v>
      </c>
      <c r="O468" t="s">
        <v>36</v>
      </c>
      <c r="P468" t="str">
        <f t="shared" si="63"/>
        <v>Yes</v>
      </c>
      <c r="Q468">
        <f t="shared" si="64"/>
        <v>54.26</v>
      </c>
      <c r="R468">
        <f t="shared" si="65"/>
        <v>12.85</v>
      </c>
      <c r="S468">
        <f t="shared" si="66"/>
        <v>1.89</v>
      </c>
      <c r="T468" t="str">
        <f t="shared" si="67"/>
        <v>Delayed</v>
      </c>
      <c r="U468" t="str">
        <f t="shared" si="68"/>
        <v>High</v>
      </c>
      <c r="V468" t="str">
        <f t="shared" si="69"/>
        <v>High Risk</v>
      </c>
      <c r="W468" t="str">
        <f t="shared" si="70"/>
        <v>Jun</v>
      </c>
      <c r="X468">
        <f t="shared" si="71"/>
        <v>2025</v>
      </c>
    </row>
    <row r="469" spans="1:24" x14ac:dyDescent="0.35">
      <c r="A469" s="3">
        <v>45864</v>
      </c>
      <c r="B469" t="s">
        <v>108</v>
      </c>
      <c r="C469" t="s">
        <v>95</v>
      </c>
      <c r="D469" t="s">
        <v>615</v>
      </c>
      <c r="E469" t="s">
        <v>66</v>
      </c>
      <c r="F469" t="s">
        <v>55</v>
      </c>
      <c r="G469" t="s">
        <v>29</v>
      </c>
      <c r="H469">
        <v>67.900000000000006</v>
      </c>
      <c r="I469">
        <v>2836</v>
      </c>
      <c r="J469">
        <v>30</v>
      </c>
      <c r="K469">
        <v>18</v>
      </c>
      <c r="L469" t="s">
        <v>43</v>
      </c>
      <c r="M469">
        <v>40476.49</v>
      </c>
      <c r="N469">
        <v>29454</v>
      </c>
      <c r="O469" t="s">
        <v>44</v>
      </c>
      <c r="P469" t="str">
        <f t="shared" si="63"/>
        <v>Yes</v>
      </c>
      <c r="Q469">
        <f t="shared" si="64"/>
        <v>41.77</v>
      </c>
      <c r="R469">
        <f t="shared" si="65"/>
        <v>14.27</v>
      </c>
      <c r="S469">
        <f t="shared" si="66"/>
        <v>1.37</v>
      </c>
      <c r="T469" t="str">
        <f t="shared" si="67"/>
        <v>Delayed</v>
      </c>
      <c r="U469" t="str">
        <f t="shared" si="68"/>
        <v>High</v>
      </c>
      <c r="V469" t="str">
        <f t="shared" si="69"/>
        <v>Low Risk</v>
      </c>
      <c r="W469" t="str">
        <f t="shared" si="70"/>
        <v>Jul</v>
      </c>
      <c r="X469">
        <f t="shared" si="71"/>
        <v>2025</v>
      </c>
    </row>
    <row r="470" spans="1:24" x14ac:dyDescent="0.35">
      <c r="A470" s="3">
        <v>45861</v>
      </c>
      <c r="B470" t="s">
        <v>136</v>
      </c>
      <c r="C470" t="s">
        <v>69</v>
      </c>
      <c r="D470" t="s">
        <v>616</v>
      </c>
      <c r="E470" t="s">
        <v>28</v>
      </c>
      <c r="F470" t="s">
        <v>55</v>
      </c>
      <c r="G470" t="s">
        <v>42</v>
      </c>
      <c r="H470">
        <v>39.799999999999997</v>
      </c>
      <c r="I470">
        <v>1179</v>
      </c>
      <c r="J470">
        <v>100</v>
      </c>
      <c r="K470">
        <v>15.9</v>
      </c>
      <c r="L470" t="s">
        <v>78</v>
      </c>
      <c r="M470">
        <v>21257.86</v>
      </c>
      <c r="N470">
        <v>13958</v>
      </c>
      <c r="O470" t="s">
        <v>84</v>
      </c>
      <c r="P470" t="str">
        <f t="shared" si="63"/>
        <v>No</v>
      </c>
      <c r="Q470">
        <f t="shared" si="64"/>
        <v>29.62</v>
      </c>
      <c r="R470">
        <f t="shared" si="65"/>
        <v>18.03</v>
      </c>
      <c r="S470">
        <f t="shared" si="66"/>
        <v>1.52</v>
      </c>
      <c r="T470" t="str">
        <f t="shared" si="67"/>
        <v>On Time</v>
      </c>
      <c r="U470" t="str">
        <f t="shared" si="68"/>
        <v>Low</v>
      </c>
      <c r="V470" t="str">
        <f t="shared" si="69"/>
        <v>Low Risk</v>
      </c>
      <c r="W470" t="str">
        <f t="shared" si="70"/>
        <v>Jul</v>
      </c>
      <c r="X470">
        <f t="shared" si="71"/>
        <v>2025</v>
      </c>
    </row>
    <row r="471" spans="1:24" x14ac:dyDescent="0.35">
      <c r="A471" s="3">
        <v>45718</v>
      </c>
      <c r="B471" t="s">
        <v>167</v>
      </c>
      <c r="C471" t="s">
        <v>25</v>
      </c>
      <c r="D471" t="s">
        <v>617</v>
      </c>
      <c r="E471" t="s">
        <v>48</v>
      </c>
      <c r="F471" t="s">
        <v>54</v>
      </c>
      <c r="G471" t="s">
        <v>71</v>
      </c>
      <c r="H471">
        <v>70</v>
      </c>
      <c r="I471">
        <v>2312</v>
      </c>
      <c r="J471">
        <v>37</v>
      </c>
      <c r="K471">
        <v>16.899999999999999</v>
      </c>
      <c r="L471" t="s">
        <v>30</v>
      </c>
      <c r="M471">
        <v>33456.29</v>
      </c>
      <c r="N471">
        <v>29288</v>
      </c>
      <c r="O471" t="s">
        <v>44</v>
      </c>
      <c r="P471" t="str">
        <f t="shared" si="63"/>
        <v>Yes</v>
      </c>
      <c r="Q471">
        <f t="shared" si="64"/>
        <v>33.03</v>
      </c>
      <c r="R471">
        <f t="shared" si="65"/>
        <v>14.47</v>
      </c>
      <c r="S471">
        <f t="shared" si="66"/>
        <v>1.1399999999999999</v>
      </c>
      <c r="T471" t="str">
        <f t="shared" si="67"/>
        <v>Delayed</v>
      </c>
      <c r="U471" t="str">
        <f t="shared" si="68"/>
        <v>High</v>
      </c>
      <c r="V471" t="str">
        <f t="shared" si="69"/>
        <v>Medium Risk</v>
      </c>
      <c r="W471" t="str">
        <f t="shared" si="70"/>
        <v>Mar</v>
      </c>
      <c r="X471">
        <f t="shared" si="71"/>
        <v>2025</v>
      </c>
    </row>
    <row r="472" spans="1:24" x14ac:dyDescent="0.35">
      <c r="A472" s="3">
        <v>45934</v>
      </c>
      <c r="B472" t="s">
        <v>98</v>
      </c>
      <c r="C472" t="s">
        <v>130</v>
      </c>
      <c r="D472" t="s">
        <v>618</v>
      </c>
      <c r="E472" t="s">
        <v>66</v>
      </c>
      <c r="F472" t="s">
        <v>63</v>
      </c>
      <c r="G472" t="s">
        <v>71</v>
      </c>
      <c r="H472">
        <v>31.5</v>
      </c>
      <c r="I472">
        <v>3250</v>
      </c>
      <c r="J472">
        <v>20</v>
      </c>
      <c r="K472">
        <v>15.9</v>
      </c>
      <c r="L472" t="s">
        <v>43</v>
      </c>
      <c r="M472">
        <v>15181.75</v>
      </c>
      <c r="N472">
        <v>6307</v>
      </c>
      <c r="O472" t="s">
        <v>59</v>
      </c>
      <c r="P472" t="str">
        <f t="shared" si="63"/>
        <v>Yes</v>
      </c>
      <c r="Q472">
        <f t="shared" si="64"/>
        <v>103.17</v>
      </c>
      <c r="R472">
        <f t="shared" si="65"/>
        <v>4.67</v>
      </c>
      <c r="S472">
        <f t="shared" si="66"/>
        <v>2.41</v>
      </c>
      <c r="T472" t="str">
        <f t="shared" si="67"/>
        <v>Delayed</v>
      </c>
      <c r="U472" t="str">
        <f t="shared" si="68"/>
        <v>Low</v>
      </c>
      <c r="V472" t="str">
        <f t="shared" si="69"/>
        <v>Low Risk</v>
      </c>
      <c r="W472" t="str">
        <f t="shared" si="70"/>
        <v>Oct</v>
      </c>
      <c r="X472">
        <f t="shared" si="71"/>
        <v>2025</v>
      </c>
    </row>
    <row r="473" spans="1:24" x14ac:dyDescent="0.35">
      <c r="A473" s="3">
        <v>45974</v>
      </c>
      <c r="B473" t="s">
        <v>73</v>
      </c>
      <c r="C473" t="s">
        <v>109</v>
      </c>
      <c r="D473" t="s">
        <v>619</v>
      </c>
      <c r="E473" t="s">
        <v>55</v>
      </c>
      <c r="F473" t="s">
        <v>63</v>
      </c>
      <c r="G473" t="s">
        <v>35</v>
      </c>
      <c r="H473">
        <v>64.8</v>
      </c>
      <c r="I473">
        <v>2302</v>
      </c>
      <c r="J473">
        <v>33</v>
      </c>
      <c r="K473">
        <v>19.8</v>
      </c>
      <c r="L473" t="s">
        <v>78</v>
      </c>
      <c r="M473">
        <v>32014.639999999999</v>
      </c>
      <c r="N473">
        <v>15677</v>
      </c>
      <c r="O473" t="s">
        <v>91</v>
      </c>
      <c r="P473" t="str">
        <f t="shared" si="63"/>
        <v>No</v>
      </c>
      <c r="Q473">
        <f t="shared" si="64"/>
        <v>35.520000000000003</v>
      </c>
      <c r="R473">
        <f t="shared" si="65"/>
        <v>13.91</v>
      </c>
      <c r="S473">
        <f t="shared" si="66"/>
        <v>2.04</v>
      </c>
      <c r="T473" t="str">
        <f t="shared" si="67"/>
        <v>On Time</v>
      </c>
      <c r="U473" t="str">
        <f t="shared" si="68"/>
        <v>High</v>
      </c>
      <c r="V473" t="str">
        <f t="shared" si="69"/>
        <v>Low Risk</v>
      </c>
      <c r="W473" t="str">
        <f t="shared" si="70"/>
        <v>Nov</v>
      </c>
      <c r="X473">
        <f t="shared" si="71"/>
        <v>2025</v>
      </c>
    </row>
    <row r="474" spans="1:24" x14ac:dyDescent="0.35">
      <c r="A474" s="3">
        <v>45677</v>
      </c>
      <c r="B474" t="s">
        <v>201</v>
      </c>
      <c r="C474" t="s">
        <v>69</v>
      </c>
      <c r="D474" t="s">
        <v>620</v>
      </c>
      <c r="E474" t="s">
        <v>48</v>
      </c>
      <c r="F474" t="s">
        <v>27</v>
      </c>
      <c r="G474" t="s">
        <v>42</v>
      </c>
      <c r="H474">
        <v>62.3</v>
      </c>
      <c r="I474">
        <v>3061</v>
      </c>
      <c r="J474">
        <v>115</v>
      </c>
      <c r="K474">
        <v>15.6</v>
      </c>
      <c r="L474" t="s">
        <v>78</v>
      </c>
      <c r="M474">
        <v>34292.01</v>
      </c>
      <c r="N474">
        <v>13292</v>
      </c>
      <c r="O474" t="s">
        <v>84</v>
      </c>
      <c r="P474" t="str">
        <f t="shared" si="63"/>
        <v>No</v>
      </c>
      <c r="Q474">
        <f t="shared" si="64"/>
        <v>49.13</v>
      </c>
      <c r="R474">
        <f t="shared" si="65"/>
        <v>11.2</v>
      </c>
      <c r="S474">
        <f t="shared" si="66"/>
        <v>2.58</v>
      </c>
      <c r="T474" t="str">
        <f t="shared" si="67"/>
        <v>On Time</v>
      </c>
      <c r="U474" t="str">
        <f t="shared" si="68"/>
        <v>High</v>
      </c>
      <c r="V474" t="str">
        <f t="shared" si="69"/>
        <v>Low Risk</v>
      </c>
      <c r="W474" t="str">
        <f t="shared" si="70"/>
        <v>Jan</v>
      </c>
      <c r="X474">
        <f t="shared" si="71"/>
        <v>2025</v>
      </c>
    </row>
    <row r="475" spans="1:24" x14ac:dyDescent="0.35">
      <c r="A475" s="3">
        <v>45933</v>
      </c>
      <c r="B475" t="s">
        <v>159</v>
      </c>
      <c r="C475" t="s">
        <v>69</v>
      </c>
      <c r="D475" t="s">
        <v>621</v>
      </c>
      <c r="E475" t="s">
        <v>55</v>
      </c>
      <c r="F475" t="s">
        <v>27</v>
      </c>
      <c r="G475" t="s">
        <v>42</v>
      </c>
      <c r="H475">
        <v>38.6</v>
      </c>
      <c r="I475">
        <v>1544</v>
      </c>
      <c r="J475">
        <v>39</v>
      </c>
      <c r="K475">
        <v>15.5</v>
      </c>
      <c r="L475" t="s">
        <v>49</v>
      </c>
      <c r="M475">
        <v>19442.919999999998</v>
      </c>
      <c r="N475">
        <v>21224</v>
      </c>
      <c r="O475" t="s">
        <v>31</v>
      </c>
      <c r="P475" t="str">
        <f t="shared" si="63"/>
        <v>Yes</v>
      </c>
      <c r="Q475">
        <f t="shared" si="64"/>
        <v>40</v>
      </c>
      <c r="R475">
        <f t="shared" si="65"/>
        <v>12.59</v>
      </c>
      <c r="S475">
        <f t="shared" si="66"/>
        <v>0.92</v>
      </c>
      <c r="T475" t="str">
        <f t="shared" si="67"/>
        <v>Delayed</v>
      </c>
      <c r="U475" t="str">
        <f t="shared" si="68"/>
        <v>Low</v>
      </c>
      <c r="V475" t="str">
        <f t="shared" si="69"/>
        <v>High Risk</v>
      </c>
      <c r="W475" t="str">
        <f t="shared" si="70"/>
        <v>Oct</v>
      </c>
      <c r="X475">
        <f t="shared" si="71"/>
        <v>2025</v>
      </c>
    </row>
    <row r="476" spans="1:24" x14ac:dyDescent="0.35">
      <c r="A476" s="3">
        <v>45794</v>
      </c>
      <c r="B476" t="s">
        <v>317</v>
      </c>
      <c r="C476" t="s">
        <v>69</v>
      </c>
      <c r="D476" t="s">
        <v>622</v>
      </c>
      <c r="E476" t="s">
        <v>27</v>
      </c>
      <c r="F476" t="s">
        <v>55</v>
      </c>
      <c r="G476" t="s">
        <v>35</v>
      </c>
      <c r="H476">
        <v>42.8</v>
      </c>
      <c r="I476">
        <v>1401</v>
      </c>
      <c r="J476">
        <v>82</v>
      </c>
      <c r="K476">
        <v>21.6</v>
      </c>
      <c r="L476" t="s">
        <v>43</v>
      </c>
      <c r="M476">
        <v>25617.42</v>
      </c>
      <c r="N476">
        <v>24449</v>
      </c>
      <c r="O476" t="s">
        <v>91</v>
      </c>
      <c r="P476" t="str">
        <f t="shared" si="63"/>
        <v>Yes</v>
      </c>
      <c r="Q476">
        <f t="shared" si="64"/>
        <v>32.729999999999997</v>
      </c>
      <c r="R476">
        <f t="shared" si="65"/>
        <v>18.29</v>
      </c>
      <c r="S476">
        <f t="shared" si="66"/>
        <v>1.05</v>
      </c>
      <c r="T476" t="str">
        <f t="shared" si="67"/>
        <v>Delayed</v>
      </c>
      <c r="U476" t="str">
        <f t="shared" si="68"/>
        <v>Medium</v>
      </c>
      <c r="V476" t="str">
        <f t="shared" si="69"/>
        <v>Low Risk</v>
      </c>
      <c r="W476" t="str">
        <f t="shared" si="70"/>
        <v>May</v>
      </c>
      <c r="X476">
        <f t="shared" si="71"/>
        <v>2025</v>
      </c>
    </row>
    <row r="477" spans="1:24" x14ac:dyDescent="0.35">
      <c r="A477" s="3">
        <v>45678</v>
      </c>
      <c r="B477" t="s">
        <v>94</v>
      </c>
      <c r="C477" t="s">
        <v>130</v>
      </c>
      <c r="D477" t="s">
        <v>623</v>
      </c>
      <c r="E477" t="s">
        <v>63</v>
      </c>
      <c r="F477" t="s">
        <v>66</v>
      </c>
      <c r="G477" t="s">
        <v>35</v>
      </c>
      <c r="H477">
        <v>69.8</v>
      </c>
      <c r="I477">
        <v>3773</v>
      </c>
      <c r="J477">
        <v>54</v>
      </c>
      <c r="K477">
        <v>15.9</v>
      </c>
      <c r="L477" t="s">
        <v>30</v>
      </c>
      <c r="M477">
        <v>45369.38</v>
      </c>
      <c r="N477">
        <v>28398</v>
      </c>
      <c r="O477" t="s">
        <v>67</v>
      </c>
      <c r="P477" t="str">
        <f t="shared" si="63"/>
        <v>Yes</v>
      </c>
      <c r="Q477">
        <f t="shared" si="64"/>
        <v>54.05</v>
      </c>
      <c r="R477">
        <f t="shared" si="65"/>
        <v>12.02</v>
      </c>
      <c r="S477">
        <f t="shared" si="66"/>
        <v>1.6</v>
      </c>
      <c r="T477" t="str">
        <f t="shared" si="67"/>
        <v>Delayed</v>
      </c>
      <c r="U477" t="str">
        <f t="shared" si="68"/>
        <v>High</v>
      </c>
      <c r="V477" t="str">
        <f t="shared" si="69"/>
        <v>Medium Risk</v>
      </c>
      <c r="W477" t="str">
        <f t="shared" si="70"/>
        <v>Jan</v>
      </c>
      <c r="X477">
        <f t="shared" si="71"/>
        <v>2025</v>
      </c>
    </row>
    <row r="478" spans="1:24" x14ac:dyDescent="0.35">
      <c r="A478" s="3">
        <v>46019</v>
      </c>
      <c r="B478" t="s">
        <v>111</v>
      </c>
      <c r="C478" t="s">
        <v>109</v>
      </c>
      <c r="D478" t="s">
        <v>624</v>
      </c>
      <c r="E478" t="s">
        <v>63</v>
      </c>
      <c r="F478" t="s">
        <v>54</v>
      </c>
      <c r="G478" t="s">
        <v>42</v>
      </c>
      <c r="H478">
        <v>64.400000000000006</v>
      </c>
      <c r="I478">
        <v>4794</v>
      </c>
      <c r="J478">
        <v>49</v>
      </c>
      <c r="K478">
        <v>18.399999999999999</v>
      </c>
      <c r="L478" t="s">
        <v>30</v>
      </c>
      <c r="M478">
        <v>36290.18</v>
      </c>
      <c r="N478">
        <v>9890</v>
      </c>
      <c r="O478" t="s">
        <v>36</v>
      </c>
      <c r="P478" t="str">
        <f t="shared" si="63"/>
        <v>Yes</v>
      </c>
      <c r="Q478">
        <f t="shared" si="64"/>
        <v>74.44</v>
      </c>
      <c r="R478">
        <f t="shared" si="65"/>
        <v>7.57</v>
      </c>
      <c r="S478">
        <f t="shared" si="66"/>
        <v>3.67</v>
      </c>
      <c r="T478" t="str">
        <f t="shared" si="67"/>
        <v>Delayed</v>
      </c>
      <c r="U478" t="str">
        <f t="shared" si="68"/>
        <v>High</v>
      </c>
      <c r="V478" t="str">
        <f t="shared" si="69"/>
        <v>Medium Risk</v>
      </c>
      <c r="W478" t="str">
        <f t="shared" si="70"/>
        <v>Dec</v>
      </c>
      <c r="X478">
        <f t="shared" si="71"/>
        <v>2025</v>
      </c>
    </row>
    <row r="479" spans="1:24" x14ac:dyDescent="0.35">
      <c r="A479" s="3">
        <v>45707</v>
      </c>
      <c r="B479" t="s">
        <v>193</v>
      </c>
      <c r="C479" t="s">
        <v>69</v>
      </c>
      <c r="D479" t="s">
        <v>625</v>
      </c>
      <c r="E479" t="s">
        <v>63</v>
      </c>
      <c r="F479" t="s">
        <v>66</v>
      </c>
      <c r="G479" t="s">
        <v>35</v>
      </c>
      <c r="H479">
        <v>75.099999999999994</v>
      </c>
      <c r="I479">
        <v>1371</v>
      </c>
      <c r="J479">
        <v>103</v>
      </c>
      <c r="K479">
        <v>19.3</v>
      </c>
      <c r="L479" t="s">
        <v>49</v>
      </c>
      <c r="M479">
        <v>34460.120000000003</v>
      </c>
      <c r="N479">
        <v>6425</v>
      </c>
      <c r="O479" t="s">
        <v>44</v>
      </c>
      <c r="P479" t="str">
        <f t="shared" si="63"/>
        <v>Yes</v>
      </c>
      <c r="Q479">
        <f t="shared" si="64"/>
        <v>18.260000000000002</v>
      </c>
      <c r="R479">
        <f t="shared" si="65"/>
        <v>25.14</v>
      </c>
      <c r="S479">
        <f t="shared" si="66"/>
        <v>5.36</v>
      </c>
      <c r="T479" t="str">
        <f t="shared" si="67"/>
        <v>Delayed</v>
      </c>
      <c r="U479" t="str">
        <f t="shared" si="68"/>
        <v>High</v>
      </c>
      <c r="V479" t="str">
        <f t="shared" si="69"/>
        <v>High Risk</v>
      </c>
      <c r="W479" t="str">
        <f t="shared" si="70"/>
        <v>Feb</v>
      </c>
      <c r="X479">
        <f t="shared" si="71"/>
        <v>2025</v>
      </c>
    </row>
    <row r="480" spans="1:24" x14ac:dyDescent="0.35">
      <c r="A480" s="3">
        <v>45826</v>
      </c>
      <c r="B480" t="s">
        <v>207</v>
      </c>
      <c r="C480" t="s">
        <v>57</v>
      </c>
      <c r="D480" t="s">
        <v>626</v>
      </c>
      <c r="E480" t="s">
        <v>28</v>
      </c>
      <c r="F480" t="s">
        <v>66</v>
      </c>
      <c r="G480" t="s">
        <v>42</v>
      </c>
      <c r="H480">
        <v>70.3</v>
      </c>
      <c r="I480">
        <v>2499</v>
      </c>
      <c r="J480">
        <v>92</v>
      </c>
      <c r="K480">
        <v>12</v>
      </c>
      <c r="L480" t="s">
        <v>78</v>
      </c>
      <c r="M480">
        <v>48314.79</v>
      </c>
      <c r="N480">
        <v>19416</v>
      </c>
      <c r="O480" t="s">
        <v>50</v>
      </c>
      <c r="P480" t="str">
        <f t="shared" si="63"/>
        <v>No</v>
      </c>
      <c r="Q480">
        <f t="shared" si="64"/>
        <v>35.549999999999997</v>
      </c>
      <c r="R480">
        <f t="shared" si="65"/>
        <v>19.329999999999998</v>
      </c>
      <c r="S480">
        <f t="shared" si="66"/>
        <v>2.4900000000000002</v>
      </c>
      <c r="T480" t="str">
        <f t="shared" si="67"/>
        <v>On Time</v>
      </c>
      <c r="U480" t="str">
        <f t="shared" si="68"/>
        <v>High</v>
      </c>
      <c r="V480" t="str">
        <f t="shared" si="69"/>
        <v>Low Risk</v>
      </c>
      <c r="W480" t="str">
        <f t="shared" si="70"/>
        <v>Jun</v>
      </c>
      <c r="X480">
        <f t="shared" si="71"/>
        <v>2025</v>
      </c>
    </row>
    <row r="481" spans="1:24" x14ac:dyDescent="0.35">
      <c r="A481" s="3">
        <v>45776</v>
      </c>
      <c r="B481" t="s">
        <v>162</v>
      </c>
      <c r="C481" t="s">
        <v>109</v>
      </c>
      <c r="D481" t="s">
        <v>627</v>
      </c>
      <c r="E481" t="s">
        <v>28</v>
      </c>
      <c r="F481" t="s">
        <v>66</v>
      </c>
      <c r="G481" t="s">
        <v>35</v>
      </c>
      <c r="H481">
        <v>75.3</v>
      </c>
      <c r="I481">
        <v>3828</v>
      </c>
      <c r="J481">
        <v>94</v>
      </c>
      <c r="K481">
        <v>12.8</v>
      </c>
      <c r="L481" t="s">
        <v>78</v>
      </c>
      <c r="M481">
        <v>35314.839999999997</v>
      </c>
      <c r="N481">
        <v>12888</v>
      </c>
      <c r="O481" t="s">
        <v>31</v>
      </c>
      <c r="P481" t="str">
        <f t="shared" si="63"/>
        <v>No</v>
      </c>
      <c r="Q481">
        <f t="shared" si="64"/>
        <v>50.84</v>
      </c>
      <c r="R481">
        <f t="shared" si="65"/>
        <v>9.23</v>
      </c>
      <c r="S481">
        <f t="shared" si="66"/>
        <v>2.74</v>
      </c>
      <c r="T481" t="str">
        <f t="shared" si="67"/>
        <v>On Time</v>
      </c>
      <c r="U481" t="str">
        <f t="shared" si="68"/>
        <v>High</v>
      </c>
      <c r="V481" t="str">
        <f t="shared" si="69"/>
        <v>Low Risk</v>
      </c>
      <c r="W481" t="str">
        <f t="shared" si="70"/>
        <v>Apr</v>
      </c>
      <c r="X481">
        <f t="shared" si="71"/>
        <v>2025</v>
      </c>
    </row>
    <row r="482" spans="1:24" x14ac:dyDescent="0.35">
      <c r="A482" s="3">
        <v>45693</v>
      </c>
      <c r="B482" t="s">
        <v>154</v>
      </c>
      <c r="C482" t="s">
        <v>109</v>
      </c>
      <c r="D482" t="s">
        <v>628</v>
      </c>
      <c r="E482" t="s">
        <v>55</v>
      </c>
      <c r="F482" t="s">
        <v>27</v>
      </c>
      <c r="G482" t="s">
        <v>71</v>
      </c>
      <c r="H482">
        <v>67</v>
      </c>
      <c r="I482">
        <v>2539</v>
      </c>
      <c r="J482">
        <v>40</v>
      </c>
      <c r="K482">
        <v>20.399999999999999</v>
      </c>
      <c r="L482" t="s">
        <v>49</v>
      </c>
      <c r="M482">
        <v>44717.279999999999</v>
      </c>
      <c r="N482">
        <v>16058</v>
      </c>
      <c r="O482" t="s">
        <v>44</v>
      </c>
      <c r="P482" t="str">
        <f t="shared" si="63"/>
        <v>Yes</v>
      </c>
      <c r="Q482">
        <f t="shared" si="64"/>
        <v>37.9</v>
      </c>
      <c r="R482">
        <f t="shared" si="65"/>
        <v>17.61</v>
      </c>
      <c r="S482">
        <f t="shared" si="66"/>
        <v>2.78</v>
      </c>
      <c r="T482" t="str">
        <f t="shared" si="67"/>
        <v>Delayed</v>
      </c>
      <c r="U482" t="str">
        <f t="shared" si="68"/>
        <v>High</v>
      </c>
      <c r="V482" t="str">
        <f t="shared" si="69"/>
        <v>High Risk</v>
      </c>
      <c r="W482" t="str">
        <f t="shared" si="70"/>
        <v>Feb</v>
      </c>
      <c r="X482">
        <f t="shared" si="71"/>
        <v>2025</v>
      </c>
    </row>
    <row r="483" spans="1:24" x14ac:dyDescent="0.35">
      <c r="A483" s="3">
        <v>46013</v>
      </c>
      <c r="B483" t="s">
        <v>210</v>
      </c>
      <c r="C483" t="s">
        <v>95</v>
      </c>
      <c r="D483" t="s">
        <v>629</v>
      </c>
      <c r="E483" t="s">
        <v>27</v>
      </c>
      <c r="F483" t="s">
        <v>63</v>
      </c>
      <c r="G483" t="s">
        <v>29</v>
      </c>
      <c r="H483">
        <v>62.8</v>
      </c>
      <c r="I483">
        <v>2158</v>
      </c>
      <c r="J483">
        <v>65</v>
      </c>
      <c r="K483">
        <v>21.2</v>
      </c>
      <c r="L483" t="s">
        <v>49</v>
      </c>
      <c r="M483">
        <v>42302.239999999998</v>
      </c>
      <c r="N483">
        <v>11023</v>
      </c>
      <c r="O483" t="s">
        <v>84</v>
      </c>
      <c r="P483" t="str">
        <f t="shared" si="63"/>
        <v>Yes</v>
      </c>
      <c r="Q483">
        <f t="shared" si="64"/>
        <v>34.36</v>
      </c>
      <c r="R483">
        <f t="shared" si="65"/>
        <v>19.600000000000001</v>
      </c>
      <c r="S483">
        <f t="shared" si="66"/>
        <v>3.84</v>
      </c>
      <c r="T483" t="str">
        <f t="shared" si="67"/>
        <v>Delayed</v>
      </c>
      <c r="U483" t="str">
        <f t="shared" si="68"/>
        <v>High</v>
      </c>
      <c r="V483" t="str">
        <f t="shared" si="69"/>
        <v>High Risk</v>
      </c>
      <c r="W483" t="str">
        <f t="shared" si="70"/>
        <v>Dec</v>
      </c>
      <c r="X483">
        <f t="shared" si="71"/>
        <v>2025</v>
      </c>
    </row>
    <row r="484" spans="1:24" x14ac:dyDescent="0.35">
      <c r="A484" s="3">
        <v>45706</v>
      </c>
      <c r="B484" t="s">
        <v>214</v>
      </c>
      <c r="C484" t="s">
        <v>130</v>
      </c>
      <c r="D484" t="s">
        <v>630</v>
      </c>
      <c r="E484" t="s">
        <v>54</v>
      </c>
      <c r="F484" t="s">
        <v>63</v>
      </c>
      <c r="G484" t="s">
        <v>35</v>
      </c>
      <c r="H484">
        <v>73.8</v>
      </c>
      <c r="I484">
        <v>2354</v>
      </c>
      <c r="J484">
        <v>118</v>
      </c>
      <c r="K484">
        <v>21.5</v>
      </c>
      <c r="L484" t="s">
        <v>78</v>
      </c>
      <c r="M484">
        <v>45980.75</v>
      </c>
      <c r="N484">
        <v>13096</v>
      </c>
      <c r="O484" t="s">
        <v>31</v>
      </c>
      <c r="P484" t="str">
        <f t="shared" si="63"/>
        <v>No</v>
      </c>
      <c r="Q484">
        <f t="shared" si="64"/>
        <v>31.9</v>
      </c>
      <c r="R484">
        <f t="shared" si="65"/>
        <v>19.53</v>
      </c>
      <c r="S484">
        <f t="shared" si="66"/>
        <v>3.51</v>
      </c>
      <c r="T484" t="str">
        <f t="shared" si="67"/>
        <v>On Time</v>
      </c>
      <c r="U484" t="str">
        <f t="shared" si="68"/>
        <v>High</v>
      </c>
      <c r="V484" t="str">
        <f t="shared" si="69"/>
        <v>Low Risk</v>
      </c>
      <c r="W484" t="str">
        <f t="shared" si="70"/>
        <v>Feb</v>
      </c>
      <c r="X484">
        <f t="shared" si="71"/>
        <v>2025</v>
      </c>
    </row>
    <row r="485" spans="1:24" x14ac:dyDescent="0.35">
      <c r="A485" s="3">
        <v>45753</v>
      </c>
      <c r="B485" t="s">
        <v>368</v>
      </c>
      <c r="C485" t="s">
        <v>57</v>
      </c>
      <c r="D485" t="s">
        <v>631</v>
      </c>
      <c r="E485" t="s">
        <v>66</v>
      </c>
      <c r="F485" t="s">
        <v>28</v>
      </c>
      <c r="G485" t="s">
        <v>71</v>
      </c>
      <c r="H485">
        <v>40.200000000000003</v>
      </c>
      <c r="I485">
        <v>2720</v>
      </c>
      <c r="J485">
        <v>67</v>
      </c>
      <c r="K485">
        <v>11.4</v>
      </c>
      <c r="L485" t="s">
        <v>78</v>
      </c>
      <c r="M485">
        <v>25474.86</v>
      </c>
      <c r="N485">
        <v>9787</v>
      </c>
      <c r="O485" t="s">
        <v>44</v>
      </c>
      <c r="P485" t="str">
        <f t="shared" si="63"/>
        <v>No</v>
      </c>
      <c r="Q485">
        <f t="shared" si="64"/>
        <v>67.66</v>
      </c>
      <c r="R485">
        <f t="shared" si="65"/>
        <v>9.3699999999999992</v>
      </c>
      <c r="S485">
        <f t="shared" si="66"/>
        <v>2.6</v>
      </c>
      <c r="T485" t="str">
        <f t="shared" si="67"/>
        <v>On Time</v>
      </c>
      <c r="U485" t="str">
        <f t="shared" si="68"/>
        <v>Medium</v>
      </c>
      <c r="V485" t="str">
        <f t="shared" si="69"/>
        <v>Low Risk</v>
      </c>
      <c r="W485" t="str">
        <f t="shared" si="70"/>
        <v>Apr</v>
      </c>
      <c r="X485">
        <f t="shared" si="71"/>
        <v>2025</v>
      </c>
    </row>
    <row r="486" spans="1:24" x14ac:dyDescent="0.35">
      <c r="A486" s="3">
        <v>45793</v>
      </c>
      <c r="B486" t="s">
        <v>98</v>
      </c>
      <c r="C486" t="s">
        <v>25</v>
      </c>
      <c r="D486" t="s">
        <v>632</v>
      </c>
      <c r="E486" t="s">
        <v>54</v>
      </c>
      <c r="F486" t="s">
        <v>27</v>
      </c>
      <c r="G486" t="s">
        <v>42</v>
      </c>
      <c r="H486">
        <v>34.799999999999997</v>
      </c>
      <c r="I486">
        <v>1118</v>
      </c>
      <c r="J486">
        <v>93</v>
      </c>
      <c r="K486">
        <v>19.100000000000001</v>
      </c>
      <c r="L486" t="s">
        <v>49</v>
      </c>
      <c r="M486">
        <v>21845.63</v>
      </c>
      <c r="N486">
        <v>20511</v>
      </c>
      <c r="O486" t="s">
        <v>36</v>
      </c>
      <c r="P486" t="str">
        <f t="shared" si="63"/>
        <v>Yes</v>
      </c>
      <c r="Q486">
        <f t="shared" si="64"/>
        <v>32.130000000000003</v>
      </c>
      <c r="R486">
        <f t="shared" si="65"/>
        <v>19.54</v>
      </c>
      <c r="S486">
        <f t="shared" si="66"/>
        <v>1.07</v>
      </c>
      <c r="T486" t="str">
        <f t="shared" si="67"/>
        <v>Delayed</v>
      </c>
      <c r="U486" t="str">
        <f t="shared" si="68"/>
        <v>Low</v>
      </c>
      <c r="V486" t="str">
        <f t="shared" si="69"/>
        <v>High Risk</v>
      </c>
      <c r="W486" t="str">
        <f t="shared" si="70"/>
        <v>May</v>
      </c>
      <c r="X486">
        <f t="shared" si="71"/>
        <v>2025</v>
      </c>
    </row>
    <row r="487" spans="1:24" x14ac:dyDescent="0.35">
      <c r="A487" s="3">
        <v>45756</v>
      </c>
      <c r="B487" t="s">
        <v>24</v>
      </c>
      <c r="C487" t="s">
        <v>25</v>
      </c>
      <c r="D487" t="s">
        <v>633</v>
      </c>
      <c r="E487" t="s">
        <v>41</v>
      </c>
      <c r="F487" t="s">
        <v>66</v>
      </c>
      <c r="G487" t="s">
        <v>35</v>
      </c>
      <c r="H487">
        <v>24.1</v>
      </c>
      <c r="I487">
        <v>1119</v>
      </c>
      <c r="J487">
        <v>74</v>
      </c>
      <c r="K487">
        <v>19.3</v>
      </c>
      <c r="L487" t="s">
        <v>49</v>
      </c>
      <c r="M487">
        <v>16231.49</v>
      </c>
      <c r="N487">
        <v>7182</v>
      </c>
      <c r="O487" t="s">
        <v>44</v>
      </c>
      <c r="P487" t="str">
        <f t="shared" si="63"/>
        <v>Yes</v>
      </c>
      <c r="Q487">
        <f t="shared" si="64"/>
        <v>46.43</v>
      </c>
      <c r="R487">
        <f t="shared" si="65"/>
        <v>14.51</v>
      </c>
      <c r="S487">
        <f t="shared" si="66"/>
        <v>2.2599999999999998</v>
      </c>
      <c r="T487" t="str">
        <f t="shared" si="67"/>
        <v>Delayed</v>
      </c>
      <c r="U487" t="str">
        <f t="shared" si="68"/>
        <v>Low</v>
      </c>
      <c r="V487" t="str">
        <f t="shared" si="69"/>
        <v>High Risk</v>
      </c>
      <c r="W487" t="str">
        <f t="shared" si="70"/>
        <v>Apr</v>
      </c>
      <c r="X487">
        <f t="shared" si="71"/>
        <v>2025</v>
      </c>
    </row>
    <row r="488" spans="1:24" x14ac:dyDescent="0.35">
      <c r="A488" s="3">
        <v>45984</v>
      </c>
      <c r="B488" t="s">
        <v>157</v>
      </c>
      <c r="C488" t="s">
        <v>39</v>
      </c>
      <c r="D488" t="s">
        <v>634</v>
      </c>
      <c r="E488" t="s">
        <v>55</v>
      </c>
      <c r="F488" t="s">
        <v>41</v>
      </c>
      <c r="G488" t="s">
        <v>29</v>
      </c>
      <c r="H488">
        <v>60.3</v>
      </c>
      <c r="I488">
        <v>610</v>
      </c>
      <c r="J488">
        <v>51</v>
      </c>
      <c r="K488">
        <v>15</v>
      </c>
      <c r="L488" t="s">
        <v>30</v>
      </c>
      <c r="M488">
        <v>28977.73</v>
      </c>
      <c r="N488">
        <v>6432</v>
      </c>
      <c r="O488" t="s">
        <v>84</v>
      </c>
      <c r="P488" t="str">
        <f t="shared" si="63"/>
        <v>Yes</v>
      </c>
      <c r="Q488">
        <f t="shared" si="64"/>
        <v>10.119999999999999</v>
      </c>
      <c r="R488">
        <f t="shared" si="65"/>
        <v>47.5</v>
      </c>
      <c r="S488">
        <f t="shared" si="66"/>
        <v>4.51</v>
      </c>
      <c r="T488" t="str">
        <f t="shared" si="67"/>
        <v>Delayed</v>
      </c>
      <c r="U488" t="str">
        <f t="shared" si="68"/>
        <v>High</v>
      </c>
      <c r="V488" t="str">
        <f t="shared" si="69"/>
        <v>Medium Risk</v>
      </c>
      <c r="W488" t="str">
        <f t="shared" si="70"/>
        <v>Nov</v>
      </c>
      <c r="X488">
        <f t="shared" si="71"/>
        <v>2025</v>
      </c>
    </row>
    <row r="489" spans="1:24" x14ac:dyDescent="0.35">
      <c r="A489" s="3">
        <v>45721</v>
      </c>
      <c r="B489" t="s">
        <v>244</v>
      </c>
      <c r="C489" t="s">
        <v>130</v>
      </c>
      <c r="D489" t="s">
        <v>635</v>
      </c>
      <c r="E489" t="s">
        <v>54</v>
      </c>
      <c r="F489" t="s">
        <v>55</v>
      </c>
      <c r="G489" t="s">
        <v>42</v>
      </c>
      <c r="H489">
        <v>33.700000000000003</v>
      </c>
      <c r="I489">
        <v>1789</v>
      </c>
      <c r="J489">
        <v>37</v>
      </c>
      <c r="K489">
        <v>21.7</v>
      </c>
      <c r="L489" t="s">
        <v>30</v>
      </c>
      <c r="M489">
        <v>23105.24</v>
      </c>
      <c r="N489">
        <v>22228</v>
      </c>
      <c r="O489" t="s">
        <v>50</v>
      </c>
      <c r="P489" t="str">
        <f t="shared" si="63"/>
        <v>Yes</v>
      </c>
      <c r="Q489">
        <f t="shared" si="64"/>
        <v>53.09</v>
      </c>
      <c r="R489">
        <f t="shared" si="65"/>
        <v>12.92</v>
      </c>
      <c r="S489">
        <f t="shared" si="66"/>
        <v>1.04</v>
      </c>
      <c r="T489" t="str">
        <f t="shared" si="67"/>
        <v>Delayed</v>
      </c>
      <c r="U489" t="str">
        <f t="shared" si="68"/>
        <v>Low</v>
      </c>
      <c r="V489" t="str">
        <f t="shared" si="69"/>
        <v>Medium Risk</v>
      </c>
      <c r="W489" t="str">
        <f t="shared" si="70"/>
        <v>Mar</v>
      </c>
      <c r="X489">
        <f t="shared" si="71"/>
        <v>2025</v>
      </c>
    </row>
    <row r="490" spans="1:24" x14ac:dyDescent="0.35">
      <c r="A490" s="3">
        <v>45720</v>
      </c>
      <c r="B490" t="s">
        <v>217</v>
      </c>
      <c r="C490" t="s">
        <v>130</v>
      </c>
      <c r="D490" t="s">
        <v>636</v>
      </c>
      <c r="E490" t="s">
        <v>48</v>
      </c>
      <c r="F490" t="s">
        <v>27</v>
      </c>
      <c r="G490" t="s">
        <v>29</v>
      </c>
      <c r="H490">
        <v>73.7</v>
      </c>
      <c r="I490">
        <v>2035</v>
      </c>
      <c r="J490">
        <v>47</v>
      </c>
      <c r="K490">
        <v>20.3</v>
      </c>
      <c r="L490" t="s">
        <v>78</v>
      </c>
      <c r="M490">
        <v>43583.360000000001</v>
      </c>
      <c r="N490">
        <v>10658</v>
      </c>
      <c r="O490" t="s">
        <v>36</v>
      </c>
      <c r="P490" t="str">
        <f t="shared" si="63"/>
        <v>No</v>
      </c>
      <c r="Q490">
        <f t="shared" si="64"/>
        <v>27.61</v>
      </c>
      <c r="R490">
        <f t="shared" si="65"/>
        <v>21.42</v>
      </c>
      <c r="S490">
        <f t="shared" si="66"/>
        <v>4.09</v>
      </c>
      <c r="T490" t="str">
        <f t="shared" si="67"/>
        <v>On Time</v>
      </c>
      <c r="U490" t="str">
        <f t="shared" si="68"/>
        <v>High</v>
      </c>
      <c r="V490" t="str">
        <f t="shared" si="69"/>
        <v>Low Risk</v>
      </c>
      <c r="W490" t="str">
        <f t="shared" si="70"/>
        <v>Mar</v>
      </c>
      <c r="X490">
        <f t="shared" si="71"/>
        <v>2025</v>
      </c>
    </row>
    <row r="491" spans="1:24" x14ac:dyDescent="0.35">
      <c r="A491" s="3">
        <v>45778</v>
      </c>
      <c r="B491" t="s">
        <v>123</v>
      </c>
      <c r="C491" t="s">
        <v>95</v>
      </c>
      <c r="D491" t="s">
        <v>637</v>
      </c>
      <c r="E491" t="s">
        <v>28</v>
      </c>
      <c r="F491" t="s">
        <v>54</v>
      </c>
      <c r="G491" t="s">
        <v>35</v>
      </c>
      <c r="H491">
        <v>77.7</v>
      </c>
      <c r="I491">
        <v>2064</v>
      </c>
      <c r="J491">
        <v>41</v>
      </c>
      <c r="K491">
        <v>15.3</v>
      </c>
      <c r="L491" t="s">
        <v>43</v>
      </c>
      <c r="M491">
        <v>54372.33</v>
      </c>
      <c r="N491">
        <v>24246</v>
      </c>
      <c r="O491" t="s">
        <v>50</v>
      </c>
      <c r="P491" t="str">
        <f t="shared" si="63"/>
        <v>Yes</v>
      </c>
      <c r="Q491">
        <f t="shared" si="64"/>
        <v>26.56</v>
      </c>
      <c r="R491">
        <f t="shared" si="65"/>
        <v>26.34</v>
      </c>
      <c r="S491">
        <f t="shared" si="66"/>
        <v>2.2400000000000002</v>
      </c>
      <c r="T491" t="str">
        <f t="shared" si="67"/>
        <v>Delayed</v>
      </c>
      <c r="U491" t="str">
        <f t="shared" si="68"/>
        <v>High</v>
      </c>
      <c r="V491" t="str">
        <f t="shared" si="69"/>
        <v>Low Risk</v>
      </c>
      <c r="W491" t="str">
        <f t="shared" si="70"/>
        <v>May</v>
      </c>
      <c r="X491">
        <f t="shared" si="71"/>
        <v>2025</v>
      </c>
    </row>
    <row r="492" spans="1:24" x14ac:dyDescent="0.35">
      <c r="A492" s="3">
        <v>45755</v>
      </c>
      <c r="B492" t="s">
        <v>115</v>
      </c>
      <c r="C492" t="s">
        <v>39</v>
      </c>
      <c r="D492" t="s">
        <v>638</v>
      </c>
      <c r="E492" t="s">
        <v>28</v>
      </c>
      <c r="F492" t="s">
        <v>63</v>
      </c>
      <c r="G492" t="s">
        <v>35</v>
      </c>
      <c r="H492">
        <v>42</v>
      </c>
      <c r="I492">
        <v>1803</v>
      </c>
      <c r="J492">
        <v>22</v>
      </c>
      <c r="K492">
        <v>17.100000000000001</v>
      </c>
      <c r="L492" t="s">
        <v>78</v>
      </c>
      <c r="M492">
        <v>24646.09</v>
      </c>
      <c r="N492">
        <v>16251</v>
      </c>
      <c r="O492" t="s">
        <v>36</v>
      </c>
      <c r="P492" t="str">
        <f t="shared" si="63"/>
        <v>No</v>
      </c>
      <c r="Q492">
        <f t="shared" si="64"/>
        <v>42.93</v>
      </c>
      <c r="R492">
        <f t="shared" si="65"/>
        <v>13.67</v>
      </c>
      <c r="S492">
        <f t="shared" si="66"/>
        <v>1.52</v>
      </c>
      <c r="T492" t="str">
        <f t="shared" si="67"/>
        <v>On Time</v>
      </c>
      <c r="U492" t="str">
        <f t="shared" si="68"/>
        <v>Medium</v>
      </c>
      <c r="V492" t="str">
        <f t="shared" si="69"/>
        <v>Low Risk</v>
      </c>
      <c r="W492" t="str">
        <f t="shared" si="70"/>
        <v>Apr</v>
      </c>
      <c r="X492">
        <f t="shared" si="71"/>
        <v>2025</v>
      </c>
    </row>
    <row r="493" spans="1:24" x14ac:dyDescent="0.35">
      <c r="A493" s="3">
        <v>46022</v>
      </c>
      <c r="B493" t="s">
        <v>106</v>
      </c>
      <c r="C493" t="s">
        <v>109</v>
      </c>
      <c r="D493" t="s">
        <v>639</v>
      </c>
      <c r="E493" t="s">
        <v>41</v>
      </c>
      <c r="F493" t="s">
        <v>27</v>
      </c>
      <c r="G493" t="s">
        <v>42</v>
      </c>
      <c r="H493">
        <v>44.9</v>
      </c>
      <c r="I493">
        <v>2062</v>
      </c>
      <c r="J493">
        <v>94</v>
      </c>
      <c r="K493">
        <v>13.6</v>
      </c>
      <c r="L493" t="s">
        <v>43</v>
      </c>
      <c r="M493">
        <v>30521.93</v>
      </c>
      <c r="N493">
        <v>25484</v>
      </c>
      <c r="O493" t="s">
        <v>91</v>
      </c>
      <c r="P493" t="str">
        <f t="shared" si="63"/>
        <v>Yes</v>
      </c>
      <c r="Q493">
        <f t="shared" si="64"/>
        <v>45.92</v>
      </c>
      <c r="R493">
        <f t="shared" si="65"/>
        <v>14.8</v>
      </c>
      <c r="S493">
        <f t="shared" si="66"/>
        <v>1.2</v>
      </c>
      <c r="T493" t="str">
        <f t="shared" si="67"/>
        <v>Delayed</v>
      </c>
      <c r="U493" t="str">
        <f t="shared" si="68"/>
        <v>Medium</v>
      </c>
      <c r="V493" t="str">
        <f t="shared" si="69"/>
        <v>Low Risk</v>
      </c>
      <c r="W493" t="str">
        <f t="shared" si="70"/>
        <v>Dec</v>
      </c>
      <c r="X493">
        <f t="shared" si="71"/>
        <v>2025</v>
      </c>
    </row>
    <row r="494" spans="1:24" x14ac:dyDescent="0.35">
      <c r="A494" s="3">
        <v>45937</v>
      </c>
      <c r="B494" t="s">
        <v>76</v>
      </c>
      <c r="C494" t="s">
        <v>39</v>
      </c>
      <c r="D494" t="s">
        <v>640</v>
      </c>
      <c r="E494" t="s">
        <v>27</v>
      </c>
      <c r="F494" t="s">
        <v>63</v>
      </c>
      <c r="G494" t="s">
        <v>29</v>
      </c>
      <c r="H494">
        <v>49.9</v>
      </c>
      <c r="I494">
        <v>2224</v>
      </c>
      <c r="J494">
        <v>87</v>
      </c>
      <c r="K494">
        <v>17.600000000000001</v>
      </c>
      <c r="L494" t="s">
        <v>49</v>
      </c>
      <c r="M494">
        <v>28261.360000000001</v>
      </c>
      <c r="N494">
        <v>10216</v>
      </c>
      <c r="O494" t="s">
        <v>84</v>
      </c>
      <c r="P494" t="str">
        <f t="shared" si="63"/>
        <v>Yes</v>
      </c>
      <c r="Q494">
        <f t="shared" si="64"/>
        <v>44.57</v>
      </c>
      <c r="R494">
        <f t="shared" si="65"/>
        <v>12.71</v>
      </c>
      <c r="S494">
        <f t="shared" si="66"/>
        <v>2.77</v>
      </c>
      <c r="T494" t="str">
        <f t="shared" si="67"/>
        <v>Delayed</v>
      </c>
      <c r="U494" t="str">
        <f t="shared" si="68"/>
        <v>Medium</v>
      </c>
      <c r="V494" t="str">
        <f t="shared" si="69"/>
        <v>High Risk</v>
      </c>
      <c r="W494" t="str">
        <f t="shared" si="70"/>
        <v>Oct</v>
      </c>
      <c r="X494">
        <f t="shared" si="71"/>
        <v>2025</v>
      </c>
    </row>
    <row r="495" spans="1:24" x14ac:dyDescent="0.35">
      <c r="A495" s="3">
        <v>45714</v>
      </c>
      <c r="B495" t="s">
        <v>159</v>
      </c>
      <c r="C495" t="s">
        <v>39</v>
      </c>
      <c r="D495" t="s">
        <v>641</v>
      </c>
      <c r="E495" t="s">
        <v>54</v>
      </c>
      <c r="F495" t="s">
        <v>27</v>
      </c>
      <c r="G495" t="s">
        <v>42</v>
      </c>
      <c r="H495">
        <v>20.5</v>
      </c>
      <c r="I495">
        <v>2210</v>
      </c>
      <c r="J495">
        <v>87</v>
      </c>
      <c r="K495">
        <v>13.6</v>
      </c>
      <c r="L495" t="s">
        <v>78</v>
      </c>
      <c r="M495">
        <v>11401.76</v>
      </c>
      <c r="N495">
        <v>19903</v>
      </c>
      <c r="O495" t="s">
        <v>31</v>
      </c>
      <c r="P495" t="str">
        <f t="shared" si="63"/>
        <v>No</v>
      </c>
      <c r="Q495">
        <f t="shared" si="64"/>
        <v>107.8</v>
      </c>
      <c r="R495">
        <f t="shared" si="65"/>
        <v>5.16</v>
      </c>
      <c r="S495">
        <f t="shared" si="66"/>
        <v>0.56999999999999995</v>
      </c>
      <c r="T495" t="str">
        <f t="shared" si="67"/>
        <v>On Time</v>
      </c>
      <c r="U495" t="str">
        <f t="shared" si="68"/>
        <v>Low</v>
      </c>
      <c r="V495" t="str">
        <f t="shared" si="69"/>
        <v>Low Risk</v>
      </c>
      <c r="W495" t="str">
        <f t="shared" si="70"/>
        <v>Feb</v>
      </c>
      <c r="X495">
        <f t="shared" si="71"/>
        <v>2025</v>
      </c>
    </row>
    <row r="496" spans="1:24" x14ac:dyDescent="0.35">
      <c r="A496" s="3">
        <v>45814</v>
      </c>
      <c r="B496" t="s">
        <v>277</v>
      </c>
      <c r="C496" t="s">
        <v>39</v>
      </c>
      <c r="D496" t="s">
        <v>642</v>
      </c>
      <c r="E496" t="s">
        <v>28</v>
      </c>
      <c r="F496" t="s">
        <v>54</v>
      </c>
      <c r="G496" t="s">
        <v>35</v>
      </c>
      <c r="H496">
        <v>70.099999999999994</v>
      </c>
      <c r="I496">
        <v>883</v>
      </c>
      <c r="J496">
        <v>109</v>
      </c>
      <c r="K496">
        <v>13.2</v>
      </c>
      <c r="L496" t="s">
        <v>30</v>
      </c>
      <c r="M496">
        <v>44677.89</v>
      </c>
      <c r="N496">
        <v>27778</v>
      </c>
      <c r="O496" t="s">
        <v>36</v>
      </c>
      <c r="P496" t="str">
        <f t="shared" si="63"/>
        <v>Yes</v>
      </c>
      <c r="Q496">
        <f t="shared" si="64"/>
        <v>12.6</v>
      </c>
      <c r="R496">
        <f t="shared" si="65"/>
        <v>50.6</v>
      </c>
      <c r="S496">
        <f t="shared" si="66"/>
        <v>1.61</v>
      </c>
      <c r="T496" t="str">
        <f t="shared" si="67"/>
        <v>Delayed</v>
      </c>
      <c r="U496" t="str">
        <f t="shared" si="68"/>
        <v>High</v>
      </c>
      <c r="V496" t="str">
        <f t="shared" si="69"/>
        <v>Medium Risk</v>
      </c>
      <c r="W496" t="str">
        <f t="shared" si="70"/>
        <v>Jun</v>
      </c>
      <c r="X496">
        <f t="shared" si="71"/>
        <v>2025</v>
      </c>
    </row>
    <row r="497" spans="1:24" x14ac:dyDescent="0.35">
      <c r="A497" s="3">
        <v>45873</v>
      </c>
      <c r="B497" t="s">
        <v>162</v>
      </c>
      <c r="C497" t="s">
        <v>109</v>
      </c>
      <c r="D497" t="s">
        <v>643</v>
      </c>
      <c r="E497" t="s">
        <v>66</v>
      </c>
      <c r="F497" t="s">
        <v>48</v>
      </c>
      <c r="G497" t="s">
        <v>29</v>
      </c>
      <c r="H497">
        <v>56.2</v>
      </c>
      <c r="I497">
        <v>2493</v>
      </c>
      <c r="J497">
        <v>112</v>
      </c>
      <c r="K497">
        <v>16.5</v>
      </c>
      <c r="L497" t="s">
        <v>49</v>
      </c>
      <c r="M497">
        <v>37563.89</v>
      </c>
      <c r="N497">
        <v>28579</v>
      </c>
      <c r="O497" t="s">
        <v>91</v>
      </c>
      <c r="P497" t="str">
        <f t="shared" si="63"/>
        <v>Yes</v>
      </c>
      <c r="Q497">
        <f t="shared" si="64"/>
        <v>44.36</v>
      </c>
      <c r="R497">
        <f t="shared" si="65"/>
        <v>15.07</v>
      </c>
      <c r="S497">
        <f t="shared" si="66"/>
        <v>1.31</v>
      </c>
      <c r="T497" t="str">
        <f t="shared" si="67"/>
        <v>Delayed</v>
      </c>
      <c r="U497" t="str">
        <f t="shared" si="68"/>
        <v>Medium</v>
      </c>
      <c r="V497" t="str">
        <f t="shared" si="69"/>
        <v>High Risk</v>
      </c>
      <c r="W497" t="str">
        <f t="shared" si="70"/>
        <v>Aug</v>
      </c>
      <c r="X497">
        <f t="shared" si="71"/>
        <v>2025</v>
      </c>
    </row>
    <row r="498" spans="1:24" x14ac:dyDescent="0.35">
      <c r="A498" s="3">
        <v>45881</v>
      </c>
      <c r="B498" t="s">
        <v>129</v>
      </c>
      <c r="C498" t="s">
        <v>95</v>
      </c>
      <c r="D498" t="s">
        <v>644</v>
      </c>
      <c r="E498" t="s">
        <v>28</v>
      </c>
      <c r="F498" t="s">
        <v>48</v>
      </c>
      <c r="G498" t="s">
        <v>29</v>
      </c>
      <c r="H498">
        <v>26.7</v>
      </c>
      <c r="I498">
        <v>4185</v>
      </c>
      <c r="J498">
        <v>76</v>
      </c>
      <c r="K498">
        <v>10.4</v>
      </c>
      <c r="L498" t="s">
        <v>78</v>
      </c>
      <c r="M498">
        <v>12055.41</v>
      </c>
      <c r="N498">
        <v>28093</v>
      </c>
      <c r="O498" t="s">
        <v>50</v>
      </c>
      <c r="P498" t="str">
        <f t="shared" si="63"/>
        <v>No</v>
      </c>
      <c r="Q498">
        <f t="shared" si="64"/>
        <v>156.74</v>
      </c>
      <c r="R498">
        <f t="shared" si="65"/>
        <v>2.88</v>
      </c>
      <c r="S498">
        <f t="shared" si="66"/>
        <v>0.43</v>
      </c>
      <c r="T498" t="str">
        <f t="shared" si="67"/>
        <v>On Time</v>
      </c>
      <c r="U498" t="str">
        <f t="shared" si="68"/>
        <v>Low</v>
      </c>
      <c r="V498" t="str">
        <f t="shared" si="69"/>
        <v>Low Risk</v>
      </c>
      <c r="W498" t="str">
        <f t="shared" si="70"/>
        <v>Aug</v>
      </c>
      <c r="X498">
        <f t="shared" si="71"/>
        <v>2025</v>
      </c>
    </row>
    <row r="499" spans="1:24" x14ac:dyDescent="0.35">
      <c r="A499" s="3">
        <v>45919</v>
      </c>
      <c r="B499" t="s">
        <v>159</v>
      </c>
      <c r="C499" t="s">
        <v>25</v>
      </c>
      <c r="D499" t="s">
        <v>645</v>
      </c>
      <c r="E499" t="s">
        <v>63</v>
      </c>
      <c r="F499" t="s">
        <v>48</v>
      </c>
      <c r="G499" t="s">
        <v>71</v>
      </c>
      <c r="H499">
        <v>23.5</v>
      </c>
      <c r="I499">
        <v>4879</v>
      </c>
      <c r="J499">
        <v>103</v>
      </c>
      <c r="K499">
        <v>18.5</v>
      </c>
      <c r="L499" t="s">
        <v>43</v>
      </c>
      <c r="M499">
        <v>13626.11</v>
      </c>
      <c r="N499">
        <v>9325</v>
      </c>
      <c r="O499" t="s">
        <v>36</v>
      </c>
      <c r="P499" t="str">
        <f t="shared" si="63"/>
        <v>Yes</v>
      </c>
      <c r="Q499">
        <f t="shared" si="64"/>
        <v>207.62</v>
      </c>
      <c r="R499">
        <f t="shared" si="65"/>
        <v>2.79</v>
      </c>
      <c r="S499">
        <f t="shared" si="66"/>
        <v>1.46</v>
      </c>
      <c r="T499" t="str">
        <f t="shared" si="67"/>
        <v>Delayed</v>
      </c>
      <c r="U499" t="str">
        <f t="shared" si="68"/>
        <v>Low</v>
      </c>
      <c r="V499" t="str">
        <f t="shared" si="69"/>
        <v>Low Risk</v>
      </c>
      <c r="W499" t="str">
        <f t="shared" si="70"/>
        <v>Sep</v>
      </c>
      <c r="X499">
        <f t="shared" si="71"/>
        <v>2025</v>
      </c>
    </row>
    <row r="500" spans="1:24" x14ac:dyDescent="0.35">
      <c r="A500" s="3">
        <v>45716</v>
      </c>
      <c r="B500" t="s">
        <v>92</v>
      </c>
      <c r="C500" t="s">
        <v>95</v>
      </c>
      <c r="D500" t="s">
        <v>646</v>
      </c>
      <c r="E500" t="s">
        <v>27</v>
      </c>
      <c r="F500" t="s">
        <v>54</v>
      </c>
      <c r="G500" t="s">
        <v>29</v>
      </c>
      <c r="H500">
        <v>49.7</v>
      </c>
      <c r="I500">
        <v>3501</v>
      </c>
      <c r="J500">
        <v>107</v>
      </c>
      <c r="K500">
        <v>10.5</v>
      </c>
      <c r="L500" t="s">
        <v>30</v>
      </c>
      <c r="M500">
        <v>25884.97</v>
      </c>
      <c r="N500">
        <v>25822</v>
      </c>
      <c r="O500" t="s">
        <v>59</v>
      </c>
      <c r="P500" t="str">
        <f t="shared" si="63"/>
        <v>Yes</v>
      </c>
      <c r="Q500">
        <f t="shared" si="64"/>
        <v>70.44</v>
      </c>
      <c r="R500">
        <f t="shared" si="65"/>
        <v>7.39</v>
      </c>
      <c r="S500">
        <f t="shared" si="66"/>
        <v>1</v>
      </c>
      <c r="T500" t="str">
        <f t="shared" si="67"/>
        <v>Delayed</v>
      </c>
      <c r="U500" t="str">
        <f t="shared" si="68"/>
        <v>Medium</v>
      </c>
      <c r="V500" t="str">
        <f t="shared" si="69"/>
        <v>Medium Risk</v>
      </c>
      <c r="W500" t="str">
        <f t="shared" si="70"/>
        <v>Feb</v>
      </c>
      <c r="X500">
        <f t="shared" si="71"/>
        <v>2025</v>
      </c>
    </row>
    <row r="501" spans="1:24" x14ac:dyDescent="0.35">
      <c r="A501" s="3">
        <v>45732</v>
      </c>
      <c r="B501" t="s">
        <v>165</v>
      </c>
      <c r="C501" t="s">
        <v>130</v>
      </c>
      <c r="D501" t="s">
        <v>647</v>
      </c>
      <c r="E501" t="s">
        <v>54</v>
      </c>
      <c r="F501" t="s">
        <v>28</v>
      </c>
      <c r="G501" t="s">
        <v>35</v>
      </c>
      <c r="H501">
        <v>48</v>
      </c>
      <c r="I501">
        <v>3249</v>
      </c>
      <c r="J501">
        <v>44</v>
      </c>
      <c r="K501">
        <v>17.600000000000001</v>
      </c>
      <c r="L501" t="s">
        <v>49</v>
      </c>
      <c r="M501">
        <v>23166.42</v>
      </c>
      <c r="N501">
        <v>11990</v>
      </c>
      <c r="O501" t="s">
        <v>84</v>
      </c>
      <c r="P501" t="str">
        <f t="shared" si="63"/>
        <v>Yes</v>
      </c>
      <c r="Q501">
        <f t="shared" si="64"/>
        <v>67.69</v>
      </c>
      <c r="R501">
        <f t="shared" si="65"/>
        <v>7.13</v>
      </c>
      <c r="S501">
        <f t="shared" si="66"/>
        <v>1.93</v>
      </c>
      <c r="T501" t="str">
        <f t="shared" si="67"/>
        <v>Delayed</v>
      </c>
      <c r="U501" t="str">
        <f t="shared" si="68"/>
        <v>Medium</v>
      </c>
      <c r="V501" t="str">
        <f t="shared" si="69"/>
        <v>High Risk</v>
      </c>
      <c r="W501" t="str">
        <f t="shared" si="70"/>
        <v>Mar</v>
      </c>
      <c r="X501">
        <f t="shared" si="71"/>
        <v>2025</v>
      </c>
    </row>
    <row r="502" spans="1:24" x14ac:dyDescent="0.35">
      <c r="A502" s="3">
        <v>45848</v>
      </c>
      <c r="B502" t="s">
        <v>111</v>
      </c>
      <c r="C502" t="s">
        <v>109</v>
      </c>
      <c r="D502" t="s">
        <v>648</v>
      </c>
      <c r="E502" t="s">
        <v>41</v>
      </c>
      <c r="F502" t="s">
        <v>27</v>
      </c>
      <c r="G502" t="s">
        <v>71</v>
      </c>
      <c r="H502">
        <v>38.1</v>
      </c>
      <c r="I502">
        <v>3907</v>
      </c>
      <c r="J502">
        <v>106</v>
      </c>
      <c r="K502">
        <v>14.5</v>
      </c>
      <c r="L502" t="s">
        <v>30</v>
      </c>
      <c r="M502">
        <v>20126.03</v>
      </c>
      <c r="N502">
        <v>20961</v>
      </c>
      <c r="O502" t="s">
        <v>44</v>
      </c>
      <c r="P502" t="str">
        <f t="shared" si="63"/>
        <v>Yes</v>
      </c>
      <c r="Q502">
        <f t="shared" si="64"/>
        <v>102.55</v>
      </c>
      <c r="R502">
        <f t="shared" si="65"/>
        <v>5.15</v>
      </c>
      <c r="S502">
        <f t="shared" si="66"/>
        <v>0.96</v>
      </c>
      <c r="T502" t="str">
        <f t="shared" si="67"/>
        <v>Delayed</v>
      </c>
      <c r="U502" t="str">
        <f t="shared" si="68"/>
        <v>Low</v>
      </c>
      <c r="V502" t="str">
        <f t="shared" si="69"/>
        <v>Medium Risk</v>
      </c>
      <c r="W502" t="str">
        <f t="shared" si="70"/>
        <v>Jul</v>
      </c>
      <c r="X502">
        <f t="shared" si="71"/>
        <v>2025</v>
      </c>
    </row>
    <row r="503" spans="1:24" x14ac:dyDescent="0.35">
      <c r="A503" s="3">
        <v>45669</v>
      </c>
      <c r="B503" t="s">
        <v>256</v>
      </c>
      <c r="C503" t="s">
        <v>52</v>
      </c>
      <c r="D503" t="s">
        <v>649</v>
      </c>
      <c r="E503" t="s">
        <v>66</v>
      </c>
      <c r="F503" t="s">
        <v>41</v>
      </c>
      <c r="G503" t="s">
        <v>42</v>
      </c>
      <c r="H503">
        <v>51.3</v>
      </c>
      <c r="I503">
        <v>4477</v>
      </c>
      <c r="J503">
        <v>50</v>
      </c>
      <c r="K503">
        <v>10.199999999999999</v>
      </c>
      <c r="L503" t="s">
        <v>49</v>
      </c>
      <c r="M503">
        <v>27607.79</v>
      </c>
      <c r="N503">
        <v>16890</v>
      </c>
      <c r="O503" t="s">
        <v>50</v>
      </c>
      <c r="P503" t="str">
        <f t="shared" si="63"/>
        <v>Yes</v>
      </c>
      <c r="Q503">
        <f t="shared" si="64"/>
        <v>87.27</v>
      </c>
      <c r="R503">
        <f t="shared" si="65"/>
        <v>6.17</v>
      </c>
      <c r="S503">
        <f t="shared" si="66"/>
        <v>1.63</v>
      </c>
      <c r="T503" t="str">
        <f t="shared" si="67"/>
        <v>Delayed</v>
      </c>
      <c r="U503" t="str">
        <f t="shared" si="68"/>
        <v>Medium</v>
      </c>
      <c r="V503" t="str">
        <f t="shared" si="69"/>
        <v>High Risk</v>
      </c>
      <c r="W503" t="str">
        <f t="shared" si="70"/>
        <v>Jan</v>
      </c>
      <c r="X503">
        <f t="shared" si="71"/>
        <v>2025</v>
      </c>
    </row>
    <row r="504" spans="1:24" x14ac:dyDescent="0.35">
      <c r="A504" s="3">
        <v>45975</v>
      </c>
      <c r="B504" t="s">
        <v>300</v>
      </c>
      <c r="C504" t="s">
        <v>130</v>
      </c>
      <c r="D504" t="s">
        <v>650</v>
      </c>
      <c r="E504" t="s">
        <v>27</v>
      </c>
      <c r="F504" t="s">
        <v>63</v>
      </c>
      <c r="G504" t="s">
        <v>35</v>
      </c>
      <c r="H504">
        <v>64.3</v>
      </c>
      <c r="I504">
        <v>4515</v>
      </c>
      <c r="J504">
        <v>87</v>
      </c>
      <c r="K504">
        <v>13</v>
      </c>
      <c r="L504" t="s">
        <v>30</v>
      </c>
      <c r="M504">
        <v>36770.14</v>
      </c>
      <c r="N504">
        <v>16466</v>
      </c>
      <c r="O504" t="s">
        <v>44</v>
      </c>
      <c r="P504" t="str">
        <f t="shared" si="63"/>
        <v>Yes</v>
      </c>
      <c r="Q504">
        <f t="shared" si="64"/>
        <v>70.22</v>
      </c>
      <c r="R504">
        <f t="shared" si="65"/>
        <v>8.14</v>
      </c>
      <c r="S504">
        <f t="shared" si="66"/>
        <v>2.23</v>
      </c>
      <c r="T504" t="str">
        <f t="shared" si="67"/>
        <v>Delayed</v>
      </c>
      <c r="U504" t="str">
        <f t="shared" si="68"/>
        <v>High</v>
      </c>
      <c r="V504" t="str">
        <f t="shared" si="69"/>
        <v>Medium Risk</v>
      </c>
      <c r="W504" t="str">
        <f t="shared" si="70"/>
        <v>Nov</v>
      </c>
      <c r="X504">
        <f t="shared" si="71"/>
        <v>2025</v>
      </c>
    </row>
    <row r="505" spans="1:24" x14ac:dyDescent="0.35">
      <c r="A505" s="3">
        <v>45747</v>
      </c>
      <c r="B505" t="s">
        <v>430</v>
      </c>
      <c r="C505" t="s">
        <v>130</v>
      </c>
      <c r="D505" t="s">
        <v>651</v>
      </c>
      <c r="E505" t="s">
        <v>66</v>
      </c>
      <c r="F505" t="s">
        <v>48</v>
      </c>
      <c r="G505" t="s">
        <v>42</v>
      </c>
      <c r="H505">
        <v>63.2</v>
      </c>
      <c r="I505">
        <v>1567</v>
      </c>
      <c r="J505">
        <v>118</v>
      </c>
      <c r="K505">
        <v>16.5</v>
      </c>
      <c r="L505" t="s">
        <v>78</v>
      </c>
      <c r="M505">
        <v>36235.85</v>
      </c>
      <c r="N505">
        <v>17039</v>
      </c>
      <c r="O505" t="s">
        <v>67</v>
      </c>
      <c r="P505" t="str">
        <f t="shared" si="63"/>
        <v>No</v>
      </c>
      <c r="Q505">
        <f t="shared" si="64"/>
        <v>24.79</v>
      </c>
      <c r="R505">
        <f t="shared" si="65"/>
        <v>23.12</v>
      </c>
      <c r="S505">
        <f t="shared" si="66"/>
        <v>2.13</v>
      </c>
      <c r="T505" t="str">
        <f t="shared" si="67"/>
        <v>On Time</v>
      </c>
      <c r="U505" t="str">
        <f t="shared" si="68"/>
        <v>High</v>
      </c>
      <c r="V505" t="str">
        <f t="shared" si="69"/>
        <v>Low Risk</v>
      </c>
      <c r="W505" t="str">
        <f t="shared" si="70"/>
        <v>Mar</v>
      </c>
      <c r="X505">
        <f t="shared" si="71"/>
        <v>2025</v>
      </c>
    </row>
    <row r="506" spans="1:24" x14ac:dyDescent="0.35">
      <c r="A506" s="3">
        <v>45923</v>
      </c>
      <c r="B506" t="s">
        <v>157</v>
      </c>
      <c r="C506" t="s">
        <v>57</v>
      </c>
      <c r="D506" t="s">
        <v>652</v>
      </c>
      <c r="E506" t="s">
        <v>27</v>
      </c>
      <c r="F506" t="s">
        <v>63</v>
      </c>
      <c r="G506" t="s">
        <v>71</v>
      </c>
      <c r="H506">
        <v>56</v>
      </c>
      <c r="I506">
        <v>4603</v>
      </c>
      <c r="J506">
        <v>56</v>
      </c>
      <c r="K506">
        <v>10.6</v>
      </c>
      <c r="L506" t="s">
        <v>49</v>
      </c>
      <c r="M506">
        <v>38436.25</v>
      </c>
      <c r="N506">
        <v>8207</v>
      </c>
      <c r="O506" t="s">
        <v>67</v>
      </c>
      <c r="P506" t="str">
        <f t="shared" si="63"/>
        <v>Yes</v>
      </c>
      <c r="Q506">
        <f t="shared" si="64"/>
        <v>82.2</v>
      </c>
      <c r="R506">
        <f t="shared" si="65"/>
        <v>8.35</v>
      </c>
      <c r="S506">
        <f t="shared" si="66"/>
        <v>4.68</v>
      </c>
      <c r="T506" t="str">
        <f t="shared" si="67"/>
        <v>Delayed</v>
      </c>
      <c r="U506" t="str">
        <f t="shared" si="68"/>
        <v>Medium</v>
      </c>
      <c r="V506" t="str">
        <f t="shared" si="69"/>
        <v>High Risk</v>
      </c>
      <c r="W506" t="str">
        <f t="shared" si="70"/>
        <v>Sep</v>
      </c>
      <c r="X506">
        <f t="shared" si="71"/>
        <v>2025</v>
      </c>
    </row>
    <row r="507" spans="1:24" x14ac:dyDescent="0.35">
      <c r="A507" s="3">
        <v>45808</v>
      </c>
      <c r="B507" t="s">
        <v>61</v>
      </c>
      <c r="C507" t="s">
        <v>69</v>
      </c>
      <c r="D507" t="s">
        <v>653</v>
      </c>
      <c r="E507" t="s">
        <v>28</v>
      </c>
      <c r="F507" t="s">
        <v>48</v>
      </c>
      <c r="G507" t="s">
        <v>29</v>
      </c>
      <c r="H507">
        <v>44.9</v>
      </c>
      <c r="I507">
        <v>904</v>
      </c>
      <c r="J507">
        <v>23</v>
      </c>
      <c r="K507">
        <v>12.1</v>
      </c>
      <c r="L507" t="s">
        <v>30</v>
      </c>
      <c r="M507">
        <v>26837.66</v>
      </c>
      <c r="N507">
        <v>6766</v>
      </c>
      <c r="O507" t="s">
        <v>59</v>
      </c>
      <c r="P507" t="str">
        <f t="shared" si="63"/>
        <v>Yes</v>
      </c>
      <c r="Q507">
        <f t="shared" si="64"/>
        <v>20.13</v>
      </c>
      <c r="R507">
        <f t="shared" si="65"/>
        <v>29.69</v>
      </c>
      <c r="S507">
        <f t="shared" si="66"/>
        <v>3.97</v>
      </c>
      <c r="T507" t="str">
        <f t="shared" si="67"/>
        <v>Delayed</v>
      </c>
      <c r="U507" t="str">
        <f t="shared" si="68"/>
        <v>Medium</v>
      </c>
      <c r="V507" t="str">
        <f t="shared" si="69"/>
        <v>Medium Risk</v>
      </c>
      <c r="W507" t="str">
        <f t="shared" si="70"/>
        <v>May</v>
      </c>
      <c r="X507">
        <f t="shared" si="71"/>
        <v>2025</v>
      </c>
    </row>
    <row r="508" spans="1:24" x14ac:dyDescent="0.35">
      <c r="A508" s="3">
        <v>45734</v>
      </c>
      <c r="B508" t="s">
        <v>157</v>
      </c>
      <c r="C508" t="s">
        <v>57</v>
      </c>
      <c r="D508" t="s">
        <v>654</v>
      </c>
      <c r="E508" t="s">
        <v>55</v>
      </c>
      <c r="F508" t="s">
        <v>48</v>
      </c>
      <c r="G508" t="s">
        <v>35</v>
      </c>
      <c r="H508">
        <v>23.5</v>
      </c>
      <c r="I508">
        <v>3294</v>
      </c>
      <c r="J508">
        <v>92</v>
      </c>
      <c r="K508">
        <v>20.3</v>
      </c>
      <c r="L508" t="s">
        <v>30</v>
      </c>
      <c r="M508">
        <v>13214.65</v>
      </c>
      <c r="N508">
        <v>12697</v>
      </c>
      <c r="O508" t="s">
        <v>44</v>
      </c>
      <c r="P508" t="str">
        <f t="shared" si="63"/>
        <v>Yes</v>
      </c>
      <c r="Q508">
        <f t="shared" si="64"/>
        <v>140.16999999999999</v>
      </c>
      <c r="R508">
        <f t="shared" si="65"/>
        <v>4.01</v>
      </c>
      <c r="S508">
        <f t="shared" si="66"/>
        <v>1.04</v>
      </c>
      <c r="T508" t="str">
        <f t="shared" si="67"/>
        <v>Delayed</v>
      </c>
      <c r="U508" t="str">
        <f t="shared" si="68"/>
        <v>Low</v>
      </c>
      <c r="V508" t="str">
        <f t="shared" si="69"/>
        <v>Medium Risk</v>
      </c>
      <c r="W508" t="str">
        <f t="shared" si="70"/>
        <v>Mar</v>
      </c>
      <c r="X508">
        <f t="shared" si="71"/>
        <v>2025</v>
      </c>
    </row>
    <row r="509" spans="1:24" x14ac:dyDescent="0.35">
      <c r="A509" s="3">
        <v>45940</v>
      </c>
      <c r="B509" t="s">
        <v>104</v>
      </c>
      <c r="C509" t="s">
        <v>52</v>
      </c>
      <c r="D509" t="s">
        <v>655</v>
      </c>
      <c r="E509" t="s">
        <v>48</v>
      </c>
      <c r="F509" t="s">
        <v>27</v>
      </c>
      <c r="G509" t="s">
        <v>35</v>
      </c>
      <c r="H509">
        <v>20.8</v>
      </c>
      <c r="I509">
        <v>4022</v>
      </c>
      <c r="J509">
        <v>31</v>
      </c>
      <c r="K509">
        <v>15.3</v>
      </c>
      <c r="L509" t="s">
        <v>78</v>
      </c>
      <c r="M509">
        <v>11927</v>
      </c>
      <c r="N509">
        <v>24297</v>
      </c>
      <c r="O509" t="s">
        <v>91</v>
      </c>
      <c r="P509" t="str">
        <f t="shared" si="63"/>
        <v>No</v>
      </c>
      <c r="Q509">
        <f t="shared" si="64"/>
        <v>193.37</v>
      </c>
      <c r="R509">
        <f t="shared" si="65"/>
        <v>2.97</v>
      </c>
      <c r="S509">
        <f t="shared" si="66"/>
        <v>0.49</v>
      </c>
      <c r="T509" t="str">
        <f t="shared" si="67"/>
        <v>On Time</v>
      </c>
      <c r="U509" t="str">
        <f t="shared" si="68"/>
        <v>Low</v>
      </c>
      <c r="V509" t="str">
        <f t="shared" si="69"/>
        <v>Low Risk</v>
      </c>
      <c r="W509" t="str">
        <f t="shared" si="70"/>
        <v>Oct</v>
      </c>
      <c r="X509">
        <f t="shared" si="71"/>
        <v>2025</v>
      </c>
    </row>
    <row r="510" spans="1:24" x14ac:dyDescent="0.35">
      <c r="A510" s="3">
        <v>45931</v>
      </c>
      <c r="B510" t="s">
        <v>300</v>
      </c>
      <c r="C510" t="s">
        <v>52</v>
      </c>
      <c r="D510" t="s">
        <v>656</v>
      </c>
      <c r="E510" t="s">
        <v>66</v>
      </c>
      <c r="F510" t="s">
        <v>54</v>
      </c>
      <c r="G510" t="s">
        <v>71</v>
      </c>
      <c r="H510">
        <v>31.7</v>
      </c>
      <c r="I510">
        <v>1540</v>
      </c>
      <c r="J510">
        <v>73</v>
      </c>
      <c r="K510">
        <v>15.7</v>
      </c>
      <c r="L510" t="s">
        <v>49</v>
      </c>
      <c r="M510">
        <v>21637.15</v>
      </c>
      <c r="N510">
        <v>8404</v>
      </c>
      <c r="O510" t="s">
        <v>36</v>
      </c>
      <c r="P510" t="str">
        <f t="shared" si="63"/>
        <v>Yes</v>
      </c>
      <c r="Q510">
        <f t="shared" si="64"/>
        <v>48.58</v>
      </c>
      <c r="R510">
        <f t="shared" si="65"/>
        <v>14.05</v>
      </c>
      <c r="S510">
        <f t="shared" si="66"/>
        <v>2.57</v>
      </c>
      <c r="T510" t="str">
        <f t="shared" si="67"/>
        <v>Delayed</v>
      </c>
      <c r="U510" t="str">
        <f t="shared" si="68"/>
        <v>Low</v>
      </c>
      <c r="V510" t="str">
        <f t="shared" si="69"/>
        <v>High Risk</v>
      </c>
      <c r="W510" t="str">
        <f t="shared" si="70"/>
        <v>Oct</v>
      </c>
      <c r="X510">
        <f t="shared" si="71"/>
        <v>2025</v>
      </c>
    </row>
    <row r="511" spans="1:24" x14ac:dyDescent="0.35">
      <c r="A511" s="3">
        <v>45666</v>
      </c>
      <c r="B511" t="s">
        <v>173</v>
      </c>
      <c r="C511" t="s">
        <v>57</v>
      </c>
      <c r="D511" t="s">
        <v>657</v>
      </c>
      <c r="E511" t="s">
        <v>54</v>
      </c>
      <c r="F511" t="s">
        <v>66</v>
      </c>
      <c r="G511" t="s">
        <v>29</v>
      </c>
      <c r="H511">
        <v>36.1</v>
      </c>
      <c r="I511">
        <v>3980</v>
      </c>
      <c r="J511">
        <v>44</v>
      </c>
      <c r="K511">
        <v>14.4</v>
      </c>
      <c r="L511" t="s">
        <v>78</v>
      </c>
      <c r="M511">
        <v>20953.939999999999</v>
      </c>
      <c r="N511">
        <v>13053</v>
      </c>
      <c r="O511" t="s">
        <v>50</v>
      </c>
      <c r="P511" t="str">
        <f t="shared" si="63"/>
        <v>No</v>
      </c>
      <c r="Q511">
        <f t="shared" si="64"/>
        <v>110.25</v>
      </c>
      <c r="R511">
        <f t="shared" si="65"/>
        <v>5.26</v>
      </c>
      <c r="S511">
        <f t="shared" si="66"/>
        <v>1.61</v>
      </c>
      <c r="T511" t="str">
        <f t="shared" si="67"/>
        <v>On Time</v>
      </c>
      <c r="U511" t="str">
        <f t="shared" si="68"/>
        <v>Low</v>
      </c>
      <c r="V511" t="str">
        <f t="shared" si="69"/>
        <v>Low Risk</v>
      </c>
      <c r="W511" t="str">
        <f t="shared" si="70"/>
        <v>Jan</v>
      </c>
      <c r="X511">
        <f t="shared" si="71"/>
        <v>2025</v>
      </c>
    </row>
    <row r="512" spans="1:24" x14ac:dyDescent="0.35">
      <c r="A512" s="3">
        <v>45775</v>
      </c>
      <c r="B512" t="s">
        <v>127</v>
      </c>
      <c r="C512" t="s">
        <v>57</v>
      </c>
      <c r="D512" t="s">
        <v>658</v>
      </c>
      <c r="E512" t="s">
        <v>28</v>
      </c>
      <c r="F512" t="s">
        <v>27</v>
      </c>
      <c r="G512" t="s">
        <v>29</v>
      </c>
      <c r="H512">
        <v>56.5</v>
      </c>
      <c r="I512">
        <v>1123</v>
      </c>
      <c r="J512">
        <v>66</v>
      </c>
      <c r="K512">
        <v>10.7</v>
      </c>
      <c r="L512" t="s">
        <v>78</v>
      </c>
      <c r="M512">
        <v>36093.589999999997</v>
      </c>
      <c r="N512">
        <v>12694</v>
      </c>
      <c r="O512" t="s">
        <v>44</v>
      </c>
      <c r="P512" t="str">
        <f t="shared" si="63"/>
        <v>No</v>
      </c>
      <c r="Q512">
        <f t="shared" si="64"/>
        <v>19.88</v>
      </c>
      <c r="R512">
        <f t="shared" si="65"/>
        <v>32.14</v>
      </c>
      <c r="S512">
        <f t="shared" si="66"/>
        <v>2.84</v>
      </c>
      <c r="T512" t="str">
        <f t="shared" si="67"/>
        <v>On Time</v>
      </c>
      <c r="U512" t="str">
        <f t="shared" si="68"/>
        <v>Medium</v>
      </c>
      <c r="V512" t="str">
        <f t="shared" si="69"/>
        <v>Low Risk</v>
      </c>
      <c r="W512" t="str">
        <f t="shared" si="70"/>
        <v>Apr</v>
      </c>
      <c r="X512">
        <f t="shared" si="71"/>
        <v>2025</v>
      </c>
    </row>
    <row r="513" spans="1:24" x14ac:dyDescent="0.35">
      <c r="A513" s="3">
        <v>45812</v>
      </c>
      <c r="B513" t="s">
        <v>236</v>
      </c>
      <c r="C513" t="s">
        <v>39</v>
      </c>
      <c r="D513" t="s">
        <v>659</v>
      </c>
      <c r="E513" t="s">
        <v>41</v>
      </c>
      <c r="F513" t="s">
        <v>55</v>
      </c>
      <c r="G513" t="s">
        <v>42</v>
      </c>
      <c r="H513">
        <v>35.6</v>
      </c>
      <c r="I513">
        <v>1099</v>
      </c>
      <c r="J513">
        <v>24</v>
      </c>
      <c r="K513">
        <v>14.2</v>
      </c>
      <c r="L513" t="s">
        <v>30</v>
      </c>
      <c r="M513">
        <v>24822.12</v>
      </c>
      <c r="N513">
        <v>7979</v>
      </c>
      <c r="O513" t="s">
        <v>50</v>
      </c>
      <c r="P513" t="str">
        <f t="shared" si="63"/>
        <v>Yes</v>
      </c>
      <c r="Q513">
        <f t="shared" si="64"/>
        <v>30.87</v>
      </c>
      <c r="R513">
        <f t="shared" si="65"/>
        <v>22.59</v>
      </c>
      <c r="S513">
        <f t="shared" si="66"/>
        <v>3.11</v>
      </c>
      <c r="T513" t="str">
        <f t="shared" si="67"/>
        <v>Delayed</v>
      </c>
      <c r="U513" t="str">
        <f t="shared" si="68"/>
        <v>Low</v>
      </c>
      <c r="V513" t="str">
        <f t="shared" si="69"/>
        <v>Medium Risk</v>
      </c>
      <c r="W513" t="str">
        <f t="shared" si="70"/>
        <v>Jun</v>
      </c>
      <c r="X513">
        <f t="shared" si="71"/>
        <v>2025</v>
      </c>
    </row>
    <row r="514" spans="1:24" x14ac:dyDescent="0.35">
      <c r="A514" s="3">
        <v>45703</v>
      </c>
      <c r="B514" t="s">
        <v>275</v>
      </c>
      <c r="C514" t="s">
        <v>57</v>
      </c>
      <c r="D514" t="s">
        <v>660</v>
      </c>
      <c r="E514" t="s">
        <v>55</v>
      </c>
      <c r="F514" t="s">
        <v>63</v>
      </c>
      <c r="G514" t="s">
        <v>71</v>
      </c>
      <c r="H514">
        <v>47.5</v>
      </c>
      <c r="I514">
        <v>4267</v>
      </c>
      <c r="J514">
        <v>42</v>
      </c>
      <c r="K514">
        <v>14.9</v>
      </c>
      <c r="L514" t="s">
        <v>30</v>
      </c>
      <c r="M514">
        <v>28299.84</v>
      </c>
      <c r="N514">
        <v>28923</v>
      </c>
      <c r="O514" t="s">
        <v>91</v>
      </c>
      <c r="P514" t="str">
        <f t="shared" ref="P514:P577" si="72">IF(OR(L514="Rain",L514="Fog",L514="Storm"),"Yes","No")</f>
        <v>Yes</v>
      </c>
      <c r="Q514">
        <f t="shared" ref="Q514:Q577" si="73">ROUND(I514/H514,2)</f>
        <v>89.83</v>
      </c>
      <c r="R514">
        <f t="shared" ref="R514:R577" si="74">ROUND(M514/I514,2)</f>
        <v>6.63</v>
      </c>
      <c r="S514">
        <f t="shared" ref="S514:S577" si="75">ROUND(M514/N514,2)</f>
        <v>0.98</v>
      </c>
      <c r="T514" t="str">
        <f t="shared" ref="T514:T577" si="76">IF(P514="Yes","Delayed","On Time")</f>
        <v>Delayed</v>
      </c>
      <c r="U514" t="str">
        <f t="shared" ref="U514:U577" si="77">IF(H514&gt;=60,"High",IF(H514&gt;=40,"Medium","Low"))</f>
        <v>Medium</v>
      </c>
      <c r="V514" t="str">
        <f t="shared" ref="V514:V577" si="78">IF(L514="Storm","High Risk",IF(L514="Rain","Medium Risk","Low Risk"))</f>
        <v>Medium Risk</v>
      </c>
      <c r="W514" t="str">
        <f t="shared" ref="W514:W577" si="79">TEXT(A514,"mmm")</f>
        <v>Feb</v>
      </c>
      <c r="X514">
        <f t="shared" si="71"/>
        <v>2025</v>
      </c>
    </row>
    <row r="515" spans="1:24" x14ac:dyDescent="0.35">
      <c r="A515" s="3">
        <v>45842</v>
      </c>
      <c r="B515" t="s">
        <v>113</v>
      </c>
      <c r="C515" t="s">
        <v>69</v>
      </c>
      <c r="D515" t="s">
        <v>661</v>
      </c>
      <c r="E515" t="s">
        <v>28</v>
      </c>
      <c r="F515" t="s">
        <v>55</v>
      </c>
      <c r="G515" t="s">
        <v>71</v>
      </c>
      <c r="H515">
        <v>27.6</v>
      </c>
      <c r="I515">
        <v>2902</v>
      </c>
      <c r="J515">
        <v>88</v>
      </c>
      <c r="K515">
        <v>12.9</v>
      </c>
      <c r="L515" t="s">
        <v>78</v>
      </c>
      <c r="M515">
        <v>17648.27</v>
      </c>
      <c r="N515">
        <v>17174</v>
      </c>
      <c r="O515" t="s">
        <v>44</v>
      </c>
      <c r="P515" t="str">
        <f t="shared" si="72"/>
        <v>No</v>
      </c>
      <c r="Q515">
        <f t="shared" si="73"/>
        <v>105.14</v>
      </c>
      <c r="R515">
        <f t="shared" si="74"/>
        <v>6.08</v>
      </c>
      <c r="S515">
        <f t="shared" si="75"/>
        <v>1.03</v>
      </c>
      <c r="T515" t="str">
        <f t="shared" si="76"/>
        <v>On Time</v>
      </c>
      <c r="U515" t="str">
        <f t="shared" si="77"/>
        <v>Low</v>
      </c>
      <c r="V515" t="str">
        <f t="shared" si="78"/>
        <v>Low Risk</v>
      </c>
      <c r="W515" t="str">
        <f t="shared" si="79"/>
        <v>Jul</v>
      </c>
      <c r="X515">
        <f t="shared" ref="X515:X578" si="80">YEAR(A515)</f>
        <v>2025</v>
      </c>
    </row>
    <row r="516" spans="1:24" x14ac:dyDescent="0.35">
      <c r="A516" s="3">
        <v>45677</v>
      </c>
      <c r="B516" t="s">
        <v>190</v>
      </c>
      <c r="C516" t="s">
        <v>39</v>
      </c>
      <c r="D516" t="s">
        <v>662</v>
      </c>
      <c r="E516" t="s">
        <v>66</v>
      </c>
      <c r="F516" t="s">
        <v>55</v>
      </c>
      <c r="G516" t="s">
        <v>71</v>
      </c>
      <c r="H516">
        <v>62.2</v>
      </c>
      <c r="I516">
        <v>4126</v>
      </c>
      <c r="J516">
        <v>27</v>
      </c>
      <c r="K516">
        <v>10.7</v>
      </c>
      <c r="L516" t="s">
        <v>49</v>
      </c>
      <c r="M516">
        <v>31142.49</v>
      </c>
      <c r="N516">
        <v>25259</v>
      </c>
      <c r="O516" t="s">
        <v>44</v>
      </c>
      <c r="P516" t="str">
        <f t="shared" si="72"/>
        <v>Yes</v>
      </c>
      <c r="Q516">
        <f t="shared" si="73"/>
        <v>66.33</v>
      </c>
      <c r="R516">
        <f t="shared" si="74"/>
        <v>7.55</v>
      </c>
      <c r="S516">
        <f t="shared" si="75"/>
        <v>1.23</v>
      </c>
      <c r="T516" t="str">
        <f t="shared" si="76"/>
        <v>Delayed</v>
      </c>
      <c r="U516" t="str">
        <f t="shared" si="77"/>
        <v>High</v>
      </c>
      <c r="V516" t="str">
        <f t="shared" si="78"/>
        <v>High Risk</v>
      </c>
      <c r="W516" t="str">
        <f t="shared" si="79"/>
        <v>Jan</v>
      </c>
      <c r="X516">
        <f t="shared" si="80"/>
        <v>2025</v>
      </c>
    </row>
    <row r="517" spans="1:24" x14ac:dyDescent="0.35">
      <c r="A517" s="3">
        <v>45662</v>
      </c>
      <c r="B517" t="s">
        <v>300</v>
      </c>
      <c r="C517" t="s">
        <v>109</v>
      </c>
      <c r="D517" t="s">
        <v>663</v>
      </c>
      <c r="E517" t="s">
        <v>54</v>
      </c>
      <c r="F517" t="s">
        <v>41</v>
      </c>
      <c r="G517" t="s">
        <v>29</v>
      </c>
      <c r="H517">
        <v>40.799999999999997</v>
      </c>
      <c r="I517">
        <v>3007</v>
      </c>
      <c r="J517">
        <v>97</v>
      </c>
      <c r="K517">
        <v>11.4</v>
      </c>
      <c r="L517" t="s">
        <v>78</v>
      </c>
      <c r="M517">
        <v>22986.37</v>
      </c>
      <c r="N517">
        <v>21363</v>
      </c>
      <c r="O517" t="s">
        <v>36</v>
      </c>
      <c r="P517" t="str">
        <f t="shared" si="72"/>
        <v>No</v>
      </c>
      <c r="Q517">
        <f t="shared" si="73"/>
        <v>73.7</v>
      </c>
      <c r="R517">
        <f t="shared" si="74"/>
        <v>7.64</v>
      </c>
      <c r="S517">
        <f t="shared" si="75"/>
        <v>1.08</v>
      </c>
      <c r="T517" t="str">
        <f t="shared" si="76"/>
        <v>On Time</v>
      </c>
      <c r="U517" t="str">
        <f t="shared" si="77"/>
        <v>Medium</v>
      </c>
      <c r="V517" t="str">
        <f t="shared" si="78"/>
        <v>Low Risk</v>
      </c>
      <c r="W517" t="str">
        <f t="shared" si="79"/>
        <v>Jan</v>
      </c>
      <c r="X517">
        <f t="shared" si="80"/>
        <v>2025</v>
      </c>
    </row>
    <row r="518" spans="1:24" x14ac:dyDescent="0.35">
      <c r="A518" s="3">
        <v>45731</v>
      </c>
      <c r="B518" t="s">
        <v>46</v>
      </c>
      <c r="C518" t="s">
        <v>39</v>
      </c>
      <c r="D518" t="s">
        <v>664</v>
      </c>
      <c r="E518" t="s">
        <v>54</v>
      </c>
      <c r="F518" t="s">
        <v>55</v>
      </c>
      <c r="G518" t="s">
        <v>29</v>
      </c>
      <c r="H518">
        <v>28.6</v>
      </c>
      <c r="I518">
        <v>1015</v>
      </c>
      <c r="J518">
        <v>101</v>
      </c>
      <c r="K518">
        <v>14.9</v>
      </c>
      <c r="L518" t="s">
        <v>49</v>
      </c>
      <c r="M518">
        <v>19958.05</v>
      </c>
      <c r="N518">
        <v>8915</v>
      </c>
      <c r="O518" t="s">
        <v>59</v>
      </c>
      <c r="P518" t="str">
        <f t="shared" si="72"/>
        <v>Yes</v>
      </c>
      <c r="Q518">
        <f t="shared" si="73"/>
        <v>35.49</v>
      </c>
      <c r="R518">
        <f t="shared" si="74"/>
        <v>19.66</v>
      </c>
      <c r="S518">
        <f t="shared" si="75"/>
        <v>2.2400000000000002</v>
      </c>
      <c r="T518" t="str">
        <f t="shared" si="76"/>
        <v>Delayed</v>
      </c>
      <c r="U518" t="str">
        <f t="shared" si="77"/>
        <v>Low</v>
      </c>
      <c r="V518" t="str">
        <f t="shared" si="78"/>
        <v>High Risk</v>
      </c>
      <c r="W518" t="str">
        <f t="shared" si="79"/>
        <v>Mar</v>
      </c>
      <c r="X518">
        <f t="shared" si="80"/>
        <v>2025</v>
      </c>
    </row>
    <row r="519" spans="1:24" x14ac:dyDescent="0.35">
      <c r="A519" s="3">
        <v>45876</v>
      </c>
      <c r="B519" t="s">
        <v>167</v>
      </c>
      <c r="C519" t="s">
        <v>39</v>
      </c>
      <c r="D519" t="s">
        <v>665</v>
      </c>
      <c r="E519" t="s">
        <v>28</v>
      </c>
      <c r="F519" t="s">
        <v>41</v>
      </c>
      <c r="G519" t="s">
        <v>35</v>
      </c>
      <c r="H519">
        <v>61.1</v>
      </c>
      <c r="I519">
        <v>3152</v>
      </c>
      <c r="J519">
        <v>69</v>
      </c>
      <c r="K519">
        <v>18.100000000000001</v>
      </c>
      <c r="L519" t="s">
        <v>78</v>
      </c>
      <c r="M519">
        <v>38138.42</v>
      </c>
      <c r="N519">
        <v>21007</v>
      </c>
      <c r="O519" t="s">
        <v>44</v>
      </c>
      <c r="P519" t="str">
        <f t="shared" si="72"/>
        <v>No</v>
      </c>
      <c r="Q519">
        <f t="shared" si="73"/>
        <v>51.59</v>
      </c>
      <c r="R519">
        <f t="shared" si="74"/>
        <v>12.1</v>
      </c>
      <c r="S519">
        <f t="shared" si="75"/>
        <v>1.82</v>
      </c>
      <c r="T519" t="str">
        <f t="shared" si="76"/>
        <v>On Time</v>
      </c>
      <c r="U519" t="str">
        <f t="shared" si="77"/>
        <v>High</v>
      </c>
      <c r="V519" t="str">
        <f t="shared" si="78"/>
        <v>Low Risk</v>
      </c>
      <c r="W519" t="str">
        <f t="shared" si="79"/>
        <v>Aug</v>
      </c>
      <c r="X519">
        <f t="shared" si="80"/>
        <v>2025</v>
      </c>
    </row>
    <row r="520" spans="1:24" x14ac:dyDescent="0.35">
      <c r="A520" s="3">
        <v>45905</v>
      </c>
      <c r="B520" t="s">
        <v>221</v>
      </c>
      <c r="C520" t="s">
        <v>25</v>
      </c>
      <c r="D520" t="s">
        <v>666</v>
      </c>
      <c r="E520" t="s">
        <v>27</v>
      </c>
      <c r="F520" t="s">
        <v>48</v>
      </c>
      <c r="G520" t="s">
        <v>29</v>
      </c>
      <c r="H520">
        <v>25.4</v>
      </c>
      <c r="I520">
        <v>611</v>
      </c>
      <c r="J520">
        <v>26</v>
      </c>
      <c r="K520">
        <v>18.100000000000001</v>
      </c>
      <c r="L520" t="s">
        <v>49</v>
      </c>
      <c r="M520">
        <v>14811.61</v>
      </c>
      <c r="N520">
        <v>22749</v>
      </c>
      <c r="O520" t="s">
        <v>91</v>
      </c>
      <c r="P520" t="str">
        <f t="shared" si="72"/>
        <v>Yes</v>
      </c>
      <c r="Q520">
        <f t="shared" si="73"/>
        <v>24.06</v>
      </c>
      <c r="R520">
        <f t="shared" si="74"/>
        <v>24.24</v>
      </c>
      <c r="S520">
        <f t="shared" si="75"/>
        <v>0.65</v>
      </c>
      <c r="T520" t="str">
        <f t="shared" si="76"/>
        <v>Delayed</v>
      </c>
      <c r="U520" t="str">
        <f t="shared" si="77"/>
        <v>Low</v>
      </c>
      <c r="V520" t="str">
        <f t="shared" si="78"/>
        <v>High Risk</v>
      </c>
      <c r="W520" t="str">
        <f t="shared" si="79"/>
        <v>Sep</v>
      </c>
      <c r="X520">
        <f t="shared" si="80"/>
        <v>2025</v>
      </c>
    </row>
    <row r="521" spans="1:24" x14ac:dyDescent="0.35">
      <c r="A521" s="3">
        <v>45689</v>
      </c>
      <c r="B521" t="s">
        <v>89</v>
      </c>
      <c r="C521" t="s">
        <v>52</v>
      </c>
      <c r="D521" t="s">
        <v>667</v>
      </c>
      <c r="E521" t="s">
        <v>63</v>
      </c>
      <c r="F521" t="s">
        <v>55</v>
      </c>
      <c r="G521" t="s">
        <v>71</v>
      </c>
      <c r="H521">
        <v>25.7</v>
      </c>
      <c r="I521">
        <v>3021</v>
      </c>
      <c r="J521">
        <v>45</v>
      </c>
      <c r="K521">
        <v>11.3</v>
      </c>
      <c r="L521" t="s">
        <v>78</v>
      </c>
      <c r="M521">
        <v>14673.84</v>
      </c>
      <c r="N521">
        <v>13024</v>
      </c>
      <c r="O521" t="s">
        <v>84</v>
      </c>
      <c r="P521" t="str">
        <f t="shared" si="72"/>
        <v>No</v>
      </c>
      <c r="Q521">
        <f t="shared" si="73"/>
        <v>117.55</v>
      </c>
      <c r="R521">
        <f t="shared" si="74"/>
        <v>4.8600000000000003</v>
      </c>
      <c r="S521">
        <f t="shared" si="75"/>
        <v>1.1299999999999999</v>
      </c>
      <c r="T521" t="str">
        <f t="shared" si="76"/>
        <v>On Time</v>
      </c>
      <c r="U521" t="str">
        <f t="shared" si="77"/>
        <v>Low</v>
      </c>
      <c r="V521" t="str">
        <f t="shared" si="78"/>
        <v>Low Risk</v>
      </c>
      <c r="W521" t="str">
        <f t="shared" si="79"/>
        <v>Feb</v>
      </c>
      <c r="X521">
        <f t="shared" si="80"/>
        <v>2025</v>
      </c>
    </row>
    <row r="522" spans="1:24" x14ac:dyDescent="0.35">
      <c r="A522" s="3">
        <v>45665</v>
      </c>
      <c r="B522" t="s">
        <v>118</v>
      </c>
      <c r="C522" t="s">
        <v>39</v>
      </c>
      <c r="D522" t="s">
        <v>668</v>
      </c>
      <c r="E522" t="s">
        <v>28</v>
      </c>
      <c r="F522" t="s">
        <v>66</v>
      </c>
      <c r="G522" t="s">
        <v>29</v>
      </c>
      <c r="H522">
        <v>32.4</v>
      </c>
      <c r="I522">
        <v>4958</v>
      </c>
      <c r="J522">
        <v>75</v>
      </c>
      <c r="K522">
        <v>11.9</v>
      </c>
      <c r="L522" t="s">
        <v>78</v>
      </c>
      <c r="M522">
        <v>22588.560000000001</v>
      </c>
      <c r="N522">
        <v>21640</v>
      </c>
      <c r="O522" t="s">
        <v>31</v>
      </c>
      <c r="P522" t="str">
        <f t="shared" si="72"/>
        <v>No</v>
      </c>
      <c r="Q522">
        <f t="shared" si="73"/>
        <v>153.02000000000001</v>
      </c>
      <c r="R522">
        <f t="shared" si="74"/>
        <v>4.5599999999999996</v>
      </c>
      <c r="S522">
        <f t="shared" si="75"/>
        <v>1.04</v>
      </c>
      <c r="T522" t="str">
        <f t="shared" si="76"/>
        <v>On Time</v>
      </c>
      <c r="U522" t="str">
        <f t="shared" si="77"/>
        <v>Low</v>
      </c>
      <c r="V522" t="str">
        <f t="shared" si="78"/>
        <v>Low Risk</v>
      </c>
      <c r="W522" t="str">
        <f t="shared" si="79"/>
        <v>Jan</v>
      </c>
      <c r="X522">
        <f t="shared" si="80"/>
        <v>2025</v>
      </c>
    </row>
    <row r="523" spans="1:24" x14ac:dyDescent="0.35">
      <c r="A523" s="3">
        <v>45982</v>
      </c>
      <c r="B523" t="s">
        <v>80</v>
      </c>
      <c r="C523" t="s">
        <v>57</v>
      </c>
      <c r="D523" t="s">
        <v>669</v>
      </c>
      <c r="E523" t="s">
        <v>63</v>
      </c>
      <c r="F523" t="s">
        <v>28</v>
      </c>
      <c r="G523" t="s">
        <v>35</v>
      </c>
      <c r="H523">
        <v>78.599999999999994</v>
      </c>
      <c r="I523">
        <v>941</v>
      </c>
      <c r="J523">
        <v>81</v>
      </c>
      <c r="K523">
        <v>17.899999999999999</v>
      </c>
      <c r="L523" t="s">
        <v>30</v>
      </c>
      <c r="M523">
        <v>53232.9</v>
      </c>
      <c r="N523">
        <v>18304</v>
      </c>
      <c r="O523" t="s">
        <v>67</v>
      </c>
      <c r="P523" t="str">
        <f t="shared" si="72"/>
        <v>Yes</v>
      </c>
      <c r="Q523">
        <f t="shared" si="73"/>
        <v>11.97</v>
      </c>
      <c r="R523">
        <f t="shared" si="74"/>
        <v>56.57</v>
      </c>
      <c r="S523">
        <f t="shared" si="75"/>
        <v>2.91</v>
      </c>
      <c r="T523" t="str">
        <f t="shared" si="76"/>
        <v>Delayed</v>
      </c>
      <c r="U523" t="str">
        <f t="shared" si="77"/>
        <v>High</v>
      </c>
      <c r="V523" t="str">
        <f t="shared" si="78"/>
        <v>Medium Risk</v>
      </c>
      <c r="W523" t="str">
        <f t="shared" si="79"/>
        <v>Nov</v>
      </c>
      <c r="X523">
        <f t="shared" si="80"/>
        <v>2025</v>
      </c>
    </row>
    <row r="524" spans="1:24" x14ac:dyDescent="0.35">
      <c r="A524" s="3">
        <v>46019</v>
      </c>
      <c r="B524" t="s">
        <v>129</v>
      </c>
      <c r="C524" t="s">
        <v>52</v>
      </c>
      <c r="D524" t="s">
        <v>670</v>
      </c>
      <c r="E524" t="s">
        <v>63</v>
      </c>
      <c r="F524" t="s">
        <v>48</v>
      </c>
      <c r="G524" t="s">
        <v>35</v>
      </c>
      <c r="H524">
        <v>36.5</v>
      </c>
      <c r="I524">
        <v>4281</v>
      </c>
      <c r="J524">
        <v>22</v>
      </c>
      <c r="K524">
        <v>17.600000000000001</v>
      </c>
      <c r="L524" t="s">
        <v>78</v>
      </c>
      <c r="M524">
        <v>20777.349999999999</v>
      </c>
      <c r="N524">
        <v>20099</v>
      </c>
      <c r="O524" t="s">
        <v>31</v>
      </c>
      <c r="P524" t="str">
        <f t="shared" si="72"/>
        <v>No</v>
      </c>
      <c r="Q524">
        <f t="shared" si="73"/>
        <v>117.29</v>
      </c>
      <c r="R524">
        <f t="shared" si="74"/>
        <v>4.8499999999999996</v>
      </c>
      <c r="S524">
        <f t="shared" si="75"/>
        <v>1.03</v>
      </c>
      <c r="T524" t="str">
        <f t="shared" si="76"/>
        <v>On Time</v>
      </c>
      <c r="U524" t="str">
        <f t="shared" si="77"/>
        <v>Low</v>
      </c>
      <c r="V524" t="str">
        <f t="shared" si="78"/>
        <v>Low Risk</v>
      </c>
      <c r="W524" t="str">
        <f t="shared" si="79"/>
        <v>Dec</v>
      </c>
      <c r="X524">
        <f t="shared" si="80"/>
        <v>2025</v>
      </c>
    </row>
    <row r="525" spans="1:24" x14ac:dyDescent="0.35">
      <c r="A525" s="3">
        <v>45755</v>
      </c>
      <c r="B525" t="s">
        <v>98</v>
      </c>
      <c r="C525" t="s">
        <v>95</v>
      </c>
      <c r="D525" t="s">
        <v>671</v>
      </c>
      <c r="E525" t="s">
        <v>48</v>
      </c>
      <c r="F525" t="s">
        <v>55</v>
      </c>
      <c r="G525" t="s">
        <v>29</v>
      </c>
      <c r="H525">
        <v>27.7</v>
      </c>
      <c r="I525">
        <v>4988</v>
      </c>
      <c r="J525">
        <v>100</v>
      </c>
      <c r="K525">
        <v>18.8</v>
      </c>
      <c r="L525" t="s">
        <v>78</v>
      </c>
      <c r="M525">
        <v>12516.3</v>
      </c>
      <c r="N525">
        <v>11929</v>
      </c>
      <c r="O525" t="s">
        <v>59</v>
      </c>
      <c r="P525" t="str">
        <f t="shared" si="72"/>
        <v>No</v>
      </c>
      <c r="Q525">
        <f t="shared" si="73"/>
        <v>180.07</v>
      </c>
      <c r="R525">
        <f t="shared" si="74"/>
        <v>2.5099999999999998</v>
      </c>
      <c r="S525">
        <f t="shared" si="75"/>
        <v>1.05</v>
      </c>
      <c r="T525" t="str">
        <f t="shared" si="76"/>
        <v>On Time</v>
      </c>
      <c r="U525" t="str">
        <f t="shared" si="77"/>
        <v>Low</v>
      </c>
      <c r="V525" t="str">
        <f t="shared" si="78"/>
        <v>Low Risk</v>
      </c>
      <c r="W525" t="str">
        <f t="shared" si="79"/>
        <v>Apr</v>
      </c>
      <c r="X525">
        <f t="shared" si="80"/>
        <v>2025</v>
      </c>
    </row>
    <row r="526" spans="1:24" x14ac:dyDescent="0.35">
      <c r="A526" s="3">
        <v>45811</v>
      </c>
      <c r="B526" t="s">
        <v>150</v>
      </c>
      <c r="C526" t="s">
        <v>69</v>
      </c>
      <c r="D526" t="s">
        <v>672</v>
      </c>
      <c r="E526" t="s">
        <v>41</v>
      </c>
      <c r="F526" t="s">
        <v>54</v>
      </c>
      <c r="G526" t="s">
        <v>42</v>
      </c>
      <c r="H526">
        <v>76.7</v>
      </c>
      <c r="I526">
        <v>3488</v>
      </c>
      <c r="J526">
        <v>42</v>
      </c>
      <c r="K526">
        <v>14.1</v>
      </c>
      <c r="L526" t="s">
        <v>43</v>
      </c>
      <c r="M526">
        <v>49777.15</v>
      </c>
      <c r="N526">
        <v>12379</v>
      </c>
      <c r="O526" t="s">
        <v>36</v>
      </c>
      <c r="P526" t="str">
        <f t="shared" si="72"/>
        <v>Yes</v>
      </c>
      <c r="Q526">
        <f t="shared" si="73"/>
        <v>45.48</v>
      </c>
      <c r="R526">
        <f t="shared" si="74"/>
        <v>14.27</v>
      </c>
      <c r="S526">
        <f t="shared" si="75"/>
        <v>4.0199999999999996</v>
      </c>
      <c r="T526" t="str">
        <f t="shared" si="76"/>
        <v>Delayed</v>
      </c>
      <c r="U526" t="str">
        <f t="shared" si="77"/>
        <v>High</v>
      </c>
      <c r="V526" t="str">
        <f t="shared" si="78"/>
        <v>Low Risk</v>
      </c>
      <c r="W526" t="str">
        <f t="shared" si="79"/>
        <v>Jun</v>
      </c>
      <c r="X526">
        <f t="shared" si="80"/>
        <v>2025</v>
      </c>
    </row>
    <row r="527" spans="1:24" x14ac:dyDescent="0.35">
      <c r="A527" s="3">
        <v>45762</v>
      </c>
      <c r="B527" t="s">
        <v>33</v>
      </c>
      <c r="C527" t="s">
        <v>95</v>
      </c>
      <c r="D527" t="s">
        <v>673</v>
      </c>
      <c r="E527" t="s">
        <v>66</v>
      </c>
      <c r="F527" t="s">
        <v>48</v>
      </c>
      <c r="G527" t="s">
        <v>71</v>
      </c>
      <c r="H527">
        <v>45.7</v>
      </c>
      <c r="I527">
        <v>4399</v>
      </c>
      <c r="J527">
        <v>63</v>
      </c>
      <c r="K527">
        <v>19.399999999999999</v>
      </c>
      <c r="L527" t="s">
        <v>78</v>
      </c>
      <c r="M527">
        <v>29671.599999999999</v>
      </c>
      <c r="N527">
        <v>11703</v>
      </c>
      <c r="O527" t="s">
        <v>50</v>
      </c>
      <c r="P527" t="str">
        <f t="shared" si="72"/>
        <v>No</v>
      </c>
      <c r="Q527">
        <f t="shared" si="73"/>
        <v>96.26</v>
      </c>
      <c r="R527">
        <f t="shared" si="74"/>
        <v>6.75</v>
      </c>
      <c r="S527">
        <f t="shared" si="75"/>
        <v>2.54</v>
      </c>
      <c r="T527" t="str">
        <f t="shared" si="76"/>
        <v>On Time</v>
      </c>
      <c r="U527" t="str">
        <f t="shared" si="77"/>
        <v>Medium</v>
      </c>
      <c r="V527" t="str">
        <f t="shared" si="78"/>
        <v>Low Risk</v>
      </c>
      <c r="W527" t="str">
        <f t="shared" si="79"/>
        <v>Apr</v>
      </c>
      <c r="X527">
        <f t="shared" si="80"/>
        <v>2025</v>
      </c>
    </row>
    <row r="528" spans="1:24" x14ac:dyDescent="0.35">
      <c r="A528" s="3">
        <v>45962</v>
      </c>
      <c r="B528" t="s">
        <v>108</v>
      </c>
      <c r="C528" t="s">
        <v>39</v>
      </c>
      <c r="D528" t="s">
        <v>674</v>
      </c>
      <c r="E528" t="s">
        <v>54</v>
      </c>
      <c r="F528" t="s">
        <v>55</v>
      </c>
      <c r="G528" t="s">
        <v>42</v>
      </c>
      <c r="H528">
        <v>50.5</v>
      </c>
      <c r="I528">
        <v>4092</v>
      </c>
      <c r="J528">
        <v>61</v>
      </c>
      <c r="K528">
        <v>16.7</v>
      </c>
      <c r="L528" t="s">
        <v>78</v>
      </c>
      <c r="M528">
        <v>30293.54</v>
      </c>
      <c r="N528">
        <v>18689</v>
      </c>
      <c r="O528" t="s">
        <v>67</v>
      </c>
      <c r="P528" t="str">
        <f t="shared" si="72"/>
        <v>No</v>
      </c>
      <c r="Q528">
        <f t="shared" si="73"/>
        <v>81.03</v>
      </c>
      <c r="R528">
        <f t="shared" si="74"/>
        <v>7.4</v>
      </c>
      <c r="S528">
        <f t="shared" si="75"/>
        <v>1.62</v>
      </c>
      <c r="T528" t="str">
        <f t="shared" si="76"/>
        <v>On Time</v>
      </c>
      <c r="U528" t="str">
        <f t="shared" si="77"/>
        <v>Medium</v>
      </c>
      <c r="V528" t="str">
        <f t="shared" si="78"/>
        <v>Low Risk</v>
      </c>
      <c r="W528" t="str">
        <f t="shared" si="79"/>
        <v>Nov</v>
      </c>
      <c r="X528">
        <f t="shared" si="80"/>
        <v>2025</v>
      </c>
    </row>
    <row r="529" spans="1:24" x14ac:dyDescent="0.35">
      <c r="A529" s="3">
        <v>45750</v>
      </c>
      <c r="B529" t="s">
        <v>104</v>
      </c>
      <c r="C529" t="s">
        <v>109</v>
      </c>
      <c r="D529" t="s">
        <v>675</v>
      </c>
      <c r="E529" t="s">
        <v>66</v>
      </c>
      <c r="F529" t="s">
        <v>27</v>
      </c>
      <c r="G529" t="s">
        <v>71</v>
      </c>
      <c r="H529">
        <v>67.5</v>
      </c>
      <c r="I529">
        <v>4250</v>
      </c>
      <c r="J529">
        <v>72</v>
      </c>
      <c r="K529">
        <v>16.899999999999999</v>
      </c>
      <c r="L529" t="s">
        <v>78</v>
      </c>
      <c r="M529">
        <v>46454.36</v>
      </c>
      <c r="N529">
        <v>9076</v>
      </c>
      <c r="O529" t="s">
        <v>36</v>
      </c>
      <c r="P529" t="str">
        <f t="shared" si="72"/>
        <v>No</v>
      </c>
      <c r="Q529">
        <f t="shared" si="73"/>
        <v>62.96</v>
      </c>
      <c r="R529">
        <f t="shared" si="74"/>
        <v>10.93</v>
      </c>
      <c r="S529">
        <f t="shared" si="75"/>
        <v>5.12</v>
      </c>
      <c r="T529" t="str">
        <f t="shared" si="76"/>
        <v>On Time</v>
      </c>
      <c r="U529" t="str">
        <f t="shared" si="77"/>
        <v>High</v>
      </c>
      <c r="V529" t="str">
        <f t="shared" si="78"/>
        <v>Low Risk</v>
      </c>
      <c r="W529" t="str">
        <f t="shared" si="79"/>
        <v>Apr</v>
      </c>
      <c r="X529">
        <f t="shared" si="80"/>
        <v>2025</v>
      </c>
    </row>
    <row r="530" spans="1:24" x14ac:dyDescent="0.35">
      <c r="A530" s="3">
        <v>45886</v>
      </c>
      <c r="B530" t="s">
        <v>417</v>
      </c>
      <c r="C530" t="s">
        <v>52</v>
      </c>
      <c r="D530" t="s">
        <v>676</v>
      </c>
      <c r="E530" t="s">
        <v>41</v>
      </c>
      <c r="F530" t="s">
        <v>63</v>
      </c>
      <c r="G530" t="s">
        <v>71</v>
      </c>
      <c r="H530">
        <v>41.1</v>
      </c>
      <c r="I530">
        <v>4373</v>
      </c>
      <c r="J530">
        <v>57</v>
      </c>
      <c r="K530">
        <v>16.2</v>
      </c>
      <c r="L530" t="s">
        <v>30</v>
      </c>
      <c r="M530">
        <v>21113.34</v>
      </c>
      <c r="N530">
        <v>29598</v>
      </c>
      <c r="O530" t="s">
        <v>67</v>
      </c>
      <c r="P530" t="str">
        <f t="shared" si="72"/>
        <v>Yes</v>
      </c>
      <c r="Q530">
        <f t="shared" si="73"/>
        <v>106.4</v>
      </c>
      <c r="R530">
        <f t="shared" si="74"/>
        <v>4.83</v>
      </c>
      <c r="S530">
        <f t="shared" si="75"/>
        <v>0.71</v>
      </c>
      <c r="T530" t="str">
        <f t="shared" si="76"/>
        <v>Delayed</v>
      </c>
      <c r="U530" t="str">
        <f t="shared" si="77"/>
        <v>Medium</v>
      </c>
      <c r="V530" t="str">
        <f t="shared" si="78"/>
        <v>Medium Risk</v>
      </c>
      <c r="W530" t="str">
        <f t="shared" si="79"/>
        <v>Aug</v>
      </c>
      <c r="X530">
        <f t="shared" si="80"/>
        <v>2025</v>
      </c>
    </row>
    <row r="531" spans="1:24" x14ac:dyDescent="0.35">
      <c r="A531" s="3">
        <v>45829</v>
      </c>
      <c r="B531" t="s">
        <v>417</v>
      </c>
      <c r="C531" t="s">
        <v>25</v>
      </c>
      <c r="D531" t="s">
        <v>677</v>
      </c>
      <c r="E531" t="s">
        <v>28</v>
      </c>
      <c r="F531" t="s">
        <v>63</v>
      </c>
      <c r="G531" t="s">
        <v>71</v>
      </c>
      <c r="H531">
        <v>78.7</v>
      </c>
      <c r="I531">
        <v>4437</v>
      </c>
      <c r="J531">
        <v>31</v>
      </c>
      <c r="K531">
        <v>11</v>
      </c>
      <c r="L531" t="s">
        <v>49</v>
      </c>
      <c r="M531">
        <v>41449.620000000003</v>
      </c>
      <c r="N531">
        <v>26048</v>
      </c>
      <c r="O531" t="s">
        <v>59</v>
      </c>
      <c r="P531" t="str">
        <f t="shared" si="72"/>
        <v>Yes</v>
      </c>
      <c r="Q531">
        <f t="shared" si="73"/>
        <v>56.38</v>
      </c>
      <c r="R531">
        <f t="shared" si="74"/>
        <v>9.34</v>
      </c>
      <c r="S531">
        <f t="shared" si="75"/>
        <v>1.59</v>
      </c>
      <c r="T531" t="str">
        <f t="shared" si="76"/>
        <v>Delayed</v>
      </c>
      <c r="U531" t="str">
        <f t="shared" si="77"/>
        <v>High</v>
      </c>
      <c r="V531" t="str">
        <f t="shared" si="78"/>
        <v>High Risk</v>
      </c>
      <c r="W531" t="str">
        <f t="shared" si="79"/>
        <v>Jun</v>
      </c>
      <c r="X531">
        <f t="shared" si="80"/>
        <v>2025</v>
      </c>
    </row>
    <row r="532" spans="1:24" x14ac:dyDescent="0.35">
      <c r="A532" s="3">
        <v>45932</v>
      </c>
      <c r="B532" t="s">
        <v>275</v>
      </c>
      <c r="C532" t="s">
        <v>109</v>
      </c>
      <c r="D532" t="s">
        <v>678</v>
      </c>
      <c r="E532" t="s">
        <v>54</v>
      </c>
      <c r="F532" t="s">
        <v>28</v>
      </c>
      <c r="G532" t="s">
        <v>29</v>
      </c>
      <c r="H532">
        <v>73.2</v>
      </c>
      <c r="I532">
        <v>2461</v>
      </c>
      <c r="J532">
        <v>57</v>
      </c>
      <c r="K532">
        <v>15.7</v>
      </c>
      <c r="L532" t="s">
        <v>30</v>
      </c>
      <c r="M532">
        <v>35323.74</v>
      </c>
      <c r="N532">
        <v>15316</v>
      </c>
      <c r="O532" t="s">
        <v>67</v>
      </c>
      <c r="P532" t="str">
        <f t="shared" si="72"/>
        <v>Yes</v>
      </c>
      <c r="Q532">
        <f t="shared" si="73"/>
        <v>33.619999999999997</v>
      </c>
      <c r="R532">
        <f t="shared" si="74"/>
        <v>14.35</v>
      </c>
      <c r="S532">
        <f t="shared" si="75"/>
        <v>2.31</v>
      </c>
      <c r="T532" t="str">
        <f t="shared" si="76"/>
        <v>Delayed</v>
      </c>
      <c r="U532" t="str">
        <f t="shared" si="77"/>
        <v>High</v>
      </c>
      <c r="V532" t="str">
        <f t="shared" si="78"/>
        <v>Medium Risk</v>
      </c>
      <c r="W532" t="str">
        <f t="shared" si="79"/>
        <v>Oct</v>
      </c>
      <c r="X532">
        <f t="shared" si="80"/>
        <v>2025</v>
      </c>
    </row>
    <row r="533" spans="1:24" x14ac:dyDescent="0.35">
      <c r="A533" s="3">
        <v>46021</v>
      </c>
      <c r="B533" t="s">
        <v>113</v>
      </c>
      <c r="C533" t="s">
        <v>25</v>
      </c>
      <c r="D533" t="s">
        <v>679</v>
      </c>
      <c r="E533" t="s">
        <v>55</v>
      </c>
      <c r="F533" t="s">
        <v>63</v>
      </c>
      <c r="G533" t="s">
        <v>29</v>
      </c>
      <c r="H533">
        <v>73</v>
      </c>
      <c r="I533">
        <v>565</v>
      </c>
      <c r="J533">
        <v>91</v>
      </c>
      <c r="K533">
        <v>10.3</v>
      </c>
      <c r="L533" t="s">
        <v>43</v>
      </c>
      <c r="M533">
        <v>34275.79</v>
      </c>
      <c r="N533">
        <v>12630</v>
      </c>
      <c r="O533" t="s">
        <v>59</v>
      </c>
      <c r="P533" t="str">
        <f t="shared" si="72"/>
        <v>Yes</v>
      </c>
      <c r="Q533">
        <f t="shared" si="73"/>
        <v>7.74</v>
      </c>
      <c r="R533">
        <f t="shared" si="74"/>
        <v>60.67</v>
      </c>
      <c r="S533">
        <f t="shared" si="75"/>
        <v>2.71</v>
      </c>
      <c r="T533" t="str">
        <f t="shared" si="76"/>
        <v>Delayed</v>
      </c>
      <c r="U533" t="str">
        <f t="shared" si="77"/>
        <v>High</v>
      </c>
      <c r="V533" t="str">
        <f t="shared" si="78"/>
        <v>Low Risk</v>
      </c>
      <c r="W533" t="str">
        <f t="shared" si="79"/>
        <v>Dec</v>
      </c>
      <c r="X533">
        <f t="shared" si="80"/>
        <v>2025</v>
      </c>
    </row>
    <row r="534" spans="1:24" x14ac:dyDescent="0.35">
      <c r="A534" s="3">
        <v>45664</v>
      </c>
      <c r="B534" t="s">
        <v>73</v>
      </c>
      <c r="C534" t="s">
        <v>130</v>
      </c>
      <c r="D534" t="s">
        <v>680</v>
      </c>
      <c r="E534" t="s">
        <v>28</v>
      </c>
      <c r="F534" t="s">
        <v>63</v>
      </c>
      <c r="G534" t="s">
        <v>35</v>
      </c>
      <c r="H534">
        <v>35.1</v>
      </c>
      <c r="I534">
        <v>4866</v>
      </c>
      <c r="J534">
        <v>100</v>
      </c>
      <c r="K534">
        <v>17.7</v>
      </c>
      <c r="L534" t="s">
        <v>49</v>
      </c>
      <c r="M534">
        <v>17942.009999999998</v>
      </c>
      <c r="N534">
        <v>27986</v>
      </c>
      <c r="O534" t="s">
        <v>59</v>
      </c>
      <c r="P534" t="str">
        <f t="shared" si="72"/>
        <v>Yes</v>
      </c>
      <c r="Q534">
        <f t="shared" si="73"/>
        <v>138.63</v>
      </c>
      <c r="R534">
        <f t="shared" si="74"/>
        <v>3.69</v>
      </c>
      <c r="S534">
        <f t="shared" si="75"/>
        <v>0.64</v>
      </c>
      <c r="T534" t="str">
        <f t="shared" si="76"/>
        <v>Delayed</v>
      </c>
      <c r="U534" t="str">
        <f t="shared" si="77"/>
        <v>Low</v>
      </c>
      <c r="V534" t="str">
        <f t="shared" si="78"/>
        <v>High Risk</v>
      </c>
      <c r="W534" t="str">
        <f t="shared" si="79"/>
        <v>Jan</v>
      </c>
      <c r="X534">
        <f t="shared" si="80"/>
        <v>2025</v>
      </c>
    </row>
    <row r="535" spans="1:24" x14ac:dyDescent="0.35">
      <c r="A535" s="3">
        <v>45941</v>
      </c>
      <c r="B535" t="s">
        <v>76</v>
      </c>
      <c r="C535" t="s">
        <v>130</v>
      </c>
      <c r="D535" t="s">
        <v>681</v>
      </c>
      <c r="E535" t="s">
        <v>41</v>
      </c>
      <c r="F535" t="s">
        <v>48</v>
      </c>
      <c r="G535" t="s">
        <v>35</v>
      </c>
      <c r="H535">
        <v>62.8</v>
      </c>
      <c r="I535">
        <v>4744</v>
      </c>
      <c r="J535">
        <v>58</v>
      </c>
      <c r="K535">
        <v>14.5</v>
      </c>
      <c r="L535" t="s">
        <v>78</v>
      </c>
      <c r="M535">
        <v>36871.919999999998</v>
      </c>
      <c r="N535">
        <v>16103</v>
      </c>
      <c r="O535" t="s">
        <v>59</v>
      </c>
      <c r="P535" t="str">
        <f t="shared" si="72"/>
        <v>No</v>
      </c>
      <c r="Q535">
        <f t="shared" si="73"/>
        <v>75.540000000000006</v>
      </c>
      <c r="R535">
        <f t="shared" si="74"/>
        <v>7.77</v>
      </c>
      <c r="S535">
        <f t="shared" si="75"/>
        <v>2.29</v>
      </c>
      <c r="T535" t="str">
        <f t="shared" si="76"/>
        <v>On Time</v>
      </c>
      <c r="U535" t="str">
        <f t="shared" si="77"/>
        <v>High</v>
      </c>
      <c r="V535" t="str">
        <f t="shared" si="78"/>
        <v>Low Risk</v>
      </c>
      <c r="W535" t="str">
        <f t="shared" si="79"/>
        <v>Oct</v>
      </c>
      <c r="X535">
        <f t="shared" si="80"/>
        <v>2025</v>
      </c>
    </row>
    <row r="536" spans="1:24" x14ac:dyDescent="0.35">
      <c r="A536" s="3">
        <v>45994</v>
      </c>
      <c r="B536" t="s">
        <v>92</v>
      </c>
      <c r="C536" t="s">
        <v>52</v>
      </c>
      <c r="D536" t="s">
        <v>682</v>
      </c>
      <c r="E536" t="s">
        <v>28</v>
      </c>
      <c r="F536" t="s">
        <v>55</v>
      </c>
      <c r="G536" t="s">
        <v>29</v>
      </c>
      <c r="H536">
        <v>43.4</v>
      </c>
      <c r="I536">
        <v>3423</v>
      </c>
      <c r="J536">
        <v>60</v>
      </c>
      <c r="K536">
        <v>16.8</v>
      </c>
      <c r="L536" t="s">
        <v>43</v>
      </c>
      <c r="M536">
        <v>29744.94</v>
      </c>
      <c r="N536">
        <v>11078</v>
      </c>
      <c r="O536" t="s">
        <v>31</v>
      </c>
      <c r="P536" t="str">
        <f t="shared" si="72"/>
        <v>Yes</v>
      </c>
      <c r="Q536">
        <f t="shared" si="73"/>
        <v>78.87</v>
      </c>
      <c r="R536">
        <f t="shared" si="74"/>
        <v>8.69</v>
      </c>
      <c r="S536">
        <f t="shared" si="75"/>
        <v>2.69</v>
      </c>
      <c r="T536" t="str">
        <f t="shared" si="76"/>
        <v>Delayed</v>
      </c>
      <c r="U536" t="str">
        <f t="shared" si="77"/>
        <v>Medium</v>
      </c>
      <c r="V536" t="str">
        <f t="shared" si="78"/>
        <v>Low Risk</v>
      </c>
      <c r="W536" t="str">
        <f t="shared" si="79"/>
        <v>Dec</v>
      </c>
      <c r="X536">
        <f t="shared" si="80"/>
        <v>2025</v>
      </c>
    </row>
    <row r="537" spans="1:24" x14ac:dyDescent="0.35">
      <c r="A537" s="3">
        <v>45937</v>
      </c>
      <c r="B537" t="s">
        <v>157</v>
      </c>
      <c r="C537" t="s">
        <v>95</v>
      </c>
      <c r="D537" t="s">
        <v>683</v>
      </c>
      <c r="E537" t="s">
        <v>48</v>
      </c>
      <c r="F537" t="s">
        <v>27</v>
      </c>
      <c r="G537" t="s">
        <v>35</v>
      </c>
      <c r="H537">
        <v>55.4</v>
      </c>
      <c r="I537">
        <v>4133</v>
      </c>
      <c r="J537">
        <v>119</v>
      </c>
      <c r="K537">
        <v>19.399999999999999</v>
      </c>
      <c r="L537" t="s">
        <v>30</v>
      </c>
      <c r="M537">
        <v>32312.11</v>
      </c>
      <c r="N537">
        <v>19446</v>
      </c>
      <c r="O537" t="s">
        <v>44</v>
      </c>
      <c r="P537" t="str">
        <f t="shared" si="72"/>
        <v>Yes</v>
      </c>
      <c r="Q537">
        <f t="shared" si="73"/>
        <v>74.599999999999994</v>
      </c>
      <c r="R537">
        <f t="shared" si="74"/>
        <v>7.82</v>
      </c>
      <c r="S537">
        <f t="shared" si="75"/>
        <v>1.66</v>
      </c>
      <c r="T537" t="str">
        <f t="shared" si="76"/>
        <v>Delayed</v>
      </c>
      <c r="U537" t="str">
        <f t="shared" si="77"/>
        <v>Medium</v>
      </c>
      <c r="V537" t="str">
        <f t="shared" si="78"/>
        <v>Medium Risk</v>
      </c>
      <c r="W537" t="str">
        <f t="shared" si="79"/>
        <v>Oct</v>
      </c>
      <c r="X537">
        <f t="shared" si="80"/>
        <v>2025</v>
      </c>
    </row>
    <row r="538" spans="1:24" x14ac:dyDescent="0.35">
      <c r="A538" s="3">
        <v>45857</v>
      </c>
      <c r="B538" t="s">
        <v>311</v>
      </c>
      <c r="C538" t="s">
        <v>25</v>
      </c>
      <c r="D538" t="s">
        <v>684</v>
      </c>
      <c r="E538" t="s">
        <v>48</v>
      </c>
      <c r="F538" t="s">
        <v>28</v>
      </c>
      <c r="G538" t="s">
        <v>35</v>
      </c>
      <c r="H538">
        <v>37.200000000000003</v>
      </c>
      <c r="I538">
        <v>4473</v>
      </c>
      <c r="J538">
        <v>51</v>
      </c>
      <c r="K538">
        <v>16.2</v>
      </c>
      <c r="L538" t="s">
        <v>43</v>
      </c>
      <c r="M538">
        <v>17599.14</v>
      </c>
      <c r="N538">
        <v>21508</v>
      </c>
      <c r="O538" t="s">
        <v>91</v>
      </c>
      <c r="P538" t="str">
        <f t="shared" si="72"/>
        <v>Yes</v>
      </c>
      <c r="Q538">
        <f t="shared" si="73"/>
        <v>120.24</v>
      </c>
      <c r="R538">
        <f t="shared" si="74"/>
        <v>3.93</v>
      </c>
      <c r="S538">
        <f t="shared" si="75"/>
        <v>0.82</v>
      </c>
      <c r="T538" t="str">
        <f t="shared" si="76"/>
        <v>Delayed</v>
      </c>
      <c r="U538" t="str">
        <f t="shared" si="77"/>
        <v>Low</v>
      </c>
      <c r="V538" t="str">
        <f t="shared" si="78"/>
        <v>Low Risk</v>
      </c>
      <c r="W538" t="str">
        <f t="shared" si="79"/>
        <v>Jul</v>
      </c>
      <c r="X538">
        <f t="shared" si="80"/>
        <v>2025</v>
      </c>
    </row>
    <row r="539" spans="1:24" x14ac:dyDescent="0.35">
      <c r="A539" s="3">
        <v>45821</v>
      </c>
      <c r="B539" t="s">
        <v>108</v>
      </c>
      <c r="C539" t="s">
        <v>39</v>
      </c>
      <c r="D539" t="s">
        <v>685</v>
      </c>
      <c r="E539" t="s">
        <v>54</v>
      </c>
      <c r="F539" t="s">
        <v>63</v>
      </c>
      <c r="G539" t="s">
        <v>35</v>
      </c>
      <c r="H539">
        <v>68.599999999999994</v>
      </c>
      <c r="I539">
        <v>3802</v>
      </c>
      <c r="J539">
        <v>29</v>
      </c>
      <c r="K539">
        <v>15.7</v>
      </c>
      <c r="L539" t="s">
        <v>43</v>
      </c>
      <c r="M539">
        <v>34916.54</v>
      </c>
      <c r="N539">
        <v>25966</v>
      </c>
      <c r="O539" t="s">
        <v>50</v>
      </c>
      <c r="P539" t="str">
        <f t="shared" si="72"/>
        <v>Yes</v>
      </c>
      <c r="Q539">
        <f t="shared" si="73"/>
        <v>55.42</v>
      </c>
      <c r="R539">
        <f t="shared" si="74"/>
        <v>9.18</v>
      </c>
      <c r="S539">
        <f t="shared" si="75"/>
        <v>1.34</v>
      </c>
      <c r="T539" t="str">
        <f t="shared" si="76"/>
        <v>Delayed</v>
      </c>
      <c r="U539" t="str">
        <f t="shared" si="77"/>
        <v>High</v>
      </c>
      <c r="V539" t="str">
        <f t="shared" si="78"/>
        <v>Low Risk</v>
      </c>
      <c r="W539" t="str">
        <f t="shared" si="79"/>
        <v>Jun</v>
      </c>
      <c r="X539">
        <f t="shared" si="80"/>
        <v>2025</v>
      </c>
    </row>
    <row r="540" spans="1:24" x14ac:dyDescent="0.35">
      <c r="A540" s="3">
        <v>45820</v>
      </c>
      <c r="B540" t="s">
        <v>148</v>
      </c>
      <c r="C540" t="s">
        <v>39</v>
      </c>
      <c r="D540" t="s">
        <v>686</v>
      </c>
      <c r="E540" t="s">
        <v>54</v>
      </c>
      <c r="F540" t="s">
        <v>63</v>
      </c>
      <c r="G540" t="s">
        <v>29</v>
      </c>
      <c r="H540">
        <v>58.6</v>
      </c>
      <c r="I540">
        <v>3394</v>
      </c>
      <c r="J540">
        <v>39</v>
      </c>
      <c r="K540">
        <v>10.3</v>
      </c>
      <c r="L540" t="s">
        <v>49</v>
      </c>
      <c r="M540">
        <v>33392.15</v>
      </c>
      <c r="N540">
        <v>20551</v>
      </c>
      <c r="O540" t="s">
        <v>59</v>
      </c>
      <c r="P540" t="str">
        <f t="shared" si="72"/>
        <v>Yes</v>
      </c>
      <c r="Q540">
        <f t="shared" si="73"/>
        <v>57.92</v>
      </c>
      <c r="R540">
        <f t="shared" si="74"/>
        <v>9.84</v>
      </c>
      <c r="S540">
        <f t="shared" si="75"/>
        <v>1.62</v>
      </c>
      <c r="T540" t="str">
        <f t="shared" si="76"/>
        <v>Delayed</v>
      </c>
      <c r="U540" t="str">
        <f t="shared" si="77"/>
        <v>Medium</v>
      </c>
      <c r="V540" t="str">
        <f t="shared" si="78"/>
        <v>High Risk</v>
      </c>
      <c r="W540" t="str">
        <f t="shared" si="79"/>
        <v>Jun</v>
      </c>
      <c r="X540">
        <f t="shared" si="80"/>
        <v>2025</v>
      </c>
    </row>
    <row r="541" spans="1:24" x14ac:dyDescent="0.35">
      <c r="A541" s="3">
        <v>45731</v>
      </c>
      <c r="B541" t="s">
        <v>190</v>
      </c>
      <c r="C541" t="s">
        <v>57</v>
      </c>
      <c r="D541" t="s">
        <v>687</v>
      </c>
      <c r="E541" t="s">
        <v>54</v>
      </c>
      <c r="F541" t="s">
        <v>48</v>
      </c>
      <c r="G541" t="s">
        <v>29</v>
      </c>
      <c r="H541">
        <v>54.5</v>
      </c>
      <c r="I541">
        <v>4382</v>
      </c>
      <c r="J541">
        <v>38</v>
      </c>
      <c r="K541">
        <v>15.8</v>
      </c>
      <c r="L541" t="s">
        <v>49</v>
      </c>
      <c r="M541">
        <v>33014.800000000003</v>
      </c>
      <c r="N541">
        <v>28636</v>
      </c>
      <c r="O541" t="s">
        <v>36</v>
      </c>
      <c r="P541" t="str">
        <f t="shared" si="72"/>
        <v>Yes</v>
      </c>
      <c r="Q541">
        <f t="shared" si="73"/>
        <v>80.400000000000006</v>
      </c>
      <c r="R541">
        <f t="shared" si="74"/>
        <v>7.53</v>
      </c>
      <c r="S541">
        <f t="shared" si="75"/>
        <v>1.1499999999999999</v>
      </c>
      <c r="T541" t="str">
        <f t="shared" si="76"/>
        <v>Delayed</v>
      </c>
      <c r="U541" t="str">
        <f t="shared" si="77"/>
        <v>Medium</v>
      </c>
      <c r="V541" t="str">
        <f t="shared" si="78"/>
        <v>High Risk</v>
      </c>
      <c r="W541" t="str">
        <f t="shared" si="79"/>
        <v>Mar</v>
      </c>
      <c r="X541">
        <f t="shared" si="80"/>
        <v>2025</v>
      </c>
    </row>
    <row r="542" spans="1:24" x14ac:dyDescent="0.35">
      <c r="A542" s="3">
        <v>45778</v>
      </c>
      <c r="B542" t="s">
        <v>210</v>
      </c>
      <c r="C542" t="s">
        <v>69</v>
      </c>
      <c r="D542" t="s">
        <v>688</v>
      </c>
      <c r="E542" t="s">
        <v>28</v>
      </c>
      <c r="F542" t="s">
        <v>66</v>
      </c>
      <c r="G542" t="s">
        <v>35</v>
      </c>
      <c r="H542">
        <v>26.9</v>
      </c>
      <c r="I542">
        <v>585</v>
      </c>
      <c r="J542">
        <v>49</v>
      </c>
      <c r="K542">
        <v>19</v>
      </c>
      <c r="L542" t="s">
        <v>43</v>
      </c>
      <c r="M542">
        <v>17266.86</v>
      </c>
      <c r="N542">
        <v>29377</v>
      </c>
      <c r="O542" t="s">
        <v>67</v>
      </c>
      <c r="P542" t="str">
        <f t="shared" si="72"/>
        <v>Yes</v>
      </c>
      <c r="Q542">
        <f t="shared" si="73"/>
        <v>21.75</v>
      </c>
      <c r="R542">
        <f t="shared" si="74"/>
        <v>29.52</v>
      </c>
      <c r="S542">
        <f t="shared" si="75"/>
        <v>0.59</v>
      </c>
      <c r="T542" t="str">
        <f t="shared" si="76"/>
        <v>Delayed</v>
      </c>
      <c r="U542" t="str">
        <f t="shared" si="77"/>
        <v>Low</v>
      </c>
      <c r="V542" t="str">
        <f t="shared" si="78"/>
        <v>Low Risk</v>
      </c>
      <c r="W542" t="str">
        <f t="shared" si="79"/>
        <v>May</v>
      </c>
      <c r="X542">
        <f t="shared" si="80"/>
        <v>2025</v>
      </c>
    </row>
    <row r="543" spans="1:24" x14ac:dyDescent="0.35">
      <c r="A543" s="3">
        <v>45685</v>
      </c>
      <c r="B543" t="s">
        <v>33</v>
      </c>
      <c r="C543" t="s">
        <v>95</v>
      </c>
      <c r="D543" t="s">
        <v>689</v>
      </c>
      <c r="E543" t="s">
        <v>27</v>
      </c>
      <c r="F543" t="s">
        <v>41</v>
      </c>
      <c r="G543" t="s">
        <v>29</v>
      </c>
      <c r="H543">
        <v>21.9</v>
      </c>
      <c r="I543">
        <v>3133</v>
      </c>
      <c r="J543">
        <v>33</v>
      </c>
      <c r="K543">
        <v>16.600000000000001</v>
      </c>
      <c r="L543" t="s">
        <v>78</v>
      </c>
      <c r="M543">
        <v>12873.85</v>
      </c>
      <c r="N543">
        <v>16223</v>
      </c>
      <c r="O543" t="s">
        <v>67</v>
      </c>
      <c r="P543" t="str">
        <f t="shared" si="72"/>
        <v>No</v>
      </c>
      <c r="Q543">
        <f t="shared" si="73"/>
        <v>143.06</v>
      </c>
      <c r="R543">
        <f t="shared" si="74"/>
        <v>4.1100000000000003</v>
      </c>
      <c r="S543">
        <f t="shared" si="75"/>
        <v>0.79</v>
      </c>
      <c r="T543" t="str">
        <f t="shared" si="76"/>
        <v>On Time</v>
      </c>
      <c r="U543" t="str">
        <f t="shared" si="77"/>
        <v>Low</v>
      </c>
      <c r="V543" t="str">
        <f t="shared" si="78"/>
        <v>Low Risk</v>
      </c>
      <c r="W543" t="str">
        <f t="shared" si="79"/>
        <v>Jan</v>
      </c>
      <c r="X543">
        <f t="shared" si="80"/>
        <v>2025</v>
      </c>
    </row>
    <row r="544" spans="1:24" x14ac:dyDescent="0.35">
      <c r="A544" s="3">
        <v>45986</v>
      </c>
      <c r="B544" t="s">
        <v>123</v>
      </c>
      <c r="C544" t="s">
        <v>57</v>
      </c>
      <c r="D544" t="s">
        <v>690</v>
      </c>
      <c r="E544" t="s">
        <v>54</v>
      </c>
      <c r="F544" t="s">
        <v>63</v>
      </c>
      <c r="G544" t="s">
        <v>42</v>
      </c>
      <c r="H544">
        <v>66.5</v>
      </c>
      <c r="I544">
        <v>3290</v>
      </c>
      <c r="J544">
        <v>118</v>
      </c>
      <c r="K544">
        <v>19</v>
      </c>
      <c r="L544" t="s">
        <v>30</v>
      </c>
      <c r="M544">
        <v>40904.879999999997</v>
      </c>
      <c r="N544">
        <v>15485</v>
      </c>
      <c r="O544" t="s">
        <v>31</v>
      </c>
      <c r="P544" t="str">
        <f t="shared" si="72"/>
        <v>Yes</v>
      </c>
      <c r="Q544">
        <f t="shared" si="73"/>
        <v>49.47</v>
      </c>
      <c r="R544">
        <f t="shared" si="74"/>
        <v>12.43</v>
      </c>
      <c r="S544">
        <f t="shared" si="75"/>
        <v>2.64</v>
      </c>
      <c r="T544" t="str">
        <f t="shared" si="76"/>
        <v>Delayed</v>
      </c>
      <c r="U544" t="str">
        <f t="shared" si="77"/>
        <v>High</v>
      </c>
      <c r="V544" t="str">
        <f t="shared" si="78"/>
        <v>Medium Risk</v>
      </c>
      <c r="W544" t="str">
        <f t="shared" si="79"/>
        <v>Nov</v>
      </c>
      <c r="X544">
        <f t="shared" si="80"/>
        <v>2025</v>
      </c>
    </row>
    <row r="545" spans="1:24" x14ac:dyDescent="0.35">
      <c r="A545" s="3">
        <v>45911</v>
      </c>
      <c r="B545" t="s">
        <v>165</v>
      </c>
      <c r="C545" t="s">
        <v>52</v>
      </c>
      <c r="D545" t="s">
        <v>691</v>
      </c>
      <c r="E545" t="s">
        <v>66</v>
      </c>
      <c r="F545" t="s">
        <v>27</v>
      </c>
      <c r="G545" t="s">
        <v>29</v>
      </c>
      <c r="H545">
        <v>61.3</v>
      </c>
      <c r="I545">
        <v>2047</v>
      </c>
      <c r="J545">
        <v>94</v>
      </c>
      <c r="K545">
        <v>11.2</v>
      </c>
      <c r="L545" t="s">
        <v>30</v>
      </c>
      <c r="M545">
        <v>32910.78</v>
      </c>
      <c r="N545">
        <v>19217</v>
      </c>
      <c r="O545" t="s">
        <v>36</v>
      </c>
      <c r="P545" t="str">
        <f t="shared" si="72"/>
        <v>Yes</v>
      </c>
      <c r="Q545">
        <f t="shared" si="73"/>
        <v>33.39</v>
      </c>
      <c r="R545">
        <f t="shared" si="74"/>
        <v>16.079999999999998</v>
      </c>
      <c r="S545">
        <f t="shared" si="75"/>
        <v>1.71</v>
      </c>
      <c r="T545" t="str">
        <f t="shared" si="76"/>
        <v>Delayed</v>
      </c>
      <c r="U545" t="str">
        <f t="shared" si="77"/>
        <v>High</v>
      </c>
      <c r="V545" t="str">
        <f t="shared" si="78"/>
        <v>Medium Risk</v>
      </c>
      <c r="W545" t="str">
        <f t="shared" si="79"/>
        <v>Sep</v>
      </c>
      <c r="X545">
        <f t="shared" si="80"/>
        <v>2025</v>
      </c>
    </row>
    <row r="546" spans="1:24" x14ac:dyDescent="0.35">
      <c r="A546" s="3">
        <v>45995</v>
      </c>
      <c r="B546" t="s">
        <v>190</v>
      </c>
      <c r="C546" t="s">
        <v>57</v>
      </c>
      <c r="D546" t="s">
        <v>692</v>
      </c>
      <c r="E546" t="s">
        <v>41</v>
      </c>
      <c r="F546" t="s">
        <v>54</v>
      </c>
      <c r="G546" t="s">
        <v>29</v>
      </c>
      <c r="H546">
        <v>66.900000000000006</v>
      </c>
      <c r="I546">
        <v>2158</v>
      </c>
      <c r="J546">
        <v>62</v>
      </c>
      <c r="K546">
        <v>20.6</v>
      </c>
      <c r="L546" t="s">
        <v>78</v>
      </c>
      <c r="M546">
        <v>34667.35</v>
      </c>
      <c r="N546">
        <v>13235</v>
      </c>
      <c r="O546" t="s">
        <v>91</v>
      </c>
      <c r="P546" t="str">
        <f t="shared" si="72"/>
        <v>No</v>
      </c>
      <c r="Q546">
        <f t="shared" si="73"/>
        <v>32.26</v>
      </c>
      <c r="R546">
        <f t="shared" si="74"/>
        <v>16.059999999999999</v>
      </c>
      <c r="S546">
        <f t="shared" si="75"/>
        <v>2.62</v>
      </c>
      <c r="T546" t="str">
        <f t="shared" si="76"/>
        <v>On Time</v>
      </c>
      <c r="U546" t="str">
        <f t="shared" si="77"/>
        <v>High</v>
      </c>
      <c r="V546" t="str">
        <f t="shared" si="78"/>
        <v>Low Risk</v>
      </c>
      <c r="W546" t="str">
        <f t="shared" si="79"/>
        <v>Dec</v>
      </c>
      <c r="X546">
        <f t="shared" si="80"/>
        <v>2025</v>
      </c>
    </row>
    <row r="547" spans="1:24" x14ac:dyDescent="0.35">
      <c r="A547" s="3">
        <v>45919</v>
      </c>
      <c r="B547" t="s">
        <v>311</v>
      </c>
      <c r="C547" t="s">
        <v>52</v>
      </c>
      <c r="D547" t="s">
        <v>693</v>
      </c>
      <c r="E547" t="s">
        <v>63</v>
      </c>
      <c r="F547" t="s">
        <v>55</v>
      </c>
      <c r="G547" t="s">
        <v>42</v>
      </c>
      <c r="H547">
        <v>77.8</v>
      </c>
      <c r="I547">
        <v>1699</v>
      </c>
      <c r="J547">
        <v>80</v>
      </c>
      <c r="K547">
        <v>10.9</v>
      </c>
      <c r="L547" t="s">
        <v>78</v>
      </c>
      <c r="M547">
        <v>36532.61</v>
      </c>
      <c r="N547">
        <v>13091</v>
      </c>
      <c r="O547" t="s">
        <v>59</v>
      </c>
      <c r="P547" t="str">
        <f t="shared" si="72"/>
        <v>No</v>
      </c>
      <c r="Q547">
        <f t="shared" si="73"/>
        <v>21.84</v>
      </c>
      <c r="R547">
        <f t="shared" si="74"/>
        <v>21.5</v>
      </c>
      <c r="S547">
        <f t="shared" si="75"/>
        <v>2.79</v>
      </c>
      <c r="T547" t="str">
        <f t="shared" si="76"/>
        <v>On Time</v>
      </c>
      <c r="U547" t="str">
        <f t="shared" si="77"/>
        <v>High</v>
      </c>
      <c r="V547" t="str">
        <f t="shared" si="78"/>
        <v>Low Risk</v>
      </c>
      <c r="W547" t="str">
        <f t="shared" si="79"/>
        <v>Sep</v>
      </c>
      <c r="X547">
        <f t="shared" si="80"/>
        <v>2025</v>
      </c>
    </row>
    <row r="548" spans="1:24" x14ac:dyDescent="0.35">
      <c r="A548" s="3">
        <v>45979</v>
      </c>
      <c r="B548" t="s">
        <v>46</v>
      </c>
      <c r="C548" t="s">
        <v>130</v>
      </c>
      <c r="D548" t="s">
        <v>694</v>
      </c>
      <c r="E548" t="s">
        <v>66</v>
      </c>
      <c r="F548" t="s">
        <v>63</v>
      </c>
      <c r="G548" t="s">
        <v>35</v>
      </c>
      <c r="H548">
        <v>35.700000000000003</v>
      </c>
      <c r="I548">
        <v>2202</v>
      </c>
      <c r="J548">
        <v>56</v>
      </c>
      <c r="K548">
        <v>16.3</v>
      </c>
      <c r="L548" t="s">
        <v>78</v>
      </c>
      <c r="M548">
        <v>20210.78</v>
      </c>
      <c r="N548">
        <v>9939</v>
      </c>
      <c r="O548" t="s">
        <v>50</v>
      </c>
      <c r="P548" t="str">
        <f t="shared" si="72"/>
        <v>No</v>
      </c>
      <c r="Q548">
        <f t="shared" si="73"/>
        <v>61.68</v>
      </c>
      <c r="R548">
        <f t="shared" si="74"/>
        <v>9.18</v>
      </c>
      <c r="S548">
        <f t="shared" si="75"/>
        <v>2.0299999999999998</v>
      </c>
      <c r="T548" t="str">
        <f t="shared" si="76"/>
        <v>On Time</v>
      </c>
      <c r="U548" t="str">
        <f t="shared" si="77"/>
        <v>Low</v>
      </c>
      <c r="V548" t="str">
        <f t="shared" si="78"/>
        <v>Low Risk</v>
      </c>
      <c r="W548" t="str">
        <f t="shared" si="79"/>
        <v>Nov</v>
      </c>
      <c r="X548">
        <f t="shared" si="80"/>
        <v>2025</v>
      </c>
    </row>
    <row r="549" spans="1:24" x14ac:dyDescent="0.35">
      <c r="A549" s="3">
        <v>45996</v>
      </c>
      <c r="B549" t="s">
        <v>201</v>
      </c>
      <c r="C549" t="s">
        <v>109</v>
      </c>
      <c r="D549" t="s">
        <v>695</v>
      </c>
      <c r="E549" t="s">
        <v>28</v>
      </c>
      <c r="F549" t="s">
        <v>27</v>
      </c>
      <c r="G549" t="s">
        <v>35</v>
      </c>
      <c r="H549">
        <v>66.400000000000006</v>
      </c>
      <c r="I549">
        <v>3948</v>
      </c>
      <c r="J549">
        <v>80</v>
      </c>
      <c r="K549">
        <v>17.3</v>
      </c>
      <c r="L549" t="s">
        <v>78</v>
      </c>
      <c r="M549">
        <v>41387</v>
      </c>
      <c r="N549">
        <v>15467</v>
      </c>
      <c r="O549" t="s">
        <v>59</v>
      </c>
      <c r="P549" t="str">
        <f t="shared" si="72"/>
        <v>No</v>
      </c>
      <c r="Q549">
        <f t="shared" si="73"/>
        <v>59.46</v>
      </c>
      <c r="R549">
        <f t="shared" si="74"/>
        <v>10.48</v>
      </c>
      <c r="S549">
        <f t="shared" si="75"/>
        <v>2.68</v>
      </c>
      <c r="T549" t="str">
        <f t="shared" si="76"/>
        <v>On Time</v>
      </c>
      <c r="U549" t="str">
        <f t="shared" si="77"/>
        <v>High</v>
      </c>
      <c r="V549" t="str">
        <f t="shared" si="78"/>
        <v>Low Risk</v>
      </c>
      <c r="W549" t="str">
        <f t="shared" si="79"/>
        <v>Dec</v>
      </c>
      <c r="X549">
        <f t="shared" si="80"/>
        <v>2025</v>
      </c>
    </row>
    <row r="550" spans="1:24" x14ac:dyDescent="0.35">
      <c r="A550" s="3">
        <v>45757</v>
      </c>
      <c r="B550" t="s">
        <v>366</v>
      </c>
      <c r="C550" t="s">
        <v>69</v>
      </c>
      <c r="D550" t="s">
        <v>696</v>
      </c>
      <c r="E550" t="s">
        <v>55</v>
      </c>
      <c r="F550" t="s">
        <v>27</v>
      </c>
      <c r="G550" t="s">
        <v>35</v>
      </c>
      <c r="H550">
        <v>44.7</v>
      </c>
      <c r="I550">
        <v>4589</v>
      </c>
      <c r="J550">
        <v>63</v>
      </c>
      <c r="K550">
        <v>18.8</v>
      </c>
      <c r="L550" t="s">
        <v>43</v>
      </c>
      <c r="M550">
        <v>27700.82</v>
      </c>
      <c r="N550">
        <v>17551</v>
      </c>
      <c r="O550" t="s">
        <v>91</v>
      </c>
      <c r="P550" t="str">
        <f t="shared" si="72"/>
        <v>Yes</v>
      </c>
      <c r="Q550">
        <f t="shared" si="73"/>
        <v>102.66</v>
      </c>
      <c r="R550">
        <f t="shared" si="74"/>
        <v>6.04</v>
      </c>
      <c r="S550">
        <f t="shared" si="75"/>
        <v>1.58</v>
      </c>
      <c r="T550" t="str">
        <f t="shared" si="76"/>
        <v>Delayed</v>
      </c>
      <c r="U550" t="str">
        <f t="shared" si="77"/>
        <v>Medium</v>
      </c>
      <c r="V550" t="str">
        <f t="shared" si="78"/>
        <v>Low Risk</v>
      </c>
      <c r="W550" t="str">
        <f t="shared" si="79"/>
        <v>Apr</v>
      </c>
      <c r="X550">
        <f t="shared" si="80"/>
        <v>2025</v>
      </c>
    </row>
    <row r="551" spans="1:24" x14ac:dyDescent="0.35">
      <c r="A551" s="3">
        <v>45956</v>
      </c>
      <c r="B551" t="s">
        <v>108</v>
      </c>
      <c r="C551" t="s">
        <v>57</v>
      </c>
      <c r="D551" t="s">
        <v>697</v>
      </c>
      <c r="E551" t="s">
        <v>63</v>
      </c>
      <c r="F551" t="s">
        <v>28</v>
      </c>
      <c r="G551" t="s">
        <v>29</v>
      </c>
      <c r="H551">
        <v>71.8</v>
      </c>
      <c r="I551">
        <v>3438</v>
      </c>
      <c r="J551">
        <v>68</v>
      </c>
      <c r="K551">
        <v>21.8</v>
      </c>
      <c r="L551" t="s">
        <v>49</v>
      </c>
      <c r="M551">
        <v>43332.11</v>
      </c>
      <c r="N551">
        <v>16544</v>
      </c>
      <c r="O551" t="s">
        <v>59</v>
      </c>
      <c r="P551" t="str">
        <f t="shared" si="72"/>
        <v>Yes</v>
      </c>
      <c r="Q551">
        <f t="shared" si="73"/>
        <v>47.88</v>
      </c>
      <c r="R551">
        <f t="shared" si="74"/>
        <v>12.6</v>
      </c>
      <c r="S551">
        <f t="shared" si="75"/>
        <v>2.62</v>
      </c>
      <c r="T551" t="str">
        <f t="shared" si="76"/>
        <v>Delayed</v>
      </c>
      <c r="U551" t="str">
        <f t="shared" si="77"/>
        <v>High</v>
      </c>
      <c r="V551" t="str">
        <f t="shared" si="78"/>
        <v>High Risk</v>
      </c>
      <c r="W551" t="str">
        <f t="shared" si="79"/>
        <v>Oct</v>
      </c>
      <c r="X551">
        <f t="shared" si="80"/>
        <v>2025</v>
      </c>
    </row>
    <row r="552" spans="1:24" x14ac:dyDescent="0.35">
      <c r="A552" s="3">
        <v>45767</v>
      </c>
      <c r="B552" t="s">
        <v>136</v>
      </c>
      <c r="C552" t="s">
        <v>25</v>
      </c>
      <c r="D552" t="s">
        <v>698</v>
      </c>
      <c r="E552" t="s">
        <v>66</v>
      </c>
      <c r="F552" t="s">
        <v>48</v>
      </c>
      <c r="G552" t="s">
        <v>71</v>
      </c>
      <c r="H552">
        <v>20.9</v>
      </c>
      <c r="I552">
        <v>4550</v>
      </c>
      <c r="J552">
        <v>80</v>
      </c>
      <c r="K552">
        <v>15.6</v>
      </c>
      <c r="L552" t="s">
        <v>49</v>
      </c>
      <c r="M552">
        <v>14149.74</v>
      </c>
      <c r="N552">
        <v>9018</v>
      </c>
      <c r="O552" t="s">
        <v>91</v>
      </c>
      <c r="P552" t="str">
        <f t="shared" si="72"/>
        <v>Yes</v>
      </c>
      <c r="Q552">
        <f t="shared" si="73"/>
        <v>217.7</v>
      </c>
      <c r="R552">
        <f t="shared" si="74"/>
        <v>3.11</v>
      </c>
      <c r="S552">
        <f t="shared" si="75"/>
        <v>1.57</v>
      </c>
      <c r="T552" t="str">
        <f t="shared" si="76"/>
        <v>Delayed</v>
      </c>
      <c r="U552" t="str">
        <f t="shared" si="77"/>
        <v>Low</v>
      </c>
      <c r="V552" t="str">
        <f t="shared" si="78"/>
        <v>High Risk</v>
      </c>
      <c r="W552" t="str">
        <f t="shared" si="79"/>
        <v>Apr</v>
      </c>
      <c r="X552">
        <f t="shared" si="80"/>
        <v>2025</v>
      </c>
    </row>
    <row r="553" spans="1:24" x14ac:dyDescent="0.35">
      <c r="A553" s="3">
        <v>45961</v>
      </c>
      <c r="B553" t="s">
        <v>142</v>
      </c>
      <c r="C553" t="s">
        <v>25</v>
      </c>
      <c r="D553" t="s">
        <v>699</v>
      </c>
      <c r="E553" t="s">
        <v>54</v>
      </c>
      <c r="F553" t="s">
        <v>55</v>
      </c>
      <c r="G553" t="s">
        <v>29</v>
      </c>
      <c r="H553">
        <v>74.599999999999994</v>
      </c>
      <c r="I553">
        <v>2779</v>
      </c>
      <c r="J553">
        <v>51</v>
      </c>
      <c r="K553">
        <v>14.6</v>
      </c>
      <c r="L553" t="s">
        <v>78</v>
      </c>
      <c r="M553">
        <v>35164.29</v>
      </c>
      <c r="N553">
        <v>26018</v>
      </c>
      <c r="O553" t="s">
        <v>67</v>
      </c>
      <c r="P553" t="str">
        <f t="shared" si="72"/>
        <v>No</v>
      </c>
      <c r="Q553">
        <f t="shared" si="73"/>
        <v>37.25</v>
      </c>
      <c r="R553">
        <f t="shared" si="74"/>
        <v>12.65</v>
      </c>
      <c r="S553">
        <f t="shared" si="75"/>
        <v>1.35</v>
      </c>
      <c r="T553" t="str">
        <f t="shared" si="76"/>
        <v>On Time</v>
      </c>
      <c r="U553" t="str">
        <f t="shared" si="77"/>
        <v>High</v>
      </c>
      <c r="V553" t="str">
        <f t="shared" si="78"/>
        <v>Low Risk</v>
      </c>
      <c r="W553" t="str">
        <f t="shared" si="79"/>
        <v>Oct</v>
      </c>
      <c r="X553">
        <f t="shared" si="80"/>
        <v>2025</v>
      </c>
    </row>
    <row r="554" spans="1:24" x14ac:dyDescent="0.35">
      <c r="A554" s="3">
        <v>45755</v>
      </c>
      <c r="B554" t="s">
        <v>100</v>
      </c>
      <c r="C554" t="s">
        <v>52</v>
      </c>
      <c r="D554" t="s">
        <v>700</v>
      </c>
      <c r="E554" t="s">
        <v>48</v>
      </c>
      <c r="F554" t="s">
        <v>28</v>
      </c>
      <c r="G554" t="s">
        <v>35</v>
      </c>
      <c r="H554">
        <v>74.5</v>
      </c>
      <c r="I554">
        <v>4255</v>
      </c>
      <c r="J554">
        <v>49</v>
      </c>
      <c r="K554">
        <v>20.9</v>
      </c>
      <c r="L554" t="s">
        <v>78</v>
      </c>
      <c r="M554">
        <v>45231.26</v>
      </c>
      <c r="N554">
        <v>27664</v>
      </c>
      <c r="O554" t="s">
        <v>91</v>
      </c>
      <c r="P554" t="str">
        <f t="shared" si="72"/>
        <v>No</v>
      </c>
      <c r="Q554">
        <f t="shared" si="73"/>
        <v>57.11</v>
      </c>
      <c r="R554">
        <f t="shared" si="74"/>
        <v>10.63</v>
      </c>
      <c r="S554">
        <f t="shared" si="75"/>
        <v>1.64</v>
      </c>
      <c r="T554" t="str">
        <f t="shared" si="76"/>
        <v>On Time</v>
      </c>
      <c r="U554" t="str">
        <f t="shared" si="77"/>
        <v>High</v>
      </c>
      <c r="V554" t="str">
        <f t="shared" si="78"/>
        <v>Low Risk</v>
      </c>
      <c r="W554" t="str">
        <f t="shared" si="79"/>
        <v>Apr</v>
      </c>
      <c r="X554">
        <f t="shared" si="80"/>
        <v>2025</v>
      </c>
    </row>
    <row r="555" spans="1:24" x14ac:dyDescent="0.35">
      <c r="A555" s="3">
        <v>45877</v>
      </c>
      <c r="B555" t="s">
        <v>38</v>
      </c>
      <c r="C555" t="s">
        <v>130</v>
      </c>
      <c r="D555" t="s">
        <v>701</v>
      </c>
      <c r="E555" t="s">
        <v>27</v>
      </c>
      <c r="F555" t="s">
        <v>28</v>
      </c>
      <c r="G555" t="s">
        <v>35</v>
      </c>
      <c r="H555">
        <v>47.5</v>
      </c>
      <c r="I555">
        <v>3171</v>
      </c>
      <c r="J555">
        <v>87</v>
      </c>
      <c r="K555">
        <v>21.5</v>
      </c>
      <c r="L555" t="s">
        <v>49</v>
      </c>
      <c r="M555">
        <v>22467.91</v>
      </c>
      <c r="N555">
        <v>26742</v>
      </c>
      <c r="O555" t="s">
        <v>59</v>
      </c>
      <c r="P555" t="str">
        <f t="shared" si="72"/>
        <v>Yes</v>
      </c>
      <c r="Q555">
        <f t="shared" si="73"/>
        <v>66.760000000000005</v>
      </c>
      <c r="R555">
        <f t="shared" si="74"/>
        <v>7.09</v>
      </c>
      <c r="S555">
        <f t="shared" si="75"/>
        <v>0.84</v>
      </c>
      <c r="T555" t="str">
        <f t="shared" si="76"/>
        <v>Delayed</v>
      </c>
      <c r="U555" t="str">
        <f t="shared" si="77"/>
        <v>Medium</v>
      </c>
      <c r="V555" t="str">
        <f t="shared" si="78"/>
        <v>High Risk</v>
      </c>
      <c r="W555" t="str">
        <f t="shared" si="79"/>
        <v>Aug</v>
      </c>
      <c r="X555">
        <f t="shared" si="80"/>
        <v>2025</v>
      </c>
    </row>
    <row r="556" spans="1:24" x14ac:dyDescent="0.35">
      <c r="A556" s="3">
        <v>45790</v>
      </c>
      <c r="B556" t="s">
        <v>104</v>
      </c>
      <c r="C556" t="s">
        <v>25</v>
      </c>
      <c r="D556" t="s">
        <v>702</v>
      </c>
      <c r="E556" t="s">
        <v>48</v>
      </c>
      <c r="F556" t="s">
        <v>27</v>
      </c>
      <c r="G556" t="s">
        <v>29</v>
      </c>
      <c r="H556">
        <v>22.6</v>
      </c>
      <c r="I556">
        <v>4472</v>
      </c>
      <c r="J556">
        <v>96</v>
      </c>
      <c r="K556">
        <v>13.4</v>
      </c>
      <c r="L556" t="s">
        <v>30</v>
      </c>
      <c r="M556">
        <v>10172.17</v>
      </c>
      <c r="N556">
        <v>19484</v>
      </c>
      <c r="O556" t="s">
        <v>91</v>
      </c>
      <c r="P556" t="str">
        <f t="shared" si="72"/>
        <v>Yes</v>
      </c>
      <c r="Q556">
        <f t="shared" si="73"/>
        <v>197.88</v>
      </c>
      <c r="R556">
        <f t="shared" si="74"/>
        <v>2.27</v>
      </c>
      <c r="S556">
        <f t="shared" si="75"/>
        <v>0.52</v>
      </c>
      <c r="T556" t="str">
        <f t="shared" si="76"/>
        <v>Delayed</v>
      </c>
      <c r="U556" t="str">
        <f t="shared" si="77"/>
        <v>Low</v>
      </c>
      <c r="V556" t="str">
        <f t="shared" si="78"/>
        <v>Medium Risk</v>
      </c>
      <c r="W556" t="str">
        <f t="shared" si="79"/>
        <v>May</v>
      </c>
      <c r="X556">
        <f t="shared" si="80"/>
        <v>2025</v>
      </c>
    </row>
    <row r="557" spans="1:24" x14ac:dyDescent="0.35">
      <c r="A557" s="3">
        <v>45788</v>
      </c>
      <c r="B557" t="s">
        <v>38</v>
      </c>
      <c r="C557" t="s">
        <v>69</v>
      </c>
      <c r="D557" t="s">
        <v>703</v>
      </c>
      <c r="E557" t="s">
        <v>63</v>
      </c>
      <c r="F557" t="s">
        <v>66</v>
      </c>
      <c r="G557" t="s">
        <v>35</v>
      </c>
      <c r="H557">
        <v>39.5</v>
      </c>
      <c r="I557">
        <v>3508</v>
      </c>
      <c r="J557">
        <v>28</v>
      </c>
      <c r="K557">
        <v>13.1</v>
      </c>
      <c r="L557" t="s">
        <v>78</v>
      </c>
      <c r="M557">
        <v>18938.349999999999</v>
      </c>
      <c r="N557">
        <v>26158</v>
      </c>
      <c r="O557" t="s">
        <v>67</v>
      </c>
      <c r="P557" t="str">
        <f t="shared" si="72"/>
        <v>No</v>
      </c>
      <c r="Q557">
        <f t="shared" si="73"/>
        <v>88.81</v>
      </c>
      <c r="R557">
        <f t="shared" si="74"/>
        <v>5.4</v>
      </c>
      <c r="S557">
        <f t="shared" si="75"/>
        <v>0.72</v>
      </c>
      <c r="T557" t="str">
        <f t="shared" si="76"/>
        <v>On Time</v>
      </c>
      <c r="U557" t="str">
        <f t="shared" si="77"/>
        <v>Low</v>
      </c>
      <c r="V557" t="str">
        <f t="shared" si="78"/>
        <v>Low Risk</v>
      </c>
      <c r="W557" t="str">
        <f t="shared" si="79"/>
        <v>May</v>
      </c>
      <c r="X557">
        <f t="shared" si="80"/>
        <v>2025</v>
      </c>
    </row>
    <row r="558" spans="1:24" x14ac:dyDescent="0.35">
      <c r="A558" s="3">
        <v>45732</v>
      </c>
      <c r="B558" t="s">
        <v>159</v>
      </c>
      <c r="C558" t="s">
        <v>52</v>
      </c>
      <c r="D558" t="s">
        <v>704</v>
      </c>
      <c r="E558" t="s">
        <v>27</v>
      </c>
      <c r="F558" t="s">
        <v>48</v>
      </c>
      <c r="G558" t="s">
        <v>71</v>
      </c>
      <c r="H558">
        <v>77.3</v>
      </c>
      <c r="I558">
        <v>3912</v>
      </c>
      <c r="J558">
        <v>84</v>
      </c>
      <c r="K558">
        <v>20.3</v>
      </c>
      <c r="L558" t="s">
        <v>43</v>
      </c>
      <c r="M558">
        <v>35536.58</v>
      </c>
      <c r="N558">
        <v>19844</v>
      </c>
      <c r="O558" t="s">
        <v>59</v>
      </c>
      <c r="P558" t="str">
        <f t="shared" si="72"/>
        <v>Yes</v>
      </c>
      <c r="Q558">
        <f t="shared" si="73"/>
        <v>50.61</v>
      </c>
      <c r="R558">
        <f t="shared" si="74"/>
        <v>9.08</v>
      </c>
      <c r="S558">
        <f t="shared" si="75"/>
        <v>1.79</v>
      </c>
      <c r="T558" t="str">
        <f t="shared" si="76"/>
        <v>Delayed</v>
      </c>
      <c r="U558" t="str">
        <f t="shared" si="77"/>
        <v>High</v>
      </c>
      <c r="V558" t="str">
        <f t="shared" si="78"/>
        <v>Low Risk</v>
      </c>
      <c r="W558" t="str">
        <f t="shared" si="79"/>
        <v>Mar</v>
      </c>
      <c r="X558">
        <f t="shared" si="80"/>
        <v>2025</v>
      </c>
    </row>
    <row r="559" spans="1:24" x14ac:dyDescent="0.35">
      <c r="A559" s="3">
        <v>45785</v>
      </c>
      <c r="B559" t="s">
        <v>129</v>
      </c>
      <c r="C559" t="s">
        <v>69</v>
      </c>
      <c r="D559" t="s">
        <v>705</v>
      </c>
      <c r="E559" t="s">
        <v>41</v>
      </c>
      <c r="F559" t="s">
        <v>66</v>
      </c>
      <c r="G559" t="s">
        <v>42</v>
      </c>
      <c r="H559">
        <v>41.9</v>
      </c>
      <c r="I559">
        <v>638</v>
      </c>
      <c r="J559">
        <v>31</v>
      </c>
      <c r="K559">
        <v>14.9</v>
      </c>
      <c r="L559" t="s">
        <v>43</v>
      </c>
      <c r="M559">
        <v>27756.62</v>
      </c>
      <c r="N559">
        <v>22730</v>
      </c>
      <c r="O559" t="s">
        <v>50</v>
      </c>
      <c r="P559" t="str">
        <f t="shared" si="72"/>
        <v>Yes</v>
      </c>
      <c r="Q559">
        <f t="shared" si="73"/>
        <v>15.23</v>
      </c>
      <c r="R559">
        <f t="shared" si="74"/>
        <v>43.51</v>
      </c>
      <c r="S559">
        <f t="shared" si="75"/>
        <v>1.22</v>
      </c>
      <c r="T559" t="str">
        <f t="shared" si="76"/>
        <v>Delayed</v>
      </c>
      <c r="U559" t="str">
        <f t="shared" si="77"/>
        <v>Medium</v>
      </c>
      <c r="V559" t="str">
        <f t="shared" si="78"/>
        <v>Low Risk</v>
      </c>
      <c r="W559" t="str">
        <f t="shared" si="79"/>
        <v>May</v>
      </c>
      <c r="X559">
        <f t="shared" si="80"/>
        <v>2025</v>
      </c>
    </row>
    <row r="560" spans="1:24" x14ac:dyDescent="0.35">
      <c r="A560" s="3">
        <v>46000</v>
      </c>
      <c r="B560" t="s">
        <v>256</v>
      </c>
      <c r="C560" t="s">
        <v>130</v>
      </c>
      <c r="D560" t="s">
        <v>706</v>
      </c>
      <c r="E560" t="s">
        <v>41</v>
      </c>
      <c r="F560" t="s">
        <v>28</v>
      </c>
      <c r="G560" t="s">
        <v>71</v>
      </c>
      <c r="H560">
        <v>41.3</v>
      </c>
      <c r="I560">
        <v>1552</v>
      </c>
      <c r="J560">
        <v>35</v>
      </c>
      <c r="K560">
        <v>10.4</v>
      </c>
      <c r="L560" t="s">
        <v>78</v>
      </c>
      <c r="M560">
        <v>26995.88</v>
      </c>
      <c r="N560">
        <v>23814</v>
      </c>
      <c r="O560" t="s">
        <v>50</v>
      </c>
      <c r="P560" t="str">
        <f t="shared" si="72"/>
        <v>No</v>
      </c>
      <c r="Q560">
        <f t="shared" si="73"/>
        <v>37.58</v>
      </c>
      <c r="R560">
        <f t="shared" si="74"/>
        <v>17.39</v>
      </c>
      <c r="S560">
        <f t="shared" si="75"/>
        <v>1.1299999999999999</v>
      </c>
      <c r="T560" t="str">
        <f t="shared" si="76"/>
        <v>On Time</v>
      </c>
      <c r="U560" t="str">
        <f t="shared" si="77"/>
        <v>Medium</v>
      </c>
      <c r="V560" t="str">
        <f t="shared" si="78"/>
        <v>Low Risk</v>
      </c>
      <c r="W560" t="str">
        <f t="shared" si="79"/>
        <v>Dec</v>
      </c>
      <c r="X560">
        <f t="shared" si="80"/>
        <v>2025</v>
      </c>
    </row>
    <row r="561" spans="1:24" x14ac:dyDescent="0.35">
      <c r="A561" s="3">
        <v>45855</v>
      </c>
      <c r="B561" t="s">
        <v>291</v>
      </c>
      <c r="C561" t="s">
        <v>52</v>
      </c>
      <c r="D561" t="s">
        <v>707</v>
      </c>
      <c r="E561" t="s">
        <v>55</v>
      </c>
      <c r="F561" t="s">
        <v>48</v>
      </c>
      <c r="G561" t="s">
        <v>42</v>
      </c>
      <c r="H561">
        <v>48.8</v>
      </c>
      <c r="I561">
        <v>2139</v>
      </c>
      <c r="J561">
        <v>90</v>
      </c>
      <c r="K561">
        <v>19.100000000000001</v>
      </c>
      <c r="L561" t="s">
        <v>49</v>
      </c>
      <c r="M561">
        <v>30797.26</v>
      </c>
      <c r="N561">
        <v>12569</v>
      </c>
      <c r="O561" t="s">
        <v>84</v>
      </c>
      <c r="P561" t="str">
        <f t="shared" si="72"/>
        <v>Yes</v>
      </c>
      <c r="Q561">
        <f t="shared" si="73"/>
        <v>43.83</v>
      </c>
      <c r="R561">
        <f t="shared" si="74"/>
        <v>14.4</v>
      </c>
      <c r="S561">
        <f t="shared" si="75"/>
        <v>2.4500000000000002</v>
      </c>
      <c r="T561" t="str">
        <f t="shared" si="76"/>
        <v>Delayed</v>
      </c>
      <c r="U561" t="str">
        <f t="shared" si="77"/>
        <v>Medium</v>
      </c>
      <c r="V561" t="str">
        <f t="shared" si="78"/>
        <v>High Risk</v>
      </c>
      <c r="W561" t="str">
        <f t="shared" si="79"/>
        <v>Jul</v>
      </c>
      <c r="X561">
        <f t="shared" si="80"/>
        <v>2025</v>
      </c>
    </row>
    <row r="562" spans="1:24" x14ac:dyDescent="0.35">
      <c r="A562" s="3">
        <v>45755</v>
      </c>
      <c r="B562" t="s">
        <v>92</v>
      </c>
      <c r="C562" t="s">
        <v>52</v>
      </c>
      <c r="D562" t="s">
        <v>708</v>
      </c>
      <c r="E562" t="s">
        <v>63</v>
      </c>
      <c r="F562" t="s">
        <v>48</v>
      </c>
      <c r="G562" t="s">
        <v>71</v>
      </c>
      <c r="H562">
        <v>34.5</v>
      </c>
      <c r="I562">
        <v>506</v>
      </c>
      <c r="J562">
        <v>103</v>
      </c>
      <c r="K562">
        <v>20.3</v>
      </c>
      <c r="L562" t="s">
        <v>43</v>
      </c>
      <c r="M562">
        <v>23980.240000000002</v>
      </c>
      <c r="N562">
        <v>19647</v>
      </c>
      <c r="O562" t="s">
        <v>91</v>
      </c>
      <c r="P562" t="str">
        <f t="shared" si="72"/>
        <v>Yes</v>
      </c>
      <c r="Q562">
        <f t="shared" si="73"/>
        <v>14.67</v>
      </c>
      <c r="R562">
        <f t="shared" si="74"/>
        <v>47.39</v>
      </c>
      <c r="S562">
        <f t="shared" si="75"/>
        <v>1.22</v>
      </c>
      <c r="T562" t="str">
        <f t="shared" si="76"/>
        <v>Delayed</v>
      </c>
      <c r="U562" t="str">
        <f t="shared" si="77"/>
        <v>Low</v>
      </c>
      <c r="V562" t="str">
        <f t="shared" si="78"/>
        <v>Low Risk</v>
      </c>
      <c r="W562" t="str">
        <f t="shared" si="79"/>
        <v>Apr</v>
      </c>
      <c r="X562">
        <f t="shared" si="80"/>
        <v>2025</v>
      </c>
    </row>
    <row r="563" spans="1:24" x14ac:dyDescent="0.35">
      <c r="A563" s="3">
        <v>45782</v>
      </c>
      <c r="B563" t="s">
        <v>104</v>
      </c>
      <c r="C563" t="s">
        <v>52</v>
      </c>
      <c r="D563" t="s">
        <v>709</v>
      </c>
      <c r="E563" t="s">
        <v>63</v>
      </c>
      <c r="F563" t="s">
        <v>66</v>
      </c>
      <c r="G563" t="s">
        <v>71</v>
      </c>
      <c r="H563">
        <v>70.7</v>
      </c>
      <c r="I563">
        <v>4252</v>
      </c>
      <c r="J563">
        <v>90</v>
      </c>
      <c r="K563">
        <v>21.6</v>
      </c>
      <c r="L563" t="s">
        <v>78</v>
      </c>
      <c r="M563">
        <v>46006.17</v>
      </c>
      <c r="N563">
        <v>12825</v>
      </c>
      <c r="O563" t="s">
        <v>59</v>
      </c>
      <c r="P563" t="str">
        <f t="shared" si="72"/>
        <v>No</v>
      </c>
      <c r="Q563">
        <f t="shared" si="73"/>
        <v>60.14</v>
      </c>
      <c r="R563">
        <f t="shared" si="74"/>
        <v>10.82</v>
      </c>
      <c r="S563">
        <f t="shared" si="75"/>
        <v>3.59</v>
      </c>
      <c r="T563" t="str">
        <f t="shared" si="76"/>
        <v>On Time</v>
      </c>
      <c r="U563" t="str">
        <f t="shared" si="77"/>
        <v>High</v>
      </c>
      <c r="V563" t="str">
        <f t="shared" si="78"/>
        <v>Low Risk</v>
      </c>
      <c r="W563" t="str">
        <f t="shared" si="79"/>
        <v>May</v>
      </c>
      <c r="X563">
        <f t="shared" si="80"/>
        <v>2025</v>
      </c>
    </row>
    <row r="564" spans="1:24" x14ac:dyDescent="0.35">
      <c r="A564" s="3">
        <v>45974</v>
      </c>
      <c r="B564" t="s">
        <v>146</v>
      </c>
      <c r="C564" t="s">
        <v>39</v>
      </c>
      <c r="D564" t="s">
        <v>710</v>
      </c>
      <c r="E564" t="s">
        <v>63</v>
      </c>
      <c r="F564" t="s">
        <v>54</v>
      </c>
      <c r="G564" t="s">
        <v>71</v>
      </c>
      <c r="H564">
        <v>27.9</v>
      </c>
      <c r="I564">
        <v>1702</v>
      </c>
      <c r="J564">
        <v>72</v>
      </c>
      <c r="K564">
        <v>10.6</v>
      </c>
      <c r="L564" t="s">
        <v>78</v>
      </c>
      <c r="M564">
        <v>18112.98</v>
      </c>
      <c r="N564">
        <v>15547</v>
      </c>
      <c r="O564" t="s">
        <v>84</v>
      </c>
      <c r="P564" t="str">
        <f t="shared" si="72"/>
        <v>No</v>
      </c>
      <c r="Q564">
        <f t="shared" si="73"/>
        <v>61</v>
      </c>
      <c r="R564">
        <f t="shared" si="74"/>
        <v>10.64</v>
      </c>
      <c r="S564">
        <f t="shared" si="75"/>
        <v>1.17</v>
      </c>
      <c r="T564" t="str">
        <f t="shared" si="76"/>
        <v>On Time</v>
      </c>
      <c r="U564" t="str">
        <f t="shared" si="77"/>
        <v>Low</v>
      </c>
      <c r="V564" t="str">
        <f t="shared" si="78"/>
        <v>Low Risk</v>
      </c>
      <c r="W564" t="str">
        <f t="shared" si="79"/>
        <v>Nov</v>
      </c>
      <c r="X564">
        <f t="shared" si="80"/>
        <v>2025</v>
      </c>
    </row>
    <row r="565" spans="1:24" x14ac:dyDescent="0.35">
      <c r="A565" s="3">
        <v>46022</v>
      </c>
      <c r="B565" t="s">
        <v>24</v>
      </c>
      <c r="C565" t="s">
        <v>69</v>
      </c>
      <c r="D565" t="s">
        <v>711</v>
      </c>
      <c r="E565" t="s">
        <v>28</v>
      </c>
      <c r="F565" t="s">
        <v>55</v>
      </c>
      <c r="G565" t="s">
        <v>71</v>
      </c>
      <c r="H565">
        <v>27.4</v>
      </c>
      <c r="I565">
        <v>4609</v>
      </c>
      <c r="J565">
        <v>87</v>
      </c>
      <c r="K565">
        <v>18.399999999999999</v>
      </c>
      <c r="L565" t="s">
        <v>49</v>
      </c>
      <c r="M565">
        <v>16896.63</v>
      </c>
      <c r="N565">
        <v>15726</v>
      </c>
      <c r="O565" t="s">
        <v>67</v>
      </c>
      <c r="P565" t="str">
        <f t="shared" si="72"/>
        <v>Yes</v>
      </c>
      <c r="Q565">
        <f t="shared" si="73"/>
        <v>168.21</v>
      </c>
      <c r="R565">
        <f t="shared" si="74"/>
        <v>3.67</v>
      </c>
      <c r="S565">
        <f t="shared" si="75"/>
        <v>1.07</v>
      </c>
      <c r="T565" t="str">
        <f t="shared" si="76"/>
        <v>Delayed</v>
      </c>
      <c r="U565" t="str">
        <f t="shared" si="77"/>
        <v>Low</v>
      </c>
      <c r="V565" t="str">
        <f t="shared" si="78"/>
        <v>High Risk</v>
      </c>
      <c r="W565" t="str">
        <f t="shared" si="79"/>
        <v>Dec</v>
      </c>
      <c r="X565">
        <f t="shared" si="80"/>
        <v>2025</v>
      </c>
    </row>
    <row r="566" spans="1:24" x14ac:dyDescent="0.35">
      <c r="A566" s="3">
        <v>45809</v>
      </c>
      <c r="B566" t="s">
        <v>98</v>
      </c>
      <c r="C566" t="s">
        <v>57</v>
      </c>
      <c r="D566" t="s">
        <v>712</v>
      </c>
      <c r="E566" t="s">
        <v>27</v>
      </c>
      <c r="F566" t="s">
        <v>48</v>
      </c>
      <c r="G566" t="s">
        <v>29</v>
      </c>
      <c r="H566">
        <v>30.6</v>
      </c>
      <c r="I566">
        <v>4774</v>
      </c>
      <c r="J566">
        <v>50</v>
      </c>
      <c r="K566">
        <v>15.5</v>
      </c>
      <c r="L566" t="s">
        <v>78</v>
      </c>
      <c r="M566">
        <v>17423.009999999998</v>
      </c>
      <c r="N566">
        <v>23272</v>
      </c>
      <c r="O566" t="s">
        <v>91</v>
      </c>
      <c r="P566" t="str">
        <f t="shared" si="72"/>
        <v>No</v>
      </c>
      <c r="Q566">
        <f t="shared" si="73"/>
        <v>156.01</v>
      </c>
      <c r="R566">
        <f t="shared" si="74"/>
        <v>3.65</v>
      </c>
      <c r="S566">
        <f t="shared" si="75"/>
        <v>0.75</v>
      </c>
      <c r="T566" t="str">
        <f t="shared" si="76"/>
        <v>On Time</v>
      </c>
      <c r="U566" t="str">
        <f t="shared" si="77"/>
        <v>Low</v>
      </c>
      <c r="V566" t="str">
        <f t="shared" si="78"/>
        <v>Low Risk</v>
      </c>
      <c r="W566" t="str">
        <f t="shared" si="79"/>
        <v>Jun</v>
      </c>
      <c r="X566">
        <f t="shared" si="80"/>
        <v>2025</v>
      </c>
    </row>
    <row r="567" spans="1:24" x14ac:dyDescent="0.35">
      <c r="A567" s="3">
        <v>45811</v>
      </c>
      <c r="B567" t="s">
        <v>118</v>
      </c>
      <c r="C567" t="s">
        <v>57</v>
      </c>
      <c r="D567" t="s">
        <v>713</v>
      </c>
      <c r="E567" t="s">
        <v>41</v>
      </c>
      <c r="F567" t="s">
        <v>27</v>
      </c>
      <c r="G567" t="s">
        <v>29</v>
      </c>
      <c r="H567">
        <v>64.599999999999994</v>
      </c>
      <c r="I567">
        <v>3195</v>
      </c>
      <c r="J567">
        <v>64</v>
      </c>
      <c r="K567">
        <v>12</v>
      </c>
      <c r="L567" t="s">
        <v>49</v>
      </c>
      <c r="M567">
        <v>41704.89</v>
      </c>
      <c r="N567">
        <v>24043</v>
      </c>
      <c r="O567" t="s">
        <v>67</v>
      </c>
      <c r="P567" t="str">
        <f t="shared" si="72"/>
        <v>Yes</v>
      </c>
      <c r="Q567">
        <f t="shared" si="73"/>
        <v>49.46</v>
      </c>
      <c r="R567">
        <f t="shared" si="74"/>
        <v>13.05</v>
      </c>
      <c r="S567">
        <f t="shared" si="75"/>
        <v>1.73</v>
      </c>
      <c r="T567" t="str">
        <f t="shared" si="76"/>
        <v>Delayed</v>
      </c>
      <c r="U567" t="str">
        <f t="shared" si="77"/>
        <v>High</v>
      </c>
      <c r="V567" t="str">
        <f t="shared" si="78"/>
        <v>High Risk</v>
      </c>
      <c r="W567" t="str">
        <f t="shared" si="79"/>
        <v>Jun</v>
      </c>
      <c r="X567">
        <f t="shared" si="80"/>
        <v>2025</v>
      </c>
    </row>
    <row r="568" spans="1:24" x14ac:dyDescent="0.35">
      <c r="A568" s="3">
        <v>45978</v>
      </c>
      <c r="B568" t="s">
        <v>142</v>
      </c>
      <c r="C568" t="s">
        <v>39</v>
      </c>
      <c r="D568" t="s">
        <v>714</v>
      </c>
      <c r="E568" t="s">
        <v>54</v>
      </c>
      <c r="F568" t="s">
        <v>63</v>
      </c>
      <c r="G568" t="s">
        <v>35</v>
      </c>
      <c r="H568">
        <v>58.1</v>
      </c>
      <c r="I568">
        <v>935</v>
      </c>
      <c r="J568">
        <v>105</v>
      </c>
      <c r="K568">
        <v>11.7</v>
      </c>
      <c r="L568" t="s">
        <v>43</v>
      </c>
      <c r="M568">
        <v>36340.129999999997</v>
      </c>
      <c r="N568">
        <v>20305</v>
      </c>
      <c r="O568" t="s">
        <v>31</v>
      </c>
      <c r="P568" t="str">
        <f t="shared" si="72"/>
        <v>Yes</v>
      </c>
      <c r="Q568">
        <f t="shared" si="73"/>
        <v>16.09</v>
      </c>
      <c r="R568">
        <f t="shared" si="74"/>
        <v>38.869999999999997</v>
      </c>
      <c r="S568">
        <f t="shared" si="75"/>
        <v>1.79</v>
      </c>
      <c r="T568" t="str">
        <f t="shared" si="76"/>
        <v>Delayed</v>
      </c>
      <c r="U568" t="str">
        <f t="shared" si="77"/>
        <v>Medium</v>
      </c>
      <c r="V568" t="str">
        <f t="shared" si="78"/>
        <v>Low Risk</v>
      </c>
      <c r="W568" t="str">
        <f t="shared" si="79"/>
        <v>Nov</v>
      </c>
      <c r="X568">
        <f t="shared" si="80"/>
        <v>2025</v>
      </c>
    </row>
    <row r="569" spans="1:24" x14ac:dyDescent="0.35">
      <c r="A569" s="3">
        <v>45779</v>
      </c>
      <c r="B569" t="s">
        <v>61</v>
      </c>
      <c r="C569" t="s">
        <v>95</v>
      </c>
      <c r="D569" t="s">
        <v>715</v>
      </c>
      <c r="E569" t="s">
        <v>54</v>
      </c>
      <c r="F569" t="s">
        <v>27</v>
      </c>
      <c r="G569" t="s">
        <v>35</v>
      </c>
      <c r="H569">
        <v>63</v>
      </c>
      <c r="I569">
        <v>3463</v>
      </c>
      <c r="J569">
        <v>76</v>
      </c>
      <c r="K569">
        <v>11.2</v>
      </c>
      <c r="L569" t="s">
        <v>43</v>
      </c>
      <c r="M569">
        <v>33968.94</v>
      </c>
      <c r="N569">
        <v>9784</v>
      </c>
      <c r="O569" t="s">
        <v>84</v>
      </c>
      <c r="P569" t="str">
        <f t="shared" si="72"/>
        <v>Yes</v>
      </c>
      <c r="Q569">
        <f t="shared" si="73"/>
        <v>54.97</v>
      </c>
      <c r="R569">
        <f t="shared" si="74"/>
        <v>9.81</v>
      </c>
      <c r="S569">
        <f t="shared" si="75"/>
        <v>3.47</v>
      </c>
      <c r="T569" t="str">
        <f t="shared" si="76"/>
        <v>Delayed</v>
      </c>
      <c r="U569" t="str">
        <f t="shared" si="77"/>
        <v>High</v>
      </c>
      <c r="V569" t="str">
        <f t="shared" si="78"/>
        <v>Low Risk</v>
      </c>
      <c r="W569" t="str">
        <f t="shared" si="79"/>
        <v>May</v>
      </c>
      <c r="X569">
        <f t="shared" si="80"/>
        <v>2025</v>
      </c>
    </row>
    <row r="570" spans="1:24" x14ac:dyDescent="0.35">
      <c r="A570" s="3">
        <v>45854</v>
      </c>
      <c r="B570" t="s">
        <v>64</v>
      </c>
      <c r="C570" t="s">
        <v>69</v>
      </c>
      <c r="D570" t="s">
        <v>716</v>
      </c>
      <c r="E570" t="s">
        <v>66</v>
      </c>
      <c r="F570" t="s">
        <v>54</v>
      </c>
      <c r="G570" t="s">
        <v>71</v>
      </c>
      <c r="H570">
        <v>20.7</v>
      </c>
      <c r="I570">
        <v>4289</v>
      </c>
      <c r="J570">
        <v>109</v>
      </c>
      <c r="K570">
        <v>13.5</v>
      </c>
      <c r="L570" t="s">
        <v>78</v>
      </c>
      <c r="M570">
        <v>13491.56</v>
      </c>
      <c r="N570">
        <v>8561</v>
      </c>
      <c r="O570" t="s">
        <v>31</v>
      </c>
      <c r="P570" t="str">
        <f t="shared" si="72"/>
        <v>No</v>
      </c>
      <c r="Q570">
        <f t="shared" si="73"/>
        <v>207.2</v>
      </c>
      <c r="R570">
        <f t="shared" si="74"/>
        <v>3.15</v>
      </c>
      <c r="S570">
        <f t="shared" si="75"/>
        <v>1.58</v>
      </c>
      <c r="T570" t="str">
        <f t="shared" si="76"/>
        <v>On Time</v>
      </c>
      <c r="U570" t="str">
        <f t="shared" si="77"/>
        <v>Low</v>
      </c>
      <c r="V570" t="str">
        <f t="shared" si="78"/>
        <v>Low Risk</v>
      </c>
      <c r="W570" t="str">
        <f t="shared" si="79"/>
        <v>Jul</v>
      </c>
      <c r="X570">
        <f t="shared" si="80"/>
        <v>2025</v>
      </c>
    </row>
    <row r="571" spans="1:24" x14ac:dyDescent="0.35">
      <c r="A571" s="3">
        <v>45710</v>
      </c>
      <c r="B571" t="s">
        <v>102</v>
      </c>
      <c r="C571" t="s">
        <v>109</v>
      </c>
      <c r="D571" t="s">
        <v>717</v>
      </c>
      <c r="E571" t="s">
        <v>55</v>
      </c>
      <c r="F571" t="s">
        <v>54</v>
      </c>
      <c r="G571" t="s">
        <v>71</v>
      </c>
      <c r="H571">
        <v>79.400000000000006</v>
      </c>
      <c r="I571">
        <v>3233</v>
      </c>
      <c r="J571">
        <v>31</v>
      </c>
      <c r="K571">
        <v>14.8</v>
      </c>
      <c r="L571" t="s">
        <v>43</v>
      </c>
      <c r="M571">
        <v>41394.160000000003</v>
      </c>
      <c r="N571">
        <v>9504</v>
      </c>
      <c r="O571" t="s">
        <v>31</v>
      </c>
      <c r="P571" t="str">
        <f t="shared" si="72"/>
        <v>Yes</v>
      </c>
      <c r="Q571">
        <f t="shared" si="73"/>
        <v>40.72</v>
      </c>
      <c r="R571">
        <f t="shared" si="74"/>
        <v>12.8</v>
      </c>
      <c r="S571">
        <f t="shared" si="75"/>
        <v>4.3600000000000003</v>
      </c>
      <c r="T571" t="str">
        <f t="shared" si="76"/>
        <v>Delayed</v>
      </c>
      <c r="U571" t="str">
        <f t="shared" si="77"/>
        <v>High</v>
      </c>
      <c r="V571" t="str">
        <f t="shared" si="78"/>
        <v>Low Risk</v>
      </c>
      <c r="W571" t="str">
        <f t="shared" si="79"/>
        <v>Feb</v>
      </c>
      <c r="X571">
        <f t="shared" si="80"/>
        <v>2025</v>
      </c>
    </row>
    <row r="572" spans="1:24" x14ac:dyDescent="0.35">
      <c r="A572" s="3">
        <v>46015</v>
      </c>
      <c r="B572" t="s">
        <v>104</v>
      </c>
      <c r="C572" t="s">
        <v>25</v>
      </c>
      <c r="D572" t="s">
        <v>718</v>
      </c>
      <c r="E572" t="s">
        <v>41</v>
      </c>
      <c r="F572" t="s">
        <v>48</v>
      </c>
      <c r="G572" t="s">
        <v>71</v>
      </c>
      <c r="H572">
        <v>55.8</v>
      </c>
      <c r="I572">
        <v>4808</v>
      </c>
      <c r="J572">
        <v>105</v>
      </c>
      <c r="K572">
        <v>19.899999999999999</v>
      </c>
      <c r="L572" t="s">
        <v>30</v>
      </c>
      <c r="M572">
        <v>28811.08</v>
      </c>
      <c r="N572">
        <v>21465</v>
      </c>
      <c r="O572" t="s">
        <v>31</v>
      </c>
      <c r="P572" t="str">
        <f t="shared" si="72"/>
        <v>Yes</v>
      </c>
      <c r="Q572">
        <f t="shared" si="73"/>
        <v>86.16</v>
      </c>
      <c r="R572">
        <f t="shared" si="74"/>
        <v>5.99</v>
      </c>
      <c r="S572">
        <f t="shared" si="75"/>
        <v>1.34</v>
      </c>
      <c r="T572" t="str">
        <f t="shared" si="76"/>
        <v>Delayed</v>
      </c>
      <c r="U572" t="str">
        <f t="shared" si="77"/>
        <v>Medium</v>
      </c>
      <c r="V572" t="str">
        <f t="shared" si="78"/>
        <v>Medium Risk</v>
      </c>
      <c r="W572" t="str">
        <f t="shared" si="79"/>
        <v>Dec</v>
      </c>
      <c r="X572">
        <f t="shared" si="80"/>
        <v>2025</v>
      </c>
    </row>
    <row r="573" spans="1:24" x14ac:dyDescent="0.35">
      <c r="A573" s="3">
        <v>46000</v>
      </c>
      <c r="B573" t="s">
        <v>133</v>
      </c>
      <c r="C573" t="s">
        <v>25</v>
      </c>
      <c r="D573" t="s">
        <v>719</v>
      </c>
      <c r="E573" t="s">
        <v>48</v>
      </c>
      <c r="F573" t="s">
        <v>27</v>
      </c>
      <c r="G573" t="s">
        <v>42</v>
      </c>
      <c r="H573">
        <v>50.3</v>
      </c>
      <c r="I573">
        <v>4077</v>
      </c>
      <c r="J573">
        <v>49</v>
      </c>
      <c r="K573">
        <v>15.3</v>
      </c>
      <c r="L573" t="s">
        <v>30</v>
      </c>
      <c r="M573">
        <v>31048.25</v>
      </c>
      <c r="N573">
        <v>9282</v>
      </c>
      <c r="O573" t="s">
        <v>36</v>
      </c>
      <c r="P573" t="str">
        <f t="shared" si="72"/>
        <v>Yes</v>
      </c>
      <c r="Q573">
        <f t="shared" si="73"/>
        <v>81.05</v>
      </c>
      <c r="R573">
        <f t="shared" si="74"/>
        <v>7.62</v>
      </c>
      <c r="S573">
        <f t="shared" si="75"/>
        <v>3.34</v>
      </c>
      <c r="T573" t="str">
        <f t="shared" si="76"/>
        <v>Delayed</v>
      </c>
      <c r="U573" t="str">
        <f t="shared" si="77"/>
        <v>Medium</v>
      </c>
      <c r="V573" t="str">
        <f t="shared" si="78"/>
        <v>Medium Risk</v>
      </c>
      <c r="W573" t="str">
        <f t="shared" si="79"/>
        <v>Dec</v>
      </c>
      <c r="X573">
        <f t="shared" si="80"/>
        <v>2025</v>
      </c>
    </row>
    <row r="574" spans="1:24" x14ac:dyDescent="0.35">
      <c r="A574" s="3">
        <v>45896</v>
      </c>
      <c r="B574" t="s">
        <v>171</v>
      </c>
      <c r="C574" t="s">
        <v>95</v>
      </c>
      <c r="D574" t="s">
        <v>720</v>
      </c>
      <c r="E574" t="s">
        <v>66</v>
      </c>
      <c r="F574" t="s">
        <v>48</v>
      </c>
      <c r="G574" t="s">
        <v>29</v>
      </c>
      <c r="H574">
        <v>31</v>
      </c>
      <c r="I574">
        <v>1606</v>
      </c>
      <c r="J574">
        <v>73</v>
      </c>
      <c r="K574">
        <v>19.100000000000001</v>
      </c>
      <c r="L574" t="s">
        <v>43</v>
      </c>
      <c r="M574">
        <v>21307.75</v>
      </c>
      <c r="N574">
        <v>6140</v>
      </c>
      <c r="O574" t="s">
        <v>84</v>
      </c>
      <c r="P574" t="str">
        <f t="shared" si="72"/>
        <v>Yes</v>
      </c>
      <c r="Q574">
        <f t="shared" si="73"/>
        <v>51.81</v>
      </c>
      <c r="R574">
        <f t="shared" si="74"/>
        <v>13.27</v>
      </c>
      <c r="S574">
        <f t="shared" si="75"/>
        <v>3.47</v>
      </c>
      <c r="T574" t="str">
        <f t="shared" si="76"/>
        <v>Delayed</v>
      </c>
      <c r="U574" t="str">
        <f t="shared" si="77"/>
        <v>Low</v>
      </c>
      <c r="V574" t="str">
        <f t="shared" si="78"/>
        <v>Low Risk</v>
      </c>
      <c r="W574" t="str">
        <f t="shared" si="79"/>
        <v>Aug</v>
      </c>
      <c r="X574">
        <f t="shared" si="80"/>
        <v>2025</v>
      </c>
    </row>
    <row r="575" spans="1:24" x14ac:dyDescent="0.35">
      <c r="A575" s="3">
        <v>45806</v>
      </c>
      <c r="B575" t="s">
        <v>217</v>
      </c>
      <c r="C575" t="s">
        <v>39</v>
      </c>
      <c r="D575" t="s">
        <v>721</v>
      </c>
      <c r="E575" t="s">
        <v>48</v>
      </c>
      <c r="F575" t="s">
        <v>63</v>
      </c>
      <c r="G575" t="s">
        <v>29</v>
      </c>
      <c r="H575">
        <v>76.900000000000006</v>
      </c>
      <c r="I575">
        <v>3059</v>
      </c>
      <c r="J575">
        <v>74</v>
      </c>
      <c r="K575">
        <v>20.2</v>
      </c>
      <c r="L575" t="s">
        <v>78</v>
      </c>
      <c r="M575">
        <v>38425.9</v>
      </c>
      <c r="N575">
        <v>26326</v>
      </c>
      <c r="O575" t="s">
        <v>50</v>
      </c>
      <c r="P575" t="str">
        <f t="shared" si="72"/>
        <v>No</v>
      </c>
      <c r="Q575">
        <f t="shared" si="73"/>
        <v>39.78</v>
      </c>
      <c r="R575">
        <f t="shared" si="74"/>
        <v>12.56</v>
      </c>
      <c r="S575">
        <f t="shared" si="75"/>
        <v>1.46</v>
      </c>
      <c r="T575" t="str">
        <f t="shared" si="76"/>
        <v>On Time</v>
      </c>
      <c r="U575" t="str">
        <f t="shared" si="77"/>
        <v>High</v>
      </c>
      <c r="V575" t="str">
        <f t="shared" si="78"/>
        <v>Low Risk</v>
      </c>
      <c r="W575" t="str">
        <f t="shared" si="79"/>
        <v>May</v>
      </c>
      <c r="X575">
        <f t="shared" si="80"/>
        <v>2025</v>
      </c>
    </row>
    <row r="576" spans="1:24" x14ac:dyDescent="0.35">
      <c r="A576" s="3">
        <v>45817</v>
      </c>
      <c r="B576" t="s">
        <v>111</v>
      </c>
      <c r="C576" t="s">
        <v>52</v>
      </c>
      <c r="D576" t="s">
        <v>722</v>
      </c>
      <c r="E576" t="s">
        <v>48</v>
      </c>
      <c r="F576" t="s">
        <v>66</v>
      </c>
      <c r="G576" t="s">
        <v>35</v>
      </c>
      <c r="H576">
        <v>29.7</v>
      </c>
      <c r="I576">
        <v>2712</v>
      </c>
      <c r="J576">
        <v>34</v>
      </c>
      <c r="K576">
        <v>15.7</v>
      </c>
      <c r="L576" t="s">
        <v>78</v>
      </c>
      <c r="M576">
        <v>15163.73</v>
      </c>
      <c r="N576">
        <v>7538</v>
      </c>
      <c r="O576" t="s">
        <v>59</v>
      </c>
      <c r="P576" t="str">
        <f t="shared" si="72"/>
        <v>No</v>
      </c>
      <c r="Q576">
        <f t="shared" si="73"/>
        <v>91.31</v>
      </c>
      <c r="R576">
        <f t="shared" si="74"/>
        <v>5.59</v>
      </c>
      <c r="S576">
        <f t="shared" si="75"/>
        <v>2.0099999999999998</v>
      </c>
      <c r="T576" t="str">
        <f t="shared" si="76"/>
        <v>On Time</v>
      </c>
      <c r="U576" t="str">
        <f t="shared" si="77"/>
        <v>Low</v>
      </c>
      <c r="V576" t="str">
        <f t="shared" si="78"/>
        <v>Low Risk</v>
      </c>
      <c r="W576" t="str">
        <f t="shared" si="79"/>
        <v>Jun</v>
      </c>
      <c r="X576">
        <f t="shared" si="80"/>
        <v>2025</v>
      </c>
    </row>
    <row r="577" spans="1:24" x14ac:dyDescent="0.35">
      <c r="A577" s="3">
        <v>45889</v>
      </c>
      <c r="B577" t="s">
        <v>256</v>
      </c>
      <c r="C577" t="s">
        <v>52</v>
      </c>
      <c r="D577" t="s">
        <v>723</v>
      </c>
      <c r="E577" t="s">
        <v>55</v>
      </c>
      <c r="F577" t="s">
        <v>63</v>
      </c>
      <c r="G577" t="s">
        <v>42</v>
      </c>
      <c r="H577">
        <v>24.2</v>
      </c>
      <c r="I577">
        <v>1542</v>
      </c>
      <c r="J577">
        <v>36</v>
      </c>
      <c r="K577">
        <v>13.2</v>
      </c>
      <c r="L577" t="s">
        <v>30</v>
      </c>
      <c r="M577">
        <v>12550.38</v>
      </c>
      <c r="N577">
        <v>5652</v>
      </c>
      <c r="O577" t="s">
        <v>91</v>
      </c>
      <c r="P577" t="str">
        <f t="shared" si="72"/>
        <v>Yes</v>
      </c>
      <c r="Q577">
        <f t="shared" si="73"/>
        <v>63.72</v>
      </c>
      <c r="R577">
        <f t="shared" si="74"/>
        <v>8.14</v>
      </c>
      <c r="S577">
        <f t="shared" si="75"/>
        <v>2.2200000000000002</v>
      </c>
      <c r="T577" t="str">
        <f t="shared" si="76"/>
        <v>Delayed</v>
      </c>
      <c r="U577" t="str">
        <f t="shared" si="77"/>
        <v>Low</v>
      </c>
      <c r="V577" t="str">
        <f t="shared" si="78"/>
        <v>Medium Risk</v>
      </c>
      <c r="W577" t="str">
        <f t="shared" si="79"/>
        <v>Aug</v>
      </c>
      <c r="X577">
        <f t="shared" si="80"/>
        <v>2025</v>
      </c>
    </row>
    <row r="578" spans="1:24" x14ac:dyDescent="0.35">
      <c r="A578" s="3">
        <v>45815</v>
      </c>
      <c r="B578" t="s">
        <v>115</v>
      </c>
      <c r="C578" t="s">
        <v>57</v>
      </c>
      <c r="D578" t="s">
        <v>724</v>
      </c>
      <c r="E578" t="s">
        <v>63</v>
      </c>
      <c r="F578" t="s">
        <v>66</v>
      </c>
      <c r="G578" t="s">
        <v>71</v>
      </c>
      <c r="H578">
        <v>78.599999999999994</v>
      </c>
      <c r="I578">
        <v>4593</v>
      </c>
      <c r="J578">
        <v>48</v>
      </c>
      <c r="K578">
        <v>13.8</v>
      </c>
      <c r="L578" t="s">
        <v>49</v>
      </c>
      <c r="M578">
        <v>54269.81</v>
      </c>
      <c r="N578">
        <v>12281</v>
      </c>
      <c r="O578" t="s">
        <v>50</v>
      </c>
      <c r="P578" t="str">
        <f t="shared" ref="P578:P641" si="81">IF(OR(L578="Rain",L578="Fog",L578="Storm"),"Yes","No")</f>
        <v>Yes</v>
      </c>
      <c r="Q578">
        <f t="shared" ref="Q578:Q641" si="82">ROUND(I578/H578,2)</f>
        <v>58.44</v>
      </c>
      <c r="R578">
        <f t="shared" ref="R578:R641" si="83">ROUND(M578/I578,2)</f>
        <v>11.82</v>
      </c>
      <c r="S578">
        <f t="shared" ref="S578:S641" si="84">ROUND(M578/N578,2)</f>
        <v>4.42</v>
      </c>
      <c r="T578" t="str">
        <f t="shared" ref="T578:T641" si="85">IF(P578="Yes","Delayed","On Time")</f>
        <v>Delayed</v>
      </c>
      <c r="U578" t="str">
        <f t="shared" ref="U578:U641" si="86">IF(H578&gt;=60,"High",IF(H578&gt;=40,"Medium","Low"))</f>
        <v>High</v>
      </c>
      <c r="V578" t="str">
        <f t="shared" ref="V578:V641" si="87">IF(L578="Storm","High Risk",IF(L578="Rain","Medium Risk","Low Risk"))</f>
        <v>High Risk</v>
      </c>
      <c r="W578" t="str">
        <f t="shared" ref="W578:W641" si="88">TEXT(A578,"mmm")</f>
        <v>Jun</v>
      </c>
      <c r="X578">
        <f t="shared" si="80"/>
        <v>2025</v>
      </c>
    </row>
    <row r="579" spans="1:24" x14ac:dyDescent="0.35">
      <c r="A579" s="3">
        <v>46014</v>
      </c>
      <c r="B579" t="s">
        <v>236</v>
      </c>
      <c r="C579" t="s">
        <v>57</v>
      </c>
      <c r="D579" t="s">
        <v>725</v>
      </c>
      <c r="E579" t="s">
        <v>54</v>
      </c>
      <c r="F579" t="s">
        <v>66</v>
      </c>
      <c r="G579" t="s">
        <v>35</v>
      </c>
      <c r="H579">
        <v>76.099999999999994</v>
      </c>
      <c r="I579">
        <v>1810</v>
      </c>
      <c r="J579">
        <v>86</v>
      </c>
      <c r="K579">
        <v>13</v>
      </c>
      <c r="L579" t="s">
        <v>78</v>
      </c>
      <c r="M579">
        <v>45510.46</v>
      </c>
      <c r="N579">
        <v>24524</v>
      </c>
      <c r="O579" t="s">
        <v>91</v>
      </c>
      <c r="P579" t="str">
        <f t="shared" si="81"/>
        <v>No</v>
      </c>
      <c r="Q579">
        <f t="shared" si="82"/>
        <v>23.78</v>
      </c>
      <c r="R579">
        <f t="shared" si="83"/>
        <v>25.14</v>
      </c>
      <c r="S579">
        <f t="shared" si="84"/>
        <v>1.86</v>
      </c>
      <c r="T579" t="str">
        <f t="shared" si="85"/>
        <v>On Time</v>
      </c>
      <c r="U579" t="str">
        <f t="shared" si="86"/>
        <v>High</v>
      </c>
      <c r="V579" t="str">
        <f t="shared" si="87"/>
        <v>Low Risk</v>
      </c>
      <c r="W579" t="str">
        <f t="shared" si="88"/>
        <v>Dec</v>
      </c>
      <c r="X579">
        <f t="shared" ref="X579:X642" si="89">YEAR(A579)</f>
        <v>2025</v>
      </c>
    </row>
    <row r="580" spans="1:24" x14ac:dyDescent="0.35">
      <c r="A580" s="3">
        <v>45690</v>
      </c>
      <c r="B580" t="s">
        <v>277</v>
      </c>
      <c r="C580" t="s">
        <v>109</v>
      </c>
      <c r="D580" t="s">
        <v>726</v>
      </c>
      <c r="E580" t="s">
        <v>48</v>
      </c>
      <c r="F580" t="s">
        <v>41</v>
      </c>
      <c r="G580" t="s">
        <v>35</v>
      </c>
      <c r="H580">
        <v>62</v>
      </c>
      <c r="I580">
        <v>3569</v>
      </c>
      <c r="J580">
        <v>73</v>
      </c>
      <c r="K580">
        <v>19.399999999999999</v>
      </c>
      <c r="L580" t="s">
        <v>49</v>
      </c>
      <c r="M580">
        <v>31532.63</v>
      </c>
      <c r="N580">
        <v>21138</v>
      </c>
      <c r="O580" t="s">
        <v>84</v>
      </c>
      <c r="P580" t="str">
        <f t="shared" si="81"/>
        <v>Yes</v>
      </c>
      <c r="Q580">
        <f t="shared" si="82"/>
        <v>57.56</v>
      </c>
      <c r="R580">
        <f t="shared" si="83"/>
        <v>8.84</v>
      </c>
      <c r="S580">
        <f t="shared" si="84"/>
        <v>1.49</v>
      </c>
      <c r="T580" t="str">
        <f t="shared" si="85"/>
        <v>Delayed</v>
      </c>
      <c r="U580" t="str">
        <f t="shared" si="86"/>
        <v>High</v>
      </c>
      <c r="V580" t="str">
        <f t="shared" si="87"/>
        <v>High Risk</v>
      </c>
      <c r="W580" t="str">
        <f t="shared" si="88"/>
        <v>Feb</v>
      </c>
      <c r="X580">
        <f t="shared" si="89"/>
        <v>2025</v>
      </c>
    </row>
    <row r="581" spans="1:24" x14ac:dyDescent="0.35">
      <c r="A581" s="3">
        <v>45703</v>
      </c>
      <c r="B581" t="s">
        <v>250</v>
      </c>
      <c r="C581" t="s">
        <v>57</v>
      </c>
      <c r="D581" t="s">
        <v>727</v>
      </c>
      <c r="E581" t="s">
        <v>63</v>
      </c>
      <c r="F581" t="s">
        <v>28</v>
      </c>
      <c r="G581" t="s">
        <v>29</v>
      </c>
      <c r="H581">
        <v>66.8</v>
      </c>
      <c r="I581">
        <v>4988</v>
      </c>
      <c r="J581">
        <v>88</v>
      </c>
      <c r="K581">
        <v>19.899999999999999</v>
      </c>
      <c r="L581" t="s">
        <v>78</v>
      </c>
      <c r="M581">
        <v>39891.14</v>
      </c>
      <c r="N581">
        <v>8987</v>
      </c>
      <c r="O581" t="s">
        <v>91</v>
      </c>
      <c r="P581" t="str">
        <f t="shared" si="81"/>
        <v>No</v>
      </c>
      <c r="Q581">
        <f t="shared" si="82"/>
        <v>74.67</v>
      </c>
      <c r="R581">
        <f t="shared" si="83"/>
        <v>8</v>
      </c>
      <c r="S581">
        <f t="shared" si="84"/>
        <v>4.4400000000000004</v>
      </c>
      <c r="T581" t="str">
        <f t="shared" si="85"/>
        <v>On Time</v>
      </c>
      <c r="U581" t="str">
        <f t="shared" si="86"/>
        <v>High</v>
      </c>
      <c r="V581" t="str">
        <f t="shared" si="87"/>
        <v>Low Risk</v>
      </c>
      <c r="W581" t="str">
        <f t="shared" si="88"/>
        <v>Feb</v>
      </c>
      <c r="X581">
        <f t="shared" si="89"/>
        <v>2025</v>
      </c>
    </row>
    <row r="582" spans="1:24" x14ac:dyDescent="0.35">
      <c r="A582" s="3">
        <v>45788</v>
      </c>
      <c r="B582" t="s">
        <v>111</v>
      </c>
      <c r="C582" t="s">
        <v>57</v>
      </c>
      <c r="D582" t="s">
        <v>728</v>
      </c>
      <c r="E582" t="s">
        <v>41</v>
      </c>
      <c r="F582" t="s">
        <v>63</v>
      </c>
      <c r="G582" t="s">
        <v>42</v>
      </c>
      <c r="H582">
        <v>39.4</v>
      </c>
      <c r="I582">
        <v>2459</v>
      </c>
      <c r="J582">
        <v>92</v>
      </c>
      <c r="K582">
        <v>11.8</v>
      </c>
      <c r="L582" t="s">
        <v>49</v>
      </c>
      <c r="M582">
        <v>20028.41</v>
      </c>
      <c r="N582">
        <v>26193</v>
      </c>
      <c r="O582" t="s">
        <v>36</v>
      </c>
      <c r="P582" t="str">
        <f t="shared" si="81"/>
        <v>Yes</v>
      </c>
      <c r="Q582">
        <f t="shared" si="82"/>
        <v>62.41</v>
      </c>
      <c r="R582">
        <f t="shared" si="83"/>
        <v>8.14</v>
      </c>
      <c r="S582">
        <f t="shared" si="84"/>
        <v>0.76</v>
      </c>
      <c r="T582" t="str">
        <f t="shared" si="85"/>
        <v>Delayed</v>
      </c>
      <c r="U582" t="str">
        <f t="shared" si="86"/>
        <v>Low</v>
      </c>
      <c r="V582" t="str">
        <f t="shared" si="87"/>
        <v>High Risk</v>
      </c>
      <c r="W582" t="str">
        <f t="shared" si="88"/>
        <v>May</v>
      </c>
      <c r="X582">
        <f t="shared" si="89"/>
        <v>2025</v>
      </c>
    </row>
    <row r="583" spans="1:24" x14ac:dyDescent="0.35">
      <c r="A583" s="3">
        <v>46014</v>
      </c>
      <c r="B583" t="s">
        <v>68</v>
      </c>
      <c r="C583" t="s">
        <v>69</v>
      </c>
      <c r="D583" t="s">
        <v>729</v>
      </c>
      <c r="E583" t="s">
        <v>66</v>
      </c>
      <c r="F583" t="s">
        <v>48</v>
      </c>
      <c r="G583" t="s">
        <v>42</v>
      </c>
      <c r="H583">
        <v>41.3</v>
      </c>
      <c r="I583">
        <v>2610</v>
      </c>
      <c r="J583">
        <v>87</v>
      </c>
      <c r="K583">
        <v>18.600000000000001</v>
      </c>
      <c r="L583" t="s">
        <v>30</v>
      </c>
      <c r="M583">
        <v>27868.76</v>
      </c>
      <c r="N583">
        <v>11411</v>
      </c>
      <c r="O583" t="s">
        <v>36</v>
      </c>
      <c r="P583" t="str">
        <f t="shared" si="81"/>
        <v>Yes</v>
      </c>
      <c r="Q583">
        <f t="shared" si="82"/>
        <v>63.2</v>
      </c>
      <c r="R583">
        <f t="shared" si="83"/>
        <v>10.68</v>
      </c>
      <c r="S583">
        <f t="shared" si="84"/>
        <v>2.44</v>
      </c>
      <c r="T583" t="str">
        <f t="shared" si="85"/>
        <v>Delayed</v>
      </c>
      <c r="U583" t="str">
        <f t="shared" si="86"/>
        <v>Medium</v>
      </c>
      <c r="V583" t="str">
        <f t="shared" si="87"/>
        <v>Medium Risk</v>
      </c>
      <c r="W583" t="str">
        <f t="shared" si="88"/>
        <v>Dec</v>
      </c>
      <c r="X583">
        <f t="shared" si="89"/>
        <v>2025</v>
      </c>
    </row>
    <row r="584" spans="1:24" x14ac:dyDescent="0.35">
      <c r="A584" s="3">
        <v>45746</v>
      </c>
      <c r="B584" t="s">
        <v>80</v>
      </c>
      <c r="C584" t="s">
        <v>95</v>
      </c>
      <c r="D584" t="s">
        <v>730</v>
      </c>
      <c r="E584" t="s">
        <v>48</v>
      </c>
      <c r="F584" t="s">
        <v>27</v>
      </c>
      <c r="G584" t="s">
        <v>42</v>
      </c>
      <c r="H584">
        <v>68</v>
      </c>
      <c r="I584">
        <v>1947</v>
      </c>
      <c r="J584">
        <v>44</v>
      </c>
      <c r="K584">
        <v>17.899999999999999</v>
      </c>
      <c r="L584" t="s">
        <v>30</v>
      </c>
      <c r="M584">
        <v>46202.99</v>
      </c>
      <c r="N584">
        <v>26527</v>
      </c>
      <c r="O584" t="s">
        <v>84</v>
      </c>
      <c r="P584" t="str">
        <f t="shared" si="81"/>
        <v>Yes</v>
      </c>
      <c r="Q584">
        <f t="shared" si="82"/>
        <v>28.63</v>
      </c>
      <c r="R584">
        <f t="shared" si="83"/>
        <v>23.73</v>
      </c>
      <c r="S584">
        <f t="shared" si="84"/>
        <v>1.74</v>
      </c>
      <c r="T584" t="str">
        <f t="shared" si="85"/>
        <v>Delayed</v>
      </c>
      <c r="U584" t="str">
        <f t="shared" si="86"/>
        <v>High</v>
      </c>
      <c r="V584" t="str">
        <f t="shared" si="87"/>
        <v>Medium Risk</v>
      </c>
      <c r="W584" t="str">
        <f t="shared" si="88"/>
        <v>Mar</v>
      </c>
      <c r="X584">
        <f t="shared" si="89"/>
        <v>2025</v>
      </c>
    </row>
    <row r="585" spans="1:24" x14ac:dyDescent="0.35">
      <c r="A585" s="3">
        <v>45783</v>
      </c>
      <c r="B585" t="s">
        <v>199</v>
      </c>
      <c r="C585" t="s">
        <v>95</v>
      </c>
      <c r="D585" t="s">
        <v>731</v>
      </c>
      <c r="E585" t="s">
        <v>41</v>
      </c>
      <c r="F585" t="s">
        <v>28</v>
      </c>
      <c r="G585" t="s">
        <v>35</v>
      </c>
      <c r="H585">
        <v>69.900000000000006</v>
      </c>
      <c r="I585">
        <v>3097</v>
      </c>
      <c r="J585">
        <v>66</v>
      </c>
      <c r="K585">
        <v>14.5</v>
      </c>
      <c r="L585" t="s">
        <v>43</v>
      </c>
      <c r="M585">
        <v>31566.99</v>
      </c>
      <c r="N585">
        <v>26751</v>
      </c>
      <c r="O585" t="s">
        <v>67</v>
      </c>
      <c r="P585" t="str">
        <f t="shared" si="81"/>
        <v>Yes</v>
      </c>
      <c r="Q585">
        <f t="shared" si="82"/>
        <v>44.31</v>
      </c>
      <c r="R585">
        <f t="shared" si="83"/>
        <v>10.19</v>
      </c>
      <c r="S585">
        <f t="shared" si="84"/>
        <v>1.18</v>
      </c>
      <c r="T585" t="str">
        <f t="shared" si="85"/>
        <v>Delayed</v>
      </c>
      <c r="U585" t="str">
        <f t="shared" si="86"/>
        <v>High</v>
      </c>
      <c r="V585" t="str">
        <f t="shared" si="87"/>
        <v>Low Risk</v>
      </c>
      <c r="W585" t="str">
        <f t="shared" si="88"/>
        <v>May</v>
      </c>
      <c r="X585">
        <f t="shared" si="89"/>
        <v>2025</v>
      </c>
    </row>
    <row r="586" spans="1:24" x14ac:dyDescent="0.35">
      <c r="A586" s="3">
        <v>45831</v>
      </c>
      <c r="B586" t="s">
        <v>136</v>
      </c>
      <c r="C586" t="s">
        <v>52</v>
      </c>
      <c r="D586" t="s">
        <v>732</v>
      </c>
      <c r="E586" t="s">
        <v>41</v>
      </c>
      <c r="F586" t="s">
        <v>54</v>
      </c>
      <c r="G586" t="s">
        <v>29</v>
      </c>
      <c r="H586">
        <v>41.3</v>
      </c>
      <c r="I586">
        <v>1069</v>
      </c>
      <c r="J586">
        <v>54</v>
      </c>
      <c r="K586">
        <v>15.7</v>
      </c>
      <c r="L586" t="s">
        <v>78</v>
      </c>
      <c r="M586">
        <v>21155.360000000001</v>
      </c>
      <c r="N586">
        <v>16765</v>
      </c>
      <c r="O586" t="s">
        <v>91</v>
      </c>
      <c r="P586" t="str">
        <f t="shared" si="81"/>
        <v>No</v>
      </c>
      <c r="Q586">
        <f t="shared" si="82"/>
        <v>25.88</v>
      </c>
      <c r="R586">
        <f t="shared" si="83"/>
        <v>19.79</v>
      </c>
      <c r="S586">
        <f t="shared" si="84"/>
        <v>1.26</v>
      </c>
      <c r="T586" t="str">
        <f t="shared" si="85"/>
        <v>On Time</v>
      </c>
      <c r="U586" t="str">
        <f t="shared" si="86"/>
        <v>Medium</v>
      </c>
      <c r="V586" t="str">
        <f t="shared" si="87"/>
        <v>Low Risk</v>
      </c>
      <c r="W586" t="str">
        <f t="shared" si="88"/>
        <v>Jun</v>
      </c>
      <c r="X586">
        <f t="shared" si="89"/>
        <v>2025</v>
      </c>
    </row>
    <row r="587" spans="1:24" x14ac:dyDescent="0.35">
      <c r="A587" s="3">
        <v>45865</v>
      </c>
      <c r="B587" t="s">
        <v>201</v>
      </c>
      <c r="C587" t="s">
        <v>109</v>
      </c>
      <c r="D587" t="s">
        <v>733</v>
      </c>
      <c r="E587" t="s">
        <v>55</v>
      </c>
      <c r="F587" t="s">
        <v>48</v>
      </c>
      <c r="G587" t="s">
        <v>42</v>
      </c>
      <c r="H587">
        <v>55.5</v>
      </c>
      <c r="I587">
        <v>1608</v>
      </c>
      <c r="J587">
        <v>32</v>
      </c>
      <c r="K587">
        <v>21.5</v>
      </c>
      <c r="L587" t="s">
        <v>78</v>
      </c>
      <c r="M587">
        <v>25880.25</v>
      </c>
      <c r="N587">
        <v>8612</v>
      </c>
      <c r="O587" t="s">
        <v>36</v>
      </c>
      <c r="P587" t="str">
        <f t="shared" si="81"/>
        <v>No</v>
      </c>
      <c r="Q587">
        <f t="shared" si="82"/>
        <v>28.97</v>
      </c>
      <c r="R587">
        <f t="shared" si="83"/>
        <v>16.09</v>
      </c>
      <c r="S587">
        <f t="shared" si="84"/>
        <v>3.01</v>
      </c>
      <c r="T587" t="str">
        <f t="shared" si="85"/>
        <v>On Time</v>
      </c>
      <c r="U587" t="str">
        <f t="shared" si="86"/>
        <v>Medium</v>
      </c>
      <c r="V587" t="str">
        <f t="shared" si="87"/>
        <v>Low Risk</v>
      </c>
      <c r="W587" t="str">
        <f t="shared" si="88"/>
        <v>Jul</v>
      </c>
      <c r="X587">
        <f t="shared" si="89"/>
        <v>2025</v>
      </c>
    </row>
    <row r="588" spans="1:24" x14ac:dyDescent="0.35">
      <c r="A588" s="3">
        <v>45822</v>
      </c>
      <c r="B588" t="s">
        <v>33</v>
      </c>
      <c r="C588" t="s">
        <v>25</v>
      </c>
      <c r="D588" t="s">
        <v>734</v>
      </c>
      <c r="E588" t="s">
        <v>41</v>
      </c>
      <c r="F588" t="s">
        <v>54</v>
      </c>
      <c r="G588" t="s">
        <v>71</v>
      </c>
      <c r="H588">
        <v>40</v>
      </c>
      <c r="I588">
        <v>4440</v>
      </c>
      <c r="J588">
        <v>118</v>
      </c>
      <c r="K588">
        <v>18.8</v>
      </c>
      <c r="L588" t="s">
        <v>43</v>
      </c>
      <c r="M588">
        <v>23488.67</v>
      </c>
      <c r="N588">
        <v>22483</v>
      </c>
      <c r="O588" t="s">
        <v>36</v>
      </c>
      <c r="P588" t="str">
        <f t="shared" si="81"/>
        <v>Yes</v>
      </c>
      <c r="Q588">
        <f t="shared" si="82"/>
        <v>111</v>
      </c>
      <c r="R588">
        <f t="shared" si="83"/>
        <v>5.29</v>
      </c>
      <c r="S588">
        <f t="shared" si="84"/>
        <v>1.04</v>
      </c>
      <c r="T588" t="str">
        <f t="shared" si="85"/>
        <v>Delayed</v>
      </c>
      <c r="U588" t="str">
        <f t="shared" si="86"/>
        <v>Medium</v>
      </c>
      <c r="V588" t="str">
        <f t="shared" si="87"/>
        <v>Low Risk</v>
      </c>
      <c r="W588" t="str">
        <f t="shared" si="88"/>
        <v>Jun</v>
      </c>
      <c r="X588">
        <f t="shared" si="89"/>
        <v>2025</v>
      </c>
    </row>
    <row r="589" spans="1:24" x14ac:dyDescent="0.35">
      <c r="A589" s="3">
        <v>45891</v>
      </c>
      <c r="B589" t="s">
        <v>210</v>
      </c>
      <c r="C589" t="s">
        <v>109</v>
      </c>
      <c r="D589" t="s">
        <v>735</v>
      </c>
      <c r="E589" t="s">
        <v>28</v>
      </c>
      <c r="F589" t="s">
        <v>63</v>
      </c>
      <c r="G589" t="s">
        <v>71</v>
      </c>
      <c r="H589">
        <v>74.7</v>
      </c>
      <c r="I589">
        <v>3902</v>
      </c>
      <c r="J589">
        <v>58</v>
      </c>
      <c r="K589">
        <v>18.7</v>
      </c>
      <c r="L589" t="s">
        <v>43</v>
      </c>
      <c r="M589">
        <v>48812.73</v>
      </c>
      <c r="N589">
        <v>17033</v>
      </c>
      <c r="O589" t="s">
        <v>31</v>
      </c>
      <c r="P589" t="str">
        <f t="shared" si="81"/>
        <v>Yes</v>
      </c>
      <c r="Q589">
        <f t="shared" si="82"/>
        <v>52.24</v>
      </c>
      <c r="R589">
        <f t="shared" si="83"/>
        <v>12.51</v>
      </c>
      <c r="S589">
        <f t="shared" si="84"/>
        <v>2.87</v>
      </c>
      <c r="T589" t="str">
        <f t="shared" si="85"/>
        <v>Delayed</v>
      </c>
      <c r="U589" t="str">
        <f t="shared" si="86"/>
        <v>High</v>
      </c>
      <c r="V589" t="str">
        <f t="shared" si="87"/>
        <v>Low Risk</v>
      </c>
      <c r="W589" t="str">
        <f t="shared" si="88"/>
        <v>Aug</v>
      </c>
      <c r="X589">
        <f t="shared" si="89"/>
        <v>2025</v>
      </c>
    </row>
    <row r="590" spans="1:24" x14ac:dyDescent="0.35">
      <c r="A590" s="3">
        <v>45776</v>
      </c>
      <c r="B590" t="s">
        <v>246</v>
      </c>
      <c r="C590" t="s">
        <v>25</v>
      </c>
      <c r="D590" t="s">
        <v>736</v>
      </c>
      <c r="E590" t="s">
        <v>48</v>
      </c>
      <c r="F590" t="s">
        <v>28</v>
      </c>
      <c r="G590" t="s">
        <v>71</v>
      </c>
      <c r="H590">
        <v>32.799999999999997</v>
      </c>
      <c r="I590">
        <v>927</v>
      </c>
      <c r="J590">
        <v>99</v>
      </c>
      <c r="K590">
        <v>16.399999999999999</v>
      </c>
      <c r="L590" t="s">
        <v>43</v>
      </c>
      <c r="M590">
        <v>21451.56</v>
      </c>
      <c r="N590">
        <v>26909</v>
      </c>
      <c r="O590" t="s">
        <v>50</v>
      </c>
      <c r="P590" t="str">
        <f t="shared" si="81"/>
        <v>Yes</v>
      </c>
      <c r="Q590">
        <f t="shared" si="82"/>
        <v>28.26</v>
      </c>
      <c r="R590">
        <f t="shared" si="83"/>
        <v>23.14</v>
      </c>
      <c r="S590">
        <f t="shared" si="84"/>
        <v>0.8</v>
      </c>
      <c r="T590" t="str">
        <f t="shared" si="85"/>
        <v>Delayed</v>
      </c>
      <c r="U590" t="str">
        <f t="shared" si="86"/>
        <v>Low</v>
      </c>
      <c r="V590" t="str">
        <f t="shared" si="87"/>
        <v>Low Risk</v>
      </c>
      <c r="W590" t="str">
        <f t="shared" si="88"/>
        <v>Apr</v>
      </c>
      <c r="X590">
        <f t="shared" si="89"/>
        <v>2025</v>
      </c>
    </row>
    <row r="591" spans="1:24" x14ac:dyDescent="0.35">
      <c r="A591" s="3">
        <v>45987</v>
      </c>
      <c r="B591" t="s">
        <v>104</v>
      </c>
      <c r="C591" t="s">
        <v>69</v>
      </c>
      <c r="D591" t="s">
        <v>737</v>
      </c>
      <c r="E591" t="s">
        <v>55</v>
      </c>
      <c r="F591" t="s">
        <v>41</v>
      </c>
      <c r="G591" t="s">
        <v>29</v>
      </c>
      <c r="H591">
        <v>74.5</v>
      </c>
      <c r="I591">
        <v>534</v>
      </c>
      <c r="J591">
        <v>116</v>
      </c>
      <c r="K591">
        <v>18.5</v>
      </c>
      <c r="L591" t="s">
        <v>30</v>
      </c>
      <c r="M591">
        <v>38768.43</v>
      </c>
      <c r="N591">
        <v>6453</v>
      </c>
      <c r="O591" t="s">
        <v>44</v>
      </c>
      <c r="P591" t="str">
        <f t="shared" si="81"/>
        <v>Yes</v>
      </c>
      <c r="Q591">
        <f t="shared" si="82"/>
        <v>7.17</v>
      </c>
      <c r="R591">
        <f t="shared" si="83"/>
        <v>72.599999999999994</v>
      </c>
      <c r="S591">
        <f t="shared" si="84"/>
        <v>6.01</v>
      </c>
      <c r="T591" t="str">
        <f t="shared" si="85"/>
        <v>Delayed</v>
      </c>
      <c r="U591" t="str">
        <f t="shared" si="86"/>
        <v>High</v>
      </c>
      <c r="V591" t="str">
        <f t="shared" si="87"/>
        <v>Medium Risk</v>
      </c>
      <c r="W591" t="str">
        <f t="shared" si="88"/>
        <v>Nov</v>
      </c>
      <c r="X591">
        <f t="shared" si="89"/>
        <v>2025</v>
      </c>
    </row>
    <row r="592" spans="1:24" x14ac:dyDescent="0.35">
      <c r="A592" s="3">
        <v>45983</v>
      </c>
      <c r="B592" t="s">
        <v>154</v>
      </c>
      <c r="C592" t="s">
        <v>95</v>
      </c>
      <c r="D592" t="s">
        <v>738</v>
      </c>
      <c r="E592" t="s">
        <v>28</v>
      </c>
      <c r="F592" t="s">
        <v>27</v>
      </c>
      <c r="G592" t="s">
        <v>71</v>
      </c>
      <c r="H592">
        <v>53</v>
      </c>
      <c r="I592">
        <v>1406</v>
      </c>
      <c r="J592">
        <v>49</v>
      </c>
      <c r="K592">
        <v>11.8</v>
      </c>
      <c r="L592" t="s">
        <v>43</v>
      </c>
      <c r="M592">
        <v>35458.74</v>
      </c>
      <c r="N592">
        <v>23089</v>
      </c>
      <c r="O592" t="s">
        <v>91</v>
      </c>
      <c r="P592" t="str">
        <f t="shared" si="81"/>
        <v>Yes</v>
      </c>
      <c r="Q592">
        <f t="shared" si="82"/>
        <v>26.53</v>
      </c>
      <c r="R592">
        <f t="shared" si="83"/>
        <v>25.22</v>
      </c>
      <c r="S592">
        <f t="shared" si="84"/>
        <v>1.54</v>
      </c>
      <c r="T592" t="str">
        <f t="shared" si="85"/>
        <v>Delayed</v>
      </c>
      <c r="U592" t="str">
        <f t="shared" si="86"/>
        <v>Medium</v>
      </c>
      <c r="V592" t="str">
        <f t="shared" si="87"/>
        <v>Low Risk</v>
      </c>
      <c r="W592" t="str">
        <f t="shared" si="88"/>
        <v>Nov</v>
      </c>
      <c r="X592">
        <f t="shared" si="89"/>
        <v>2025</v>
      </c>
    </row>
    <row r="593" spans="1:24" x14ac:dyDescent="0.35">
      <c r="A593" s="3">
        <v>45705</v>
      </c>
      <c r="B593" t="s">
        <v>33</v>
      </c>
      <c r="C593" t="s">
        <v>109</v>
      </c>
      <c r="D593" t="s">
        <v>739</v>
      </c>
      <c r="E593" t="s">
        <v>41</v>
      </c>
      <c r="F593" t="s">
        <v>48</v>
      </c>
      <c r="G593" t="s">
        <v>35</v>
      </c>
      <c r="H593">
        <v>69.5</v>
      </c>
      <c r="I593">
        <v>4062</v>
      </c>
      <c r="J593">
        <v>38</v>
      </c>
      <c r="K593">
        <v>14.1</v>
      </c>
      <c r="L593" t="s">
        <v>78</v>
      </c>
      <c r="M593">
        <v>43929.97</v>
      </c>
      <c r="N593">
        <v>8111</v>
      </c>
      <c r="O593" t="s">
        <v>84</v>
      </c>
      <c r="P593" t="str">
        <f t="shared" si="81"/>
        <v>No</v>
      </c>
      <c r="Q593">
        <f t="shared" si="82"/>
        <v>58.45</v>
      </c>
      <c r="R593">
        <f t="shared" si="83"/>
        <v>10.81</v>
      </c>
      <c r="S593">
        <f t="shared" si="84"/>
        <v>5.42</v>
      </c>
      <c r="T593" t="str">
        <f t="shared" si="85"/>
        <v>On Time</v>
      </c>
      <c r="U593" t="str">
        <f t="shared" si="86"/>
        <v>High</v>
      </c>
      <c r="V593" t="str">
        <f t="shared" si="87"/>
        <v>Low Risk</v>
      </c>
      <c r="W593" t="str">
        <f t="shared" si="88"/>
        <v>Feb</v>
      </c>
      <c r="X593">
        <f t="shared" si="89"/>
        <v>2025</v>
      </c>
    </row>
    <row r="594" spans="1:24" x14ac:dyDescent="0.35">
      <c r="A594" s="3">
        <v>45985</v>
      </c>
      <c r="B594" t="s">
        <v>94</v>
      </c>
      <c r="C594" t="s">
        <v>52</v>
      </c>
      <c r="D594" t="s">
        <v>740</v>
      </c>
      <c r="E594" t="s">
        <v>55</v>
      </c>
      <c r="F594" t="s">
        <v>54</v>
      </c>
      <c r="G594" t="s">
        <v>71</v>
      </c>
      <c r="H594">
        <v>51.4</v>
      </c>
      <c r="I594">
        <v>1722</v>
      </c>
      <c r="J594">
        <v>110</v>
      </c>
      <c r="K594">
        <v>14</v>
      </c>
      <c r="L594" t="s">
        <v>30</v>
      </c>
      <c r="M594">
        <v>24622.97</v>
      </c>
      <c r="N594">
        <v>13178</v>
      </c>
      <c r="O594" t="s">
        <v>36</v>
      </c>
      <c r="P594" t="str">
        <f t="shared" si="81"/>
        <v>Yes</v>
      </c>
      <c r="Q594">
        <f t="shared" si="82"/>
        <v>33.5</v>
      </c>
      <c r="R594">
        <f t="shared" si="83"/>
        <v>14.3</v>
      </c>
      <c r="S594">
        <f t="shared" si="84"/>
        <v>1.87</v>
      </c>
      <c r="T594" t="str">
        <f t="shared" si="85"/>
        <v>Delayed</v>
      </c>
      <c r="U594" t="str">
        <f t="shared" si="86"/>
        <v>Medium</v>
      </c>
      <c r="V594" t="str">
        <f t="shared" si="87"/>
        <v>Medium Risk</v>
      </c>
      <c r="W594" t="str">
        <f t="shared" si="88"/>
        <v>Nov</v>
      </c>
      <c r="X594">
        <f t="shared" si="89"/>
        <v>2025</v>
      </c>
    </row>
    <row r="595" spans="1:24" x14ac:dyDescent="0.35">
      <c r="A595" s="3">
        <v>45900</v>
      </c>
      <c r="B595" t="s">
        <v>185</v>
      </c>
      <c r="C595" t="s">
        <v>109</v>
      </c>
      <c r="D595" t="s">
        <v>741</v>
      </c>
      <c r="E595" t="s">
        <v>28</v>
      </c>
      <c r="F595" t="s">
        <v>63</v>
      </c>
      <c r="G595" t="s">
        <v>42</v>
      </c>
      <c r="H595">
        <v>46</v>
      </c>
      <c r="I595">
        <v>3963</v>
      </c>
      <c r="J595">
        <v>27</v>
      </c>
      <c r="K595">
        <v>16.5</v>
      </c>
      <c r="L595" t="s">
        <v>78</v>
      </c>
      <c r="M595">
        <v>29313.759999999998</v>
      </c>
      <c r="N595">
        <v>13527</v>
      </c>
      <c r="O595" t="s">
        <v>36</v>
      </c>
      <c r="P595" t="str">
        <f t="shared" si="81"/>
        <v>No</v>
      </c>
      <c r="Q595">
        <f t="shared" si="82"/>
        <v>86.15</v>
      </c>
      <c r="R595">
        <f t="shared" si="83"/>
        <v>7.4</v>
      </c>
      <c r="S595">
        <f t="shared" si="84"/>
        <v>2.17</v>
      </c>
      <c r="T595" t="str">
        <f t="shared" si="85"/>
        <v>On Time</v>
      </c>
      <c r="U595" t="str">
        <f t="shared" si="86"/>
        <v>Medium</v>
      </c>
      <c r="V595" t="str">
        <f t="shared" si="87"/>
        <v>Low Risk</v>
      </c>
      <c r="W595" t="str">
        <f t="shared" si="88"/>
        <v>Aug</v>
      </c>
      <c r="X595">
        <f t="shared" si="89"/>
        <v>2025</v>
      </c>
    </row>
    <row r="596" spans="1:24" x14ac:dyDescent="0.35">
      <c r="A596" s="3">
        <v>45939</v>
      </c>
      <c r="B596" t="s">
        <v>368</v>
      </c>
      <c r="C596" t="s">
        <v>39</v>
      </c>
      <c r="D596" t="s">
        <v>742</v>
      </c>
      <c r="E596" t="s">
        <v>27</v>
      </c>
      <c r="F596" t="s">
        <v>28</v>
      </c>
      <c r="G596" t="s">
        <v>35</v>
      </c>
      <c r="H596">
        <v>40.4</v>
      </c>
      <c r="I596">
        <v>4060</v>
      </c>
      <c r="J596">
        <v>101</v>
      </c>
      <c r="K596">
        <v>19.3</v>
      </c>
      <c r="L596" t="s">
        <v>78</v>
      </c>
      <c r="M596">
        <v>24004.82</v>
      </c>
      <c r="N596">
        <v>12215</v>
      </c>
      <c r="O596" t="s">
        <v>36</v>
      </c>
      <c r="P596" t="str">
        <f t="shared" si="81"/>
        <v>No</v>
      </c>
      <c r="Q596">
        <f t="shared" si="82"/>
        <v>100.5</v>
      </c>
      <c r="R596">
        <f t="shared" si="83"/>
        <v>5.91</v>
      </c>
      <c r="S596">
        <f t="shared" si="84"/>
        <v>1.97</v>
      </c>
      <c r="T596" t="str">
        <f t="shared" si="85"/>
        <v>On Time</v>
      </c>
      <c r="U596" t="str">
        <f t="shared" si="86"/>
        <v>Medium</v>
      </c>
      <c r="V596" t="str">
        <f t="shared" si="87"/>
        <v>Low Risk</v>
      </c>
      <c r="W596" t="str">
        <f t="shared" si="88"/>
        <v>Oct</v>
      </c>
      <c r="X596">
        <f t="shared" si="89"/>
        <v>2025</v>
      </c>
    </row>
    <row r="597" spans="1:24" x14ac:dyDescent="0.35">
      <c r="A597" s="3">
        <v>45740</v>
      </c>
      <c r="B597" t="s">
        <v>217</v>
      </c>
      <c r="C597" t="s">
        <v>109</v>
      </c>
      <c r="D597" t="s">
        <v>743</v>
      </c>
      <c r="E597" t="s">
        <v>66</v>
      </c>
      <c r="F597" t="s">
        <v>55</v>
      </c>
      <c r="G597" t="s">
        <v>42</v>
      </c>
      <c r="H597">
        <v>53.1</v>
      </c>
      <c r="I597">
        <v>846</v>
      </c>
      <c r="J597">
        <v>100</v>
      </c>
      <c r="K597">
        <v>15.1</v>
      </c>
      <c r="L597" t="s">
        <v>78</v>
      </c>
      <c r="M597">
        <v>34208.29</v>
      </c>
      <c r="N597">
        <v>13577</v>
      </c>
      <c r="O597" t="s">
        <v>84</v>
      </c>
      <c r="P597" t="str">
        <f t="shared" si="81"/>
        <v>No</v>
      </c>
      <c r="Q597">
        <f t="shared" si="82"/>
        <v>15.93</v>
      </c>
      <c r="R597">
        <f t="shared" si="83"/>
        <v>40.44</v>
      </c>
      <c r="S597">
        <f t="shared" si="84"/>
        <v>2.52</v>
      </c>
      <c r="T597" t="str">
        <f t="shared" si="85"/>
        <v>On Time</v>
      </c>
      <c r="U597" t="str">
        <f t="shared" si="86"/>
        <v>Medium</v>
      </c>
      <c r="V597" t="str">
        <f t="shared" si="87"/>
        <v>Low Risk</v>
      </c>
      <c r="W597" t="str">
        <f t="shared" si="88"/>
        <v>Mar</v>
      </c>
      <c r="X597">
        <f t="shared" si="89"/>
        <v>2025</v>
      </c>
    </row>
    <row r="598" spans="1:24" x14ac:dyDescent="0.35">
      <c r="A598" s="3">
        <v>45730</v>
      </c>
      <c r="B598" t="s">
        <v>256</v>
      </c>
      <c r="C598" t="s">
        <v>57</v>
      </c>
      <c r="D598" t="s">
        <v>744</v>
      </c>
      <c r="E598" t="s">
        <v>55</v>
      </c>
      <c r="F598" t="s">
        <v>41</v>
      </c>
      <c r="G598" t="s">
        <v>35</v>
      </c>
      <c r="H598">
        <v>49.2</v>
      </c>
      <c r="I598">
        <v>2594</v>
      </c>
      <c r="J598">
        <v>36</v>
      </c>
      <c r="K598">
        <v>15.1</v>
      </c>
      <c r="L598" t="s">
        <v>78</v>
      </c>
      <c r="M598">
        <v>26477.4</v>
      </c>
      <c r="N598">
        <v>5741</v>
      </c>
      <c r="O598" t="s">
        <v>91</v>
      </c>
      <c r="P598" t="str">
        <f t="shared" si="81"/>
        <v>No</v>
      </c>
      <c r="Q598">
        <f t="shared" si="82"/>
        <v>52.72</v>
      </c>
      <c r="R598">
        <f t="shared" si="83"/>
        <v>10.210000000000001</v>
      </c>
      <c r="S598">
        <f t="shared" si="84"/>
        <v>4.6100000000000003</v>
      </c>
      <c r="T598" t="str">
        <f t="shared" si="85"/>
        <v>On Time</v>
      </c>
      <c r="U598" t="str">
        <f t="shared" si="86"/>
        <v>Medium</v>
      </c>
      <c r="V598" t="str">
        <f t="shared" si="87"/>
        <v>Low Risk</v>
      </c>
      <c r="W598" t="str">
        <f t="shared" si="88"/>
        <v>Mar</v>
      </c>
      <c r="X598">
        <f t="shared" si="89"/>
        <v>2025</v>
      </c>
    </row>
    <row r="599" spans="1:24" x14ac:dyDescent="0.35">
      <c r="A599" s="3">
        <v>45970</v>
      </c>
      <c r="B599" t="s">
        <v>236</v>
      </c>
      <c r="C599" t="s">
        <v>69</v>
      </c>
      <c r="D599" t="s">
        <v>745</v>
      </c>
      <c r="E599" t="s">
        <v>27</v>
      </c>
      <c r="F599" t="s">
        <v>54</v>
      </c>
      <c r="G599" t="s">
        <v>71</v>
      </c>
      <c r="H599">
        <v>25.2</v>
      </c>
      <c r="I599">
        <v>4553</v>
      </c>
      <c r="J599">
        <v>106</v>
      </c>
      <c r="K599">
        <v>12.5</v>
      </c>
      <c r="L599" t="s">
        <v>30</v>
      </c>
      <c r="M599">
        <v>16980.650000000001</v>
      </c>
      <c r="N599">
        <v>21206</v>
      </c>
      <c r="O599" t="s">
        <v>44</v>
      </c>
      <c r="P599" t="str">
        <f t="shared" si="81"/>
        <v>Yes</v>
      </c>
      <c r="Q599">
        <f t="shared" si="82"/>
        <v>180.67</v>
      </c>
      <c r="R599">
        <f t="shared" si="83"/>
        <v>3.73</v>
      </c>
      <c r="S599">
        <f t="shared" si="84"/>
        <v>0.8</v>
      </c>
      <c r="T599" t="str">
        <f t="shared" si="85"/>
        <v>Delayed</v>
      </c>
      <c r="U599" t="str">
        <f t="shared" si="86"/>
        <v>Low</v>
      </c>
      <c r="V599" t="str">
        <f t="shared" si="87"/>
        <v>Medium Risk</v>
      </c>
      <c r="W599" t="str">
        <f t="shared" si="88"/>
        <v>Nov</v>
      </c>
      <c r="X599">
        <f t="shared" si="89"/>
        <v>2025</v>
      </c>
    </row>
    <row r="600" spans="1:24" x14ac:dyDescent="0.35">
      <c r="A600" s="3">
        <v>45716</v>
      </c>
      <c r="B600" t="s">
        <v>100</v>
      </c>
      <c r="C600" t="s">
        <v>69</v>
      </c>
      <c r="D600" t="s">
        <v>746</v>
      </c>
      <c r="E600" t="s">
        <v>28</v>
      </c>
      <c r="F600" t="s">
        <v>54</v>
      </c>
      <c r="G600" t="s">
        <v>42</v>
      </c>
      <c r="H600">
        <v>64.5</v>
      </c>
      <c r="I600">
        <v>898</v>
      </c>
      <c r="J600">
        <v>46</v>
      </c>
      <c r="K600">
        <v>20</v>
      </c>
      <c r="L600" t="s">
        <v>43</v>
      </c>
      <c r="M600">
        <v>40809.14</v>
      </c>
      <c r="N600">
        <v>14822</v>
      </c>
      <c r="O600" t="s">
        <v>36</v>
      </c>
      <c r="P600" t="str">
        <f t="shared" si="81"/>
        <v>Yes</v>
      </c>
      <c r="Q600">
        <f t="shared" si="82"/>
        <v>13.92</v>
      </c>
      <c r="R600">
        <f t="shared" si="83"/>
        <v>45.44</v>
      </c>
      <c r="S600">
        <f t="shared" si="84"/>
        <v>2.75</v>
      </c>
      <c r="T600" t="str">
        <f t="shared" si="85"/>
        <v>Delayed</v>
      </c>
      <c r="U600" t="str">
        <f t="shared" si="86"/>
        <v>High</v>
      </c>
      <c r="V600" t="str">
        <f t="shared" si="87"/>
        <v>Low Risk</v>
      </c>
      <c r="W600" t="str">
        <f t="shared" si="88"/>
        <v>Feb</v>
      </c>
      <c r="X600">
        <f t="shared" si="89"/>
        <v>2025</v>
      </c>
    </row>
    <row r="601" spans="1:24" x14ac:dyDescent="0.35">
      <c r="A601" s="3">
        <v>45974</v>
      </c>
      <c r="B601" t="s">
        <v>309</v>
      </c>
      <c r="C601" t="s">
        <v>25</v>
      </c>
      <c r="D601" t="s">
        <v>747</v>
      </c>
      <c r="E601" t="s">
        <v>28</v>
      </c>
      <c r="F601" t="s">
        <v>63</v>
      </c>
      <c r="G601" t="s">
        <v>29</v>
      </c>
      <c r="H601">
        <v>77.400000000000006</v>
      </c>
      <c r="I601">
        <v>1847</v>
      </c>
      <c r="J601">
        <v>116</v>
      </c>
      <c r="K601">
        <v>20.3</v>
      </c>
      <c r="L601" t="s">
        <v>78</v>
      </c>
      <c r="M601">
        <v>36771.46</v>
      </c>
      <c r="N601">
        <v>15229</v>
      </c>
      <c r="O601" t="s">
        <v>84</v>
      </c>
      <c r="P601" t="str">
        <f t="shared" si="81"/>
        <v>No</v>
      </c>
      <c r="Q601">
        <f t="shared" si="82"/>
        <v>23.86</v>
      </c>
      <c r="R601">
        <f t="shared" si="83"/>
        <v>19.91</v>
      </c>
      <c r="S601">
        <f t="shared" si="84"/>
        <v>2.41</v>
      </c>
      <c r="T601" t="str">
        <f t="shared" si="85"/>
        <v>On Time</v>
      </c>
      <c r="U601" t="str">
        <f t="shared" si="86"/>
        <v>High</v>
      </c>
      <c r="V601" t="str">
        <f t="shared" si="87"/>
        <v>Low Risk</v>
      </c>
      <c r="W601" t="str">
        <f t="shared" si="88"/>
        <v>Nov</v>
      </c>
      <c r="X601">
        <f t="shared" si="89"/>
        <v>2025</v>
      </c>
    </row>
    <row r="602" spans="1:24" x14ac:dyDescent="0.35">
      <c r="A602" s="3">
        <v>46010</v>
      </c>
      <c r="B602" t="s">
        <v>106</v>
      </c>
      <c r="C602" t="s">
        <v>39</v>
      </c>
      <c r="D602" t="s">
        <v>748</v>
      </c>
      <c r="E602" t="s">
        <v>55</v>
      </c>
      <c r="F602" t="s">
        <v>48</v>
      </c>
      <c r="G602" t="s">
        <v>35</v>
      </c>
      <c r="H602">
        <v>48.4</v>
      </c>
      <c r="I602">
        <v>3570</v>
      </c>
      <c r="J602">
        <v>35</v>
      </c>
      <c r="K602">
        <v>14.3</v>
      </c>
      <c r="L602" t="s">
        <v>78</v>
      </c>
      <c r="M602">
        <v>31863.74</v>
      </c>
      <c r="N602">
        <v>24689</v>
      </c>
      <c r="O602" t="s">
        <v>67</v>
      </c>
      <c r="P602" t="str">
        <f t="shared" si="81"/>
        <v>No</v>
      </c>
      <c r="Q602">
        <f t="shared" si="82"/>
        <v>73.760000000000005</v>
      </c>
      <c r="R602">
        <f t="shared" si="83"/>
        <v>8.93</v>
      </c>
      <c r="S602">
        <f t="shared" si="84"/>
        <v>1.29</v>
      </c>
      <c r="T602" t="str">
        <f t="shared" si="85"/>
        <v>On Time</v>
      </c>
      <c r="U602" t="str">
        <f t="shared" si="86"/>
        <v>Medium</v>
      </c>
      <c r="V602" t="str">
        <f t="shared" si="87"/>
        <v>Low Risk</v>
      </c>
      <c r="W602" t="str">
        <f t="shared" si="88"/>
        <v>Dec</v>
      </c>
      <c r="X602">
        <f t="shared" si="89"/>
        <v>2025</v>
      </c>
    </row>
    <row r="603" spans="1:24" x14ac:dyDescent="0.35">
      <c r="A603" s="3">
        <v>45921</v>
      </c>
      <c r="B603" t="s">
        <v>165</v>
      </c>
      <c r="C603" t="s">
        <v>52</v>
      </c>
      <c r="D603" t="s">
        <v>749</v>
      </c>
      <c r="E603" t="s">
        <v>66</v>
      </c>
      <c r="F603" t="s">
        <v>28</v>
      </c>
      <c r="G603" t="s">
        <v>29</v>
      </c>
      <c r="H603">
        <v>61.4</v>
      </c>
      <c r="I603">
        <v>2547</v>
      </c>
      <c r="J603">
        <v>80</v>
      </c>
      <c r="K603">
        <v>19.399999999999999</v>
      </c>
      <c r="L603" t="s">
        <v>49</v>
      </c>
      <c r="M603">
        <v>28623.99</v>
      </c>
      <c r="N603">
        <v>7603</v>
      </c>
      <c r="O603" t="s">
        <v>44</v>
      </c>
      <c r="P603" t="str">
        <f t="shared" si="81"/>
        <v>Yes</v>
      </c>
      <c r="Q603">
        <f t="shared" si="82"/>
        <v>41.48</v>
      </c>
      <c r="R603">
        <f t="shared" si="83"/>
        <v>11.24</v>
      </c>
      <c r="S603">
        <f t="shared" si="84"/>
        <v>3.76</v>
      </c>
      <c r="T603" t="str">
        <f t="shared" si="85"/>
        <v>Delayed</v>
      </c>
      <c r="U603" t="str">
        <f t="shared" si="86"/>
        <v>High</v>
      </c>
      <c r="V603" t="str">
        <f t="shared" si="87"/>
        <v>High Risk</v>
      </c>
      <c r="W603" t="str">
        <f t="shared" si="88"/>
        <v>Sep</v>
      </c>
      <c r="X603">
        <f t="shared" si="89"/>
        <v>2025</v>
      </c>
    </row>
    <row r="604" spans="1:24" x14ac:dyDescent="0.35">
      <c r="A604" s="3">
        <v>45815</v>
      </c>
      <c r="B604" t="s">
        <v>275</v>
      </c>
      <c r="C604" t="s">
        <v>69</v>
      </c>
      <c r="D604" t="s">
        <v>750</v>
      </c>
      <c r="E604" t="s">
        <v>28</v>
      </c>
      <c r="F604" t="s">
        <v>66</v>
      </c>
      <c r="G604" t="s">
        <v>42</v>
      </c>
      <c r="H604">
        <v>28.8</v>
      </c>
      <c r="I604">
        <v>3901</v>
      </c>
      <c r="J604">
        <v>78</v>
      </c>
      <c r="K604">
        <v>17.100000000000001</v>
      </c>
      <c r="L604" t="s">
        <v>43</v>
      </c>
      <c r="M604">
        <v>19284.98</v>
      </c>
      <c r="N604">
        <v>19524</v>
      </c>
      <c r="O604" t="s">
        <v>91</v>
      </c>
      <c r="P604" t="str">
        <f t="shared" si="81"/>
        <v>Yes</v>
      </c>
      <c r="Q604">
        <f t="shared" si="82"/>
        <v>135.44999999999999</v>
      </c>
      <c r="R604">
        <f t="shared" si="83"/>
        <v>4.9400000000000004</v>
      </c>
      <c r="S604">
        <f t="shared" si="84"/>
        <v>0.99</v>
      </c>
      <c r="T604" t="str">
        <f t="shared" si="85"/>
        <v>Delayed</v>
      </c>
      <c r="U604" t="str">
        <f t="shared" si="86"/>
        <v>Low</v>
      </c>
      <c r="V604" t="str">
        <f t="shared" si="87"/>
        <v>Low Risk</v>
      </c>
      <c r="W604" t="str">
        <f t="shared" si="88"/>
        <v>Jun</v>
      </c>
      <c r="X604">
        <f t="shared" si="89"/>
        <v>2025</v>
      </c>
    </row>
    <row r="605" spans="1:24" x14ac:dyDescent="0.35">
      <c r="A605" s="3">
        <v>45828</v>
      </c>
      <c r="B605" t="s">
        <v>223</v>
      </c>
      <c r="C605" t="s">
        <v>95</v>
      </c>
      <c r="D605" t="s">
        <v>751</v>
      </c>
      <c r="E605" t="s">
        <v>27</v>
      </c>
      <c r="F605" t="s">
        <v>63</v>
      </c>
      <c r="G605" t="s">
        <v>71</v>
      </c>
      <c r="H605">
        <v>65.3</v>
      </c>
      <c r="I605">
        <v>3963</v>
      </c>
      <c r="J605">
        <v>54</v>
      </c>
      <c r="K605">
        <v>20.6</v>
      </c>
      <c r="L605" t="s">
        <v>49</v>
      </c>
      <c r="M605">
        <v>39195.4</v>
      </c>
      <c r="N605">
        <v>12252</v>
      </c>
      <c r="O605" t="s">
        <v>31</v>
      </c>
      <c r="P605" t="str">
        <f t="shared" si="81"/>
        <v>Yes</v>
      </c>
      <c r="Q605">
        <f t="shared" si="82"/>
        <v>60.69</v>
      </c>
      <c r="R605">
        <f t="shared" si="83"/>
        <v>9.89</v>
      </c>
      <c r="S605">
        <f t="shared" si="84"/>
        <v>3.2</v>
      </c>
      <c r="T605" t="str">
        <f t="shared" si="85"/>
        <v>Delayed</v>
      </c>
      <c r="U605" t="str">
        <f t="shared" si="86"/>
        <v>High</v>
      </c>
      <c r="V605" t="str">
        <f t="shared" si="87"/>
        <v>High Risk</v>
      </c>
      <c r="W605" t="str">
        <f t="shared" si="88"/>
        <v>Jun</v>
      </c>
      <c r="X605">
        <f t="shared" si="89"/>
        <v>2025</v>
      </c>
    </row>
    <row r="606" spans="1:24" x14ac:dyDescent="0.35">
      <c r="A606" s="3">
        <v>45659</v>
      </c>
      <c r="B606" t="s">
        <v>157</v>
      </c>
      <c r="C606" t="s">
        <v>25</v>
      </c>
      <c r="D606" t="s">
        <v>752</v>
      </c>
      <c r="E606" t="s">
        <v>28</v>
      </c>
      <c r="F606" t="s">
        <v>27</v>
      </c>
      <c r="G606" t="s">
        <v>71</v>
      </c>
      <c r="H606">
        <v>41</v>
      </c>
      <c r="I606">
        <v>931</v>
      </c>
      <c r="J606">
        <v>41</v>
      </c>
      <c r="K606">
        <v>10.4</v>
      </c>
      <c r="L606" t="s">
        <v>49</v>
      </c>
      <c r="M606">
        <v>26918.49</v>
      </c>
      <c r="N606">
        <v>7628</v>
      </c>
      <c r="O606" t="s">
        <v>91</v>
      </c>
      <c r="P606" t="str">
        <f t="shared" si="81"/>
        <v>Yes</v>
      </c>
      <c r="Q606">
        <f t="shared" si="82"/>
        <v>22.71</v>
      </c>
      <c r="R606">
        <f t="shared" si="83"/>
        <v>28.91</v>
      </c>
      <c r="S606">
        <f t="shared" si="84"/>
        <v>3.53</v>
      </c>
      <c r="T606" t="str">
        <f t="shared" si="85"/>
        <v>Delayed</v>
      </c>
      <c r="U606" t="str">
        <f t="shared" si="86"/>
        <v>Medium</v>
      </c>
      <c r="V606" t="str">
        <f t="shared" si="87"/>
        <v>High Risk</v>
      </c>
      <c r="W606" t="str">
        <f t="shared" si="88"/>
        <v>Jan</v>
      </c>
      <c r="X606">
        <f t="shared" si="89"/>
        <v>2025</v>
      </c>
    </row>
    <row r="607" spans="1:24" x14ac:dyDescent="0.35">
      <c r="A607" s="3">
        <v>45715</v>
      </c>
      <c r="B607" t="s">
        <v>199</v>
      </c>
      <c r="C607" t="s">
        <v>109</v>
      </c>
      <c r="D607" t="s">
        <v>753</v>
      </c>
      <c r="E607" t="s">
        <v>48</v>
      </c>
      <c r="F607" t="s">
        <v>54</v>
      </c>
      <c r="G607" t="s">
        <v>35</v>
      </c>
      <c r="H607">
        <v>62.5</v>
      </c>
      <c r="I607">
        <v>2592</v>
      </c>
      <c r="J607">
        <v>35</v>
      </c>
      <c r="K607">
        <v>18.100000000000001</v>
      </c>
      <c r="L607" t="s">
        <v>49</v>
      </c>
      <c r="M607">
        <v>41445.08</v>
      </c>
      <c r="N607">
        <v>11323</v>
      </c>
      <c r="O607" t="s">
        <v>59</v>
      </c>
      <c r="P607" t="str">
        <f t="shared" si="81"/>
        <v>Yes</v>
      </c>
      <c r="Q607">
        <f t="shared" si="82"/>
        <v>41.47</v>
      </c>
      <c r="R607">
        <f t="shared" si="83"/>
        <v>15.99</v>
      </c>
      <c r="S607">
        <f t="shared" si="84"/>
        <v>3.66</v>
      </c>
      <c r="T607" t="str">
        <f t="shared" si="85"/>
        <v>Delayed</v>
      </c>
      <c r="U607" t="str">
        <f t="shared" si="86"/>
        <v>High</v>
      </c>
      <c r="V607" t="str">
        <f t="shared" si="87"/>
        <v>High Risk</v>
      </c>
      <c r="W607" t="str">
        <f t="shared" si="88"/>
        <v>Feb</v>
      </c>
      <c r="X607">
        <f t="shared" si="89"/>
        <v>2025</v>
      </c>
    </row>
    <row r="608" spans="1:24" x14ac:dyDescent="0.35">
      <c r="A608" s="3">
        <v>45889</v>
      </c>
      <c r="B608" t="s">
        <v>207</v>
      </c>
      <c r="C608" t="s">
        <v>95</v>
      </c>
      <c r="D608" t="s">
        <v>754</v>
      </c>
      <c r="E608" t="s">
        <v>28</v>
      </c>
      <c r="F608" t="s">
        <v>41</v>
      </c>
      <c r="G608" t="s">
        <v>42</v>
      </c>
      <c r="H608">
        <v>45.9</v>
      </c>
      <c r="I608">
        <v>2434</v>
      </c>
      <c r="J608">
        <v>114</v>
      </c>
      <c r="K608">
        <v>14.5</v>
      </c>
      <c r="L608" t="s">
        <v>78</v>
      </c>
      <c r="M608">
        <v>26128.94</v>
      </c>
      <c r="N608">
        <v>27741</v>
      </c>
      <c r="O608" t="s">
        <v>59</v>
      </c>
      <c r="P608" t="str">
        <f t="shared" si="81"/>
        <v>No</v>
      </c>
      <c r="Q608">
        <f t="shared" si="82"/>
        <v>53.03</v>
      </c>
      <c r="R608">
        <f t="shared" si="83"/>
        <v>10.73</v>
      </c>
      <c r="S608">
        <f t="shared" si="84"/>
        <v>0.94</v>
      </c>
      <c r="T608" t="str">
        <f t="shared" si="85"/>
        <v>On Time</v>
      </c>
      <c r="U608" t="str">
        <f t="shared" si="86"/>
        <v>Medium</v>
      </c>
      <c r="V608" t="str">
        <f t="shared" si="87"/>
        <v>Low Risk</v>
      </c>
      <c r="W608" t="str">
        <f t="shared" si="88"/>
        <v>Aug</v>
      </c>
      <c r="X608">
        <f t="shared" si="89"/>
        <v>2025</v>
      </c>
    </row>
    <row r="609" spans="1:24" x14ac:dyDescent="0.35">
      <c r="A609" s="3">
        <v>45687</v>
      </c>
      <c r="B609" t="s">
        <v>129</v>
      </c>
      <c r="C609" t="s">
        <v>95</v>
      </c>
      <c r="D609" t="s">
        <v>755</v>
      </c>
      <c r="E609" t="s">
        <v>48</v>
      </c>
      <c r="F609" t="s">
        <v>54</v>
      </c>
      <c r="G609" t="s">
        <v>71</v>
      </c>
      <c r="H609">
        <v>43.6</v>
      </c>
      <c r="I609">
        <v>3305</v>
      </c>
      <c r="J609">
        <v>95</v>
      </c>
      <c r="K609">
        <v>18.2</v>
      </c>
      <c r="L609" t="s">
        <v>43</v>
      </c>
      <c r="M609">
        <v>24235.439999999999</v>
      </c>
      <c r="N609">
        <v>25387</v>
      </c>
      <c r="O609" t="s">
        <v>36</v>
      </c>
      <c r="P609" t="str">
        <f t="shared" si="81"/>
        <v>Yes</v>
      </c>
      <c r="Q609">
        <f t="shared" si="82"/>
        <v>75.8</v>
      </c>
      <c r="R609">
        <f t="shared" si="83"/>
        <v>7.33</v>
      </c>
      <c r="S609">
        <f t="shared" si="84"/>
        <v>0.95</v>
      </c>
      <c r="T609" t="str">
        <f t="shared" si="85"/>
        <v>Delayed</v>
      </c>
      <c r="U609" t="str">
        <f t="shared" si="86"/>
        <v>Medium</v>
      </c>
      <c r="V609" t="str">
        <f t="shared" si="87"/>
        <v>Low Risk</v>
      </c>
      <c r="W609" t="str">
        <f t="shared" si="88"/>
        <v>Jan</v>
      </c>
      <c r="X609">
        <f t="shared" si="89"/>
        <v>2025</v>
      </c>
    </row>
    <row r="610" spans="1:24" x14ac:dyDescent="0.35">
      <c r="A610" s="3">
        <v>45660</v>
      </c>
      <c r="B610" t="s">
        <v>188</v>
      </c>
      <c r="C610" t="s">
        <v>39</v>
      </c>
      <c r="D610" t="s">
        <v>756</v>
      </c>
      <c r="E610" t="s">
        <v>28</v>
      </c>
      <c r="F610" t="s">
        <v>54</v>
      </c>
      <c r="G610" t="s">
        <v>42</v>
      </c>
      <c r="H610">
        <v>68.099999999999994</v>
      </c>
      <c r="I610">
        <v>4323</v>
      </c>
      <c r="J610">
        <v>87</v>
      </c>
      <c r="K610">
        <v>17.600000000000001</v>
      </c>
      <c r="L610" t="s">
        <v>49</v>
      </c>
      <c r="M610">
        <v>36193.4</v>
      </c>
      <c r="N610">
        <v>5525</v>
      </c>
      <c r="O610" t="s">
        <v>36</v>
      </c>
      <c r="P610" t="str">
        <f t="shared" si="81"/>
        <v>Yes</v>
      </c>
      <c r="Q610">
        <f t="shared" si="82"/>
        <v>63.48</v>
      </c>
      <c r="R610">
        <f t="shared" si="83"/>
        <v>8.3699999999999992</v>
      </c>
      <c r="S610">
        <f t="shared" si="84"/>
        <v>6.55</v>
      </c>
      <c r="T610" t="str">
        <f t="shared" si="85"/>
        <v>Delayed</v>
      </c>
      <c r="U610" t="str">
        <f t="shared" si="86"/>
        <v>High</v>
      </c>
      <c r="V610" t="str">
        <f t="shared" si="87"/>
        <v>High Risk</v>
      </c>
      <c r="W610" t="str">
        <f t="shared" si="88"/>
        <v>Jan</v>
      </c>
      <c r="X610">
        <f t="shared" si="89"/>
        <v>2025</v>
      </c>
    </row>
    <row r="611" spans="1:24" x14ac:dyDescent="0.35">
      <c r="A611" s="3">
        <v>45956</v>
      </c>
      <c r="B611" t="s">
        <v>142</v>
      </c>
      <c r="C611" t="s">
        <v>109</v>
      </c>
      <c r="D611" t="s">
        <v>757</v>
      </c>
      <c r="E611" t="s">
        <v>54</v>
      </c>
      <c r="F611" t="s">
        <v>48</v>
      </c>
      <c r="G611" t="s">
        <v>71</v>
      </c>
      <c r="H611">
        <v>34.200000000000003</v>
      </c>
      <c r="I611">
        <v>3387</v>
      </c>
      <c r="J611">
        <v>104</v>
      </c>
      <c r="K611">
        <v>20.8</v>
      </c>
      <c r="L611" t="s">
        <v>43</v>
      </c>
      <c r="M611">
        <v>16075.78</v>
      </c>
      <c r="N611">
        <v>8662</v>
      </c>
      <c r="O611" t="s">
        <v>50</v>
      </c>
      <c r="P611" t="str">
        <f t="shared" si="81"/>
        <v>Yes</v>
      </c>
      <c r="Q611">
        <f t="shared" si="82"/>
        <v>99.04</v>
      </c>
      <c r="R611">
        <f t="shared" si="83"/>
        <v>4.75</v>
      </c>
      <c r="S611">
        <f t="shared" si="84"/>
        <v>1.86</v>
      </c>
      <c r="T611" t="str">
        <f t="shared" si="85"/>
        <v>Delayed</v>
      </c>
      <c r="U611" t="str">
        <f t="shared" si="86"/>
        <v>Low</v>
      </c>
      <c r="V611" t="str">
        <f t="shared" si="87"/>
        <v>Low Risk</v>
      </c>
      <c r="W611" t="str">
        <f t="shared" si="88"/>
        <v>Oct</v>
      </c>
      <c r="X611">
        <f t="shared" si="89"/>
        <v>2025</v>
      </c>
    </row>
    <row r="612" spans="1:24" x14ac:dyDescent="0.35">
      <c r="A612" s="3">
        <v>45829</v>
      </c>
      <c r="B612" t="s">
        <v>104</v>
      </c>
      <c r="C612" t="s">
        <v>109</v>
      </c>
      <c r="D612" t="s">
        <v>758</v>
      </c>
      <c r="E612" t="s">
        <v>41</v>
      </c>
      <c r="F612" t="s">
        <v>66</v>
      </c>
      <c r="G612" t="s">
        <v>29</v>
      </c>
      <c r="H612">
        <v>38.299999999999997</v>
      </c>
      <c r="I612">
        <v>589</v>
      </c>
      <c r="J612">
        <v>70</v>
      </c>
      <c r="K612">
        <v>14.5</v>
      </c>
      <c r="L612" t="s">
        <v>43</v>
      </c>
      <c r="M612">
        <v>21669.759999999998</v>
      </c>
      <c r="N612">
        <v>15333</v>
      </c>
      <c r="O612" t="s">
        <v>59</v>
      </c>
      <c r="P612" t="str">
        <f t="shared" si="81"/>
        <v>Yes</v>
      </c>
      <c r="Q612">
        <f t="shared" si="82"/>
        <v>15.38</v>
      </c>
      <c r="R612">
        <f t="shared" si="83"/>
        <v>36.79</v>
      </c>
      <c r="S612">
        <f t="shared" si="84"/>
        <v>1.41</v>
      </c>
      <c r="T612" t="str">
        <f t="shared" si="85"/>
        <v>Delayed</v>
      </c>
      <c r="U612" t="str">
        <f t="shared" si="86"/>
        <v>Low</v>
      </c>
      <c r="V612" t="str">
        <f t="shared" si="87"/>
        <v>Low Risk</v>
      </c>
      <c r="W612" t="str">
        <f t="shared" si="88"/>
        <v>Jun</v>
      </c>
      <c r="X612">
        <f t="shared" si="89"/>
        <v>2025</v>
      </c>
    </row>
    <row r="613" spans="1:24" x14ac:dyDescent="0.35">
      <c r="A613" s="3">
        <v>45768</v>
      </c>
      <c r="B613" t="s">
        <v>92</v>
      </c>
      <c r="C613" t="s">
        <v>69</v>
      </c>
      <c r="D613" t="s">
        <v>759</v>
      </c>
      <c r="E613" t="s">
        <v>54</v>
      </c>
      <c r="F613" t="s">
        <v>27</v>
      </c>
      <c r="G613" t="s">
        <v>29</v>
      </c>
      <c r="H613">
        <v>69.2</v>
      </c>
      <c r="I613">
        <v>1008</v>
      </c>
      <c r="J613">
        <v>22</v>
      </c>
      <c r="K613">
        <v>19.3</v>
      </c>
      <c r="L613" t="s">
        <v>43</v>
      </c>
      <c r="M613">
        <v>47823.41</v>
      </c>
      <c r="N613">
        <v>9181</v>
      </c>
      <c r="O613" t="s">
        <v>91</v>
      </c>
      <c r="P613" t="str">
        <f t="shared" si="81"/>
        <v>Yes</v>
      </c>
      <c r="Q613">
        <f t="shared" si="82"/>
        <v>14.57</v>
      </c>
      <c r="R613">
        <f t="shared" si="83"/>
        <v>47.44</v>
      </c>
      <c r="S613">
        <f t="shared" si="84"/>
        <v>5.21</v>
      </c>
      <c r="T613" t="str">
        <f t="shared" si="85"/>
        <v>Delayed</v>
      </c>
      <c r="U613" t="str">
        <f t="shared" si="86"/>
        <v>High</v>
      </c>
      <c r="V613" t="str">
        <f t="shared" si="87"/>
        <v>Low Risk</v>
      </c>
      <c r="W613" t="str">
        <f t="shared" si="88"/>
        <v>Apr</v>
      </c>
      <c r="X613">
        <f t="shared" si="89"/>
        <v>2025</v>
      </c>
    </row>
    <row r="614" spans="1:24" x14ac:dyDescent="0.35">
      <c r="A614" s="3">
        <v>45683</v>
      </c>
      <c r="B614" t="s">
        <v>162</v>
      </c>
      <c r="C614" t="s">
        <v>130</v>
      </c>
      <c r="D614" t="s">
        <v>760</v>
      </c>
      <c r="E614" t="s">
        <v>66</v>
      </c>
      <c r="F614" t="s">
        <v>54</v>
      </c>
      <c r="G614" t="s">
        <v>71</v>
      </c>
      <c r="H614">
        <v>45.6</v>
      </c>
      <c r="I614">
        <v>4646</v>
      </c>
      <c r="J614">
        <v>87</v>
      </c>
      <c r="K614">
        <v>14.7</v>
      </c>
      <c r="L614" t="s">
        <v>30</v>
      </c>
      <c r="M614">
        <v>24949.08</v>
      </c>
      <c r="N614">
        <v>17281</v>
      </c>
      <c r="O614" t="s">
        <v>84</v>
      </c>
      <c r="P614" t="str">
        <f t="shared" si="81"/>
        <v>Yes</v>
      </c>
      <c r="Q614">
        <f t="shared" si="82"/>
        <v>101.89</v>
      </c>
      <c r="R614">
        <f t="shared" si="83"/>
        <v>5.37</v>
      </c>
      <c r="S614">
        <f t="shared" si="84"/>
        <v>1.44</v>
      </c>
      <c r="T614" t="str">
        <f t="shared" si="85"/>
        <v>Delayed</v>
      </c>
      <c r="U614" t="str">
        <f t="shared" si="86"/>
        <v>Medium</v>
      </c>
      <c r="V614" t="str">
        <f t="shared" si="87"/>
        <v>Medium Risk</v>
      </c>
      <c r="W614" t="str">
        <f t="shared" si="88"/>
        <v>Jan</v>
      </c>
      <c r="X614">
        <f t="shared" si="89"/>
        <v>2025</v>
      </c>
    </row>
    <row r="615" spans="1:24" x14ac:dyDescent="0.35">
      <c r="A615" s="3">
        <v>45965</v>
      </c>
      <c r="B615" t="s">
        <v>430</v>
      </c>
      <c r="C615" t="s">
        <v>52</v>
      </c>
      <c r="D615" t="s">
        <v>761</v>
      </c>
      <c r="E615" t="s">
        <v>63</v>
      </c>
      <c r="F615" t="s">
        <v>28</v>
      </c>
      <c r="G615" t="s">
        <v>71</v>
      </c>
      <c r="H615">
        <v>24.8</v>
      </c>
      <c r="I615">
        <v>3908</v>
      </c>
      <c r="J615">
        <v>37</v>
      </c>
      <c r="K615">
        <v>10.199999999999999</v>
      </c>
      <c r="L615" t="s">
        <v>43</v>
      </c>
      <c r="M615">
        <v>13706.8</v>
      </c>
      <c r="N615">
        <v>24635</v>
      </c>
      <c r="O615" t="s">
        <v>59</v>
      </c>
      <c r="P615" t="str">
        <f t="shared" si="81"/>
        <v>Yes</v>
      </c>
      <c r="Q615">
        <f t="shared" si="82"/>
        <v>157.58000000000001</v>
      </c>
      <c r="R615">
        <f t="shared" si="83"/>
        <v>3.51</v>
      </c>
      <c r="S615">
        <f t="shared" si="84"/>
        <v>0.56000000000000005</v>
      </c>
      <c r="T615" t="str">
        <f t="shared" si="85"/>
        <v>Delayed</v>
      </c>
      <c r="U615" t="str">
        <f t="shared" si="86"/>
        <v>Low</v>
      </c>
      <c r="V615" t="str">
        <f t="shared" si="87"/>
        <v>Low Risk</v>
      </c>
      <c r="W615" t="str">
        <f t="shared" si="88"/>
        <v>Nov</v>
      </c>
      <c r="X615">
        <f t="shared" si="89"/>
        <v>2025</v>
      </c>
    </row>
    <row r="616" spans="1:24" x14ac:dyDescent="0.35">
      <c r="A616" s="3">
        <v>45894</v>
      </c>
      <c r="B616" t="s">
        <v>193</v>
      </c>
      <c r="C616" t="s">
        <v>57</v>
      </c>
      <c r="D616" t="s">
        <v>762</v>
      </c>
      <c r="E616" t="s">
        <v>54</v>
      </c>
      <c r="F616" t="s">
        <v>41</v>
      </c>
      <c r="G616" t="s">
        <v>29</v>
      </c>
      <c r="H616">
        <v>49.8</v>
      </c>
      <c r="I616">
        <v>1530</v>
      </c>
      <c r="J616">
        <v>91</v>
      </c>
      <c r="K616">
        <v>13.7</v>
      </c>
      <c r="L616" t="s">
        <v>43</v>
      </c>
      <c r="M616">
        <v>33882.129999999997</v>
      </c>
      <c r="N616">
        <v>6863</v>
      </c>
      <c r="O616" t="s">
        <v>67</v>
      </c>
      <c r="P616" t="str">
        <f t="shared" si="81"/>
        <v>Yes</v>
      </c>
      <c r="Q616">
        <f t="shared" si="82"/>
        <v>30.72</v>
      </c>
      <c r="R616">
        <f t="shared" si="83"/>
        <v>22.15</v>
      </c>
      <c r="S616">
        <f t="shared" si="84"/>
        <v>4.9400000000000004</v>
      </c>
      <c r="T616" t="str">
        <f t="shared" si="85"/>
        <v>Delayed</v>
      </c>
      <c r="U616" t="str">
        <f t="shared" si="86"/>
        <v>Medium</v>
      </c>
      <c r="V616" t="str">
        <f t="shared" si="87"/>
        <v>Low Risk</v>
      </c>
      <c r="W616" t="str">
        <f t="shared" si="88"/>
        <v>Aug</v>
      </c>
      <c r="X616">
        <f t="shared" si="89"/>
        <v>2025</v>
      </c>
    </row>
    <row r="617" spans="1:24" x14ac:dyDescent="0.35">
      <c r="A617" s="3">
        <v>45744</v>
      </c>
      <c r="B617" t="s">
        <v>244</v>
      </c>
      <c r="C617" t="s">
        <v>52</v>
      </c>
      <c r="D617" t="s">
        <v>763</v>
      </c>
      <c r="E617" t="s">
        <v>41</v>
      </c>
      <c r="F617" t="s">
        <v>48</v>
      </c>
      <c r="G617" t="s">
        <v>29</v>
      </c>
      <c r="H617">
        <v>33.799999999999997</v>
      </c>
      <c r="I617">
        <v>4387</v>
      </c>
      <c r="J617">
        <v>34</v>
      </c>
      <c r="K617">
        <v>17.600000000000001</v>
      </c>
      <c r="L617" t="s">
        <v>43</v>
      </c>
      <c r="M617">
        <v>17441.95</v>
      </c>
      <c r="N617">
        <v>21396</v>
      </c>
      <c r="O617" t="s">
        <v>31</v>
      </c>
      <c r="P617" t="str">
        <f t="shared" si="81"/>
        <v>Yes</v>
      </c>
      <c r="Q617">
        <f t="shared" si="82"/>
        <v>129.79</v>
      </c>
      <c r="R617">
        <f t="shared" si="83"/>
        <v>3.98</v>
      </c>
      <c r="S617">
        <f t="shared" si="84"/>
        <v>0.82</v>
      </c>
      <c r="T617" t="str">
        <f t="shared" si="85"/>
        <v>Delayed</v>
      </c>
      <c r="U617" t="str">
        <f t="shared" si="86"/>
        <v>Low</v>
      </c>
      <c r="V617" t="str">
        <f t="shared" si="87"/>
        <v>Low Risk</v>
      </c>
      <c r="W617" t="str">
        <f t="shared" si="88"/>
        <v>Mar</v>
      </c>
      <c r="X617">
        <f t="shared" si="89"/>
        <v>2025</v>
      </c>
    </row>
    <row r="618" spans="1:24" x14ac:dyDescent="0.35">
      <c r="A618" s="3">
        <v>45748</v>
      </c>
      <c r="B618" t="s">
        <v>68</v>
      </c>
      <c r="C618" t="s">
        <v>109</v>
      </c>
      <c r="D618" t="s">
        <v>764</v>
      </c>
      <c r="E618" t="s">
        <v>55</v>
      </c>
      <c r="F618" t="s">
        <v>48</v>
      </c>
      <c r="G618" t="s">
        <v>42</v>
      </c>
      <c r="H618">
        <v>77.400000000000006</v>
      </c>
      <c r="I618">
        <v>4083</v>
      </c>
      <c r="J618">
        <v>117</v>
      </c>
      <c r="K618">
        <v>15.4</v>
      </c>
      <c r="L618" t="s">
        <v>30</v>
      </c>
      <c r="M618">
        <v>43682.5</v>
      </c>
      <c r="N618">
        <v>13606</v>
      </c>
      <c r="O618" t="s">
        <v>36</v>
      </c>
      <c r="P618" t="str">
        <f t="shared" si="81"/>
        <v>Yes</v>
      </c>
      <c r="Q618">
        <f t="shared" si="82"/>
        <v>52.75</v>
      </c>
      <c r="R618">
        <f t="shared" si="83"/>
        <v>10.7</v>
      </c>
      <c r="S618">
        <f t="shared" si="84"/>
        <v>3.21</v>
      </c>
      <c r="T618" t="str">
        <f t="shared" si="85"/>
        <v>Delayed</v>
      </c>
      <c r="U618" t="str">
        <f t="shared" si="86"/>
        <v>High</v>
      </c>
      <c r="V618" t="str">
        <f t="shared" si="87"/>
        <v>Medium Risk</v>
      </c>
      <c r="W618" t="str">
        <f t="shared" si="88"/>
        <v>Apr</v>
      </c>
      <c r="X618">
        <f t="shared" si="89"/>
        <v>2025</v>
      </c>
    </row>
    <row r="619" spans="1:24" x14ac:dyDescent="0.35">
      <c r="A619" s="3">
        <v>45968</v>
      </c>
      <c r="B619" t="s">
        <v>185</v>
      </c>
      <c r="C619" t="s">
        <v>69</v>
      </c>
      <c r="D619" t="s">
        <v>765</v>
      </c>
      <c r="E619" t="s">
        <v>48</v>
      </c>
      <c r="F619" t="s">
        <v>55</v>
      </c>
      <c r="G619" t="s">
        <v>42</v>
      </c>
      <c r="H619">
        <v>47</v>
      </c>
      <c r="I619">
        <v>2790</v>
      </c>
      <c r="J619">
        <v>118</v>
      </c>
      <c r="K619">
        <v>13.2</v>
      </c>
      <c r="L619" t="s">
        <v>49</v>
      </c>
      <c r="M619">
        <v>24324.880000000001</v>
      </c>
      <c r="N619">
        <v>22671</v>
      </c>
      <c r="O619" t="s">
        <v>59</v>
      </c>
      <c r="P619" t="str">
        <f t="shared" si="81"/>
        <v>Yes</v>
      </c>
      <c r="Q619">
        <f t="shared" si="82"/>
        <v>59.36</v>
      </c>
      <c r="R619">
        <f t="shared" si="83"/>
        <v>8.7200000000000006</v>
      </c>
      <c r="S619">
        <f t="shared" si="84"/>
        <v>1.07</v>
      </c>
      <c r="T619" t="str">
        <f t="shared" si="85"/>
        <v>Delayed</v>
      </c>
      <c r="U619" t="str">
        <f t="shared" si="86"/>
        <v>Medium</v>
      </c>
      <c r="V619" t="str">
        <f t="shared" si="87"/>
        <v>High Risk</v>
      </c>
      <c r="W619" t="str">
        <f t="shared" si="88"/>
        <v>Nov</v>
      </c>
      <c r="X619">
        <f t="shared" si="89"/>
        <v>2025</v>
      </c>
    </row>
    <row r="620" spans="1:24" x14ac:dyDescent="0.35">
      <c r="A620" s="3">
        <v>45694</v>
      </c>
      <c r="B620" t="s">
        <v>113</v>
      </c>
      <c r="C620" t="s">
        <v>52</v>
      </c>
      <c r="D620" t="s">
        <v>766</v>
      </c>
      <c r="E620" t="s">
        <v>28</v>
      </c>
      <c r="F620" t="s">
        <v>63</v>
      </c>
      <c r="G620" t="s">
        <v>42</v>
      </c>
      <c r="H620">
        <v>60.8</v>
      </c>
      <c r="I620">
        <v>2838</v>
      </c>
      <c r="J620">
        <v>49</v>
      </c>
      <c r="K620">
        <v>20.2</v>
      </c>
      <c r="L620" t="s">
        <v>30</v>
      </c>
      <c r="M620">
        <v>40026.99</v>
      </c>
      <c r="N620">
        <v>21821</v>
      </c>
      <c r="O620" t="s">
        <v>31</v>
      </c>
      <c r="P620" t="str">
        <f t="shared" si="81"/>
        <v>Yes</v>
      </c>
      <c r="Q620">
        <f t="shared" si="82"/>
        <v>46.68</v>
      </c>
      <c r="R620">
        <f t="shared" si="83"/>
        <v>14.1</v>
      </c>
      <c r="S620">
        <f t="shared" si="84"/>
        <v>1.83</v>
      </c>
      <c r="T620" t="str">
        <f t="shared" si="85"/>
        <v>Delayed</v>
      </c>
      <c r="U620" t="str">
        <f t="shared" si="86"/>
        <v>High</v>
      </c>
      <c r="V620" t="str">
        <f t="shared" si="87"/>
        <v>Medium Risk</v>
      </c>
      <c r="W620" t="str">
        <f t="shared" si="88"/>
        <v>Feb</v>
      </c>
      <c r="X620">
        <f t="shared" si="89"/>
        <v>2025</v>
      </c>
    </row>
    <row r="621" spans="1:24" x14ac:dyDescent="0.35">
      <c r="A621" s="3">
        <v>45864</v>
      </c>
      <c r="B621" t="s">
        <v>115</v>
      </c>
      <c r="C621" t="s">
        <v>69</v>
      </c>
      <c r="D621" t="s">
        <v>767</v>
      </c>
      <c r="E621" t="s">
        <v>54</v>
      </c>
      <c r="F621" t="s">
        <v>48</v>
      </c>
      <c r="G621" t="s">
        <v>29</v>
      </c>
      <c r="H621">
        <v>41.4</v>
      </c>
      <c r="I621">
        <v>2167</v>
      </c>
      <c r="J621">
        <v>97</v>
      </c>
      <c r="K621">
        <v>14.7</v>
      </c>
      <c r="L621" t="s">
        <v>49</v>
      </c>
      <c r="M621">
        <v>26919.45</v>
      </c>
      <c r="N621">
        <v>21741</v>
      </c>
      <c r="O621" t="s">
        <v>59</v>
      </c>
      <c r="P621" t="str">
        <f t="shared" si="81"/>
        <v>Yes</v>
      </c>
      <c r="Q621">
        <f t="shared" si="82"/>
        <v>52.34</v>
      </c>
      <c r="R621">
        <f t="shared" si="83"/>
        <v>12.42</v>
      </c>
      <c r="S621">
        <f t="shared" si="84"/>
        <v>1.24</v>
      </c>
      <c r="T621" t="str">
        <f t="shared" si="85"/>
        <v>Delayed</v>
      </c>
      <c r="U621" t="str">
        <f t="shared" si="86"/>
        <v>Medium</v>
      </c>
      <c r="V621" t="str">
        <f t="shared" si="87"/>
        <v>High Risk</v>
      </c>
      <c r="W621" t="str">
        <f t="shared" si="88"/>
        <v>Jul</v>
      </c>
      <c r="X621">
        <f t="shared" si="89"/>
        <v>2025</v>
      </c>
    </row>
    <row r="622" spans="1:24" x14ac:dyDescent="0.35">
      <c r="A622" s="3">
        <v>45992</v>
      </c>
      <c r="B622" t="s">
        <v>120</v>
      </c>
      <c r="C622" t="s">
        <v>109</v>
      </c>
      <c r="D622" t="s">
        <v>768</v>
      </c>
      <c r="E622" t="s">
        <v>54</v>
      </c>
      <c r="F622" t="s">
        <v>27</v>
      </c>
      <c r="G622" t="s">
        <v>42</v>
      </c>
      <c r="H622">
        <v>67.400000000000006</v>
      </c>
      <c r="I622">
        <v>4940</v>
      </c>
      <c r="J622">
        <v>89</v>
      </c>
      <c r="K622">
        <v>11.9</v>
      </c>
      <c r="L622" t="s">
        <v>43</v>
      </c>
      <c r="M622">
        <v>37970.53</v>
      </c>
      <c r="N622">
        <v>25866</v>
      </c>
      <c r="O622" t="s">
        <v>36</v>
      </c>
      <c r="P622" t="str">
        <f t="shared" si="81"/>
        <v>Yes</v>
      </c>
      <c r="Q622">
        <f t="shared" si="82"/>
        <v>73.290000000000006</v>
      </c>
      <c r="R622">
        <f t="shared" si="83"/>
        <v>7.69</v>
      </c>
      <c r="S622">
        <f t="shared" si="84"/>
        <v>1.47</v>
      </c>
      <c r="T622" t="str">
        <f t="shared" si="85"/>
        <v>Delayed</v>
      </c>
      <c r="U622" t="str">
        <f t="shared" si="86"/>
        <v>High</v>
      </c>
      <c r="V622" t="str">
        <f t="shared" si="87"/>
        <v>Low Risk</v>
      </c>
      <c r="W622" t="str">
        <f t="shared" si="88"/>
        <v>Dec</v>
      </c>
      <c r="X622">
        <f t="shared" si="89"/>
        <v>2025</v>
      </c>
    </row>
    <row r="623" spans="1:24" x14ac:dyDescent="0.35">
      <c r="A623" s="3">
        <v>45862</v>
      </c>
      <c r="B623" t="s">
        <v>244</v>
      </c>
      <c r="C623" t="s">
        <v>39</v>
      </c>
      <c r="D623" t="s">
        <v>769</v>
      </c>
      <c r="E623" t="s">
        <v>54</v>
      </c>
      <c r="F623" t="s">
        <v>41</v>
      </c>
      <c r="G623" t="s">
        <v>71</v>
      </c>
      <c r="H623">
        <v>42.7</v>
      </c>
      <c r="I623">
        <v>2995</v>
      </c>
      <c r="J623">
        <v>27</v>
      </c>
      <c r="K623">
        <v>17.899999999999999</v>
      </c>
      <c r="L623" t="s">
        <v>49</v>
      </c>
      <c r="M623">
        <v>29192.19</v>
      </c>
      <c r="N623">
        <v>21121</v>
      </c>
      <c r="O623" t="s">
        <v>36</v>
      </c>
      <c r="P623" t="str">
        <f t="shared" si="81"/>
        <v>Yes</v>
      </c>
      <c r="Q623">
        <f t="shared" si="82"/>
        <v>70.14</v>
      </c>
      <c r="R623">
        <f t="shared" si="83"/>
        <v>9.75</v>
      </c>
      <c r="S623">
        <f t="shared" si="84"/>
        <v>1.38</v>
      </c>
      <c r="T623" t="str">
        <f t="shared" si="85"/>
        <v>Delayed</v>
      </c>
      <c r="U623" t="str">
        <f t="shared" si="86"/>
        <v>Medium</v>
      </c>
      <c r="V623" t="str">
        <f t="shared" si="87"/>
        <v>High Risk</v>
      </c>
      <c r="W623" t="str">
        <f t="shared" si="88"/>
        <v>Jul</v>
      </c>
      <c r="X623">
        <f t="shared" si="89"/>
        <v>2025</v>
      </c>
    </row>
    <row r="624" spans="1:24" x14ac:dyDescent="0.35">
      <c r="A624" s="3">
        <v>45962</v>
      </c>
      <c r="B624" t="s">
        <v>317</v>
      </c>
      <c r="C624" t="s">
        <v>52</v>
      </c>
      <c r="D624" t="s">
        <v>770</v>
      </c>
      <c r="E624" t="s">
        <v>54</v>
      </c>
      <c r="F624" t="s">
        <v>66</v>
      </c>
      <c r="G624" t="s">
        <v>71</v>
      </c>
      <c r="H624">
        <v>43.2</v>
      </c>
      <c r="I624">
        <v>625</v>
      </c>
      <c r="J624">
        <v>52</v>
      </c>
      <c r="K624">
        <v>20.100000000000001</v>
      </c>
      <c r="L624" t="s">
        <v>43</v>
      </c>
      <c r="M624">
        <v>20555.07</v>
      </c>
      <c r="N624">
        <v>23168</v>
      </c>
      <c r="O624" t="s">
        <v>36</v>
      </c>
      <c r="P624" t="str">
        <f t="shared" si="81"/>
        <v>Yes</v>
      </c>
      <c r="Q624">
        <f t="shared" si="82"/>
        <v>14.47</v>
      </c>
      <c r="R624">
        <f t="shared" si="83"/>
        <v>32.89</v>
      </c>
      <c r="S624">
        <f t="shared" si="84"/>
        <v>0.89</v>
      </c>
      <c r="T624" t="str">
        <f t="shared" si="85"/>
        <v>Delayed</v>
      </c>
      <c r="U624" t="str">
        <f t="shared" si="86"/>
        <v>Medium</v>
      </c>
      <c r="V624" t="str">
        <f t="shared" si="87"/>
        <v>Low Risk</v>
      </c>
      <c r="W624" t="str">
        <f t="shared" si="88"/>
        <v>Nov</v>
      </c>
      <c r="X624">
        <f t="shared" si="89"/>
        <v>2025</v>
      </c>
    </row>
    <row r="625" spans="1:24" x14ac:dyDescent="0.35">
      <c r="A625" s="3">
        <v>46009</v>
      </c>
      <c r="B625" t="s">
        <v>300</v>
      </c>
      <c r="C625" t="s">
        <v>52</v>
      </c>
      <c r="D625" t="s">
        <v>771</v>
      </c>
      <c r="E625" t="s">
        <v>28</v>
      </c>
      <c r="F625" t="s">
        <v>48</v>
      </c>
      <c r="G625" t="s">
        <v>71</v>
      </c>
      <c r="H625">
        <v>58.1</v>
      </c>
      <c r="I625">
        <v>2466</v>
      </c>
      <c r="J625">
        <v>53</v>
      </c>
      <c r="K625">
        <v>20.6</v>
      </c>
      <c r="L625" t="s">
        <v>78</v>
      </c>
      <c r="M625">
        <v>28433.02</v>
      </c>
      <c r="N625">
        <v>22962</v>
      </c>
      <c r="O625" t="s">
        <v>84</v>
      </c>
      <c r="P625" t="str">
        <f t="shared" si="81"/>
        <v>No</v>
      </c>
      <c r="Q625">
        <f t="shared" si="82"/>
        <v>42.44</v>
      </c>
      <c r="R625">
        <f t="shared" si="83"/>
        <v>11.53</v>
      </c>
      <c r="S625">
        <f t="shared" si="84"/>
        <v>1.24</v>
      </c>
      <c r="T625" t="str">
        <f t="shared" si="85"/>
        <v>On Time</v>
      </c>
      <c r="U625" t="str">
        <f t="shared" si="86"/>
        <v>Medium</v>
      </c>
      <c r="V625" t="str">
        <f t="shared" si="87"/>
        <v>Low Risk</v>
      </c>
      <c r="W625" t="str">
        <f t="shared" si="88"/>
        <v>Dec</v>
      </c>
      <c r="X625">
        <f t="shared" si="89"/>
        <v>2025</v>
      </c>
    </row>
    <row r="626" spans="1:24" x14ac:dyDescent="0.35">
      <c r="A626" s="3">
        <v>45666</v>
      </c>
      <c r="B626" t="s">
        <v>185</v>
      </c>
      <c r="C626" t="s">
        <v>25</v>
      </c>
      <c r="D626" t="s">
        <v>772</v>
      </c>
      <c r="E626" t="s">
        <v>48</v>
      </c>
      <c r="F626" t="s">
        <v>63</v>
      </c>
      <c r="G626" t="s">
        <v>35</v>
      </c>
      <c r="H626">
        <v>74.099999999999994</v>
      </c>
      <c r="I626">
        <v>1682</v>
      </c>
      <c r="J626">
        <v>69</v>
      </c>
      <c r="K626">
        <v>16.3</v>
      </c>
      <c r="L626" t="s">
        <v>78</v>
      </c>
      <c r="M626">
        <v>44986.75</v>
      </c>
      <c r="N626">
        <v>20876</v>
      </c>
      <c r="O626" t="s">
        <v>36</v>
      </c>
      <c r="P626" t="str">
        <f t="shared" si="81"/>
        <v>No</v>
      </c>
      <c r="Q626">
        <f t="shared" si="82"/>
        <v>22.7</v>
      </c>
      <c r="R626">
        <f t="shared" si="83"/>
        <v>26.75</v>
      </c>
      <c r="S626">
        <f t="shared" si="84"/>
        <v>2.15</v>
      </c>
      <c r="T626" t="str">
        <f t="shared" si="85"/>
        <v>On Time</v>
      </c>
      <c r="U626" t="str">
        <f t="shared" si="86"/>
        <v>High</v>
      </c>
      <c r="V626" t="str">
        <f t="shared" si="87"/>
        <v>Low Risk</v>
      </c>
      <c r="W626" t="str">
        <f t="shared" si="88"/>
        <v>Jan</v>
      </c>
      <c r="X626">
        <f t="shared" si="89"/>
        <v>2025</v>
      </c>
    </row>
    <row r="627" spans="1:24" x14ac:dyDescent="0.35">
      <c r="A627" s="3">
        <v>45934</v>
      </c>
      <c r="B627" t="s">
        <v>349</v>
      </c>
      <c r="C627" t="s">
        <v>57</v>
      </c>
      <c r="D627" t="s">
        <v>773</v>
      </c>
      <c r="E627" t="s">
        <v>28</v>
      </c>
      <c r="F627" t="s">
        <v>55</v>
      </c>
      <c r="G627" t="s">
        <v>35</v>
      </c>
      <c r="H627">
        <v>31.1</v>
      </c>
      <c r="I627">
        <v>4196</v>
      </c>
      <c r="J627">
        <v>65</v>
      </c>
      <c r="K627">
        <v>15.1</v>
      </c>
      <c r="L627" t="s">
        <v>43</v>
      </c>
      <c r="M627">
        <v>16181.4</v>
      </c>
      <c r="N627">
        <v>7124</v>
      </c>
      <c r="O627" t="s">
        <v>50</v>
      </c>
      <c r="P627" t="str">
        <f t="shared" si="81"/>
        <v>Yes</v>
      </c>
      <c r="Q627">
        <f t="shared" si="82"/>
        <v>134.91999999999999</v>
      </c>
      <c r="R627">
        <f t="shared" si="83"/>
        <v>3.86</v>
      </c>
      <c r="S627">
        <f t="shared" si="84"/>
        <v>2.27</v>
      </c>
      <c r="T627" t="str">
        <f t="shared" si="85"/>
        <v>Delayed</v>
      </c>
      <c r="U627" t="str">
        <f t="shared" si="86"/>
        <v>Low</v>
      </c>
      <c r="V627" t="str">
        <f t="shared" si="87"/>
        <v>Low Risk</v>
      </c>
      <c r="W627" t="str">
        <f t="shared" si="88"/>
        <v>Oct</v>
      </c>
      <c r="X627">
        <f t="shared" si="89"/>
        <v>2025</v>
      </c>
    </row>
    <row r="628" spans="1:24" x14ac:dyDescent="0.35">
      <c r="A628" s="3">
        <v>45788</v>
      </c>
      <c r="B628" t="s">
        <v>142</v>
      </c>
      <c r="C628" t="s">
        <v>95</v>
      </c>
      <c r="D628" t="s">
        <v>774</v>
      </c>
      <c r="E628" t="s">
        <v>63</v>
      </c>
      <c r="F628" t="s">
        <v>54</v>
      </c>
      <c r="G628" t="s">
        <v>71</v>
      </c>
      <c r="H628">
        <v>64</v>
      </c>
      <c r="I628">
        <v>1041</v>
      </c>
      <c r="J628">
        <v>50</v>
      </c>
      <c r="K628">
        <v>19.899999999999999</v>
      </c>
      <c r="L628" t="s">
        <v>78</v>
      </c>
      <c r="M628">
        <v>29875.29</v>
      </c>
      <c r="N628">
        <v>25493</v>
      </c>
      <c r="O628" t="s">
        <v>31</v>
      </c>
      <c r="P628" t="str">
        <f t="shared" si="81"/>
        <v>No</v>
      </c>
      <c r="Q628">
        <f t="shared" si="82"/>
        <v>16.27</v>
      </c>
      <c r="R628">
        <f t="shared" si="83"/>
        <v>28.7</v>
      </c>
      <c r="S628">
        <f t="shared" si="84"/>
        <v>1.17</v>
      </c>
      <c r="T628" t="str">
        <f t="shared" si="85"/>
        <v>On Time</v>
      </c>
      <c r="U628" t="str">
        <f t="shared" si="86"/>
        <v>High</v>
      </c>
      <c r="V628" t="str">
        <f t="shared" si="87"/>
        <v>Low Risk</v>
      </c>
      <c r="W628" t="str">
        <f t="shared" si="88"/>
        <v>May</v>
      </c>
      <c r="X628">
        <f t="shared" si="89"/>
        <v>2025</v>
      </c>
    </row>
    <row r="629" spans="1:24" x14ac:dyDescent="0.35">
      <c r="A629" s="3">
        <v>45852</v>
      </c>
      <c r="B629" t="s">
        <v>80</v>
      </c>
      <c r="C629" t="s">
        <v>95</v>
      </c>
      <c r="D629" t="s">
        <v>775</v>
      </c>
      <c r="E629" t="s">
        <v>63</v>
      </c>
      <c r="F629" t="s">
        <v>41</v>
      </c>
      <c r="G629" t="s">
        <v>29</v>
      </c>
      <c r="H629">
        <v>62.4</v>
      </c>
      <c r="I629">
        <v>4917</v>
      </c>
      <c r="J629">
        <v>37</v>
      </c>
      <c r="K629">
        <v>19.3</v>
      </c>
      <c r="L629" t="s">
        <v>43</v>
      </c>
      <c r="M629">
        <v>34549.300000000003</v>
      </c>
      <c r="N629">
        <v>8057</v>
      </c>
      <c r="O629" t="s">
        <v>36</v>
      </c>
      <c r="P629" t="str">
        <f t="shared" si="81"/>
        <v>Yes</v>
      </c>
      <c r="Q629">
        <f t="shared" si="82"/>
        <v>78.8</v>
      </c>
      <c r="R629">
        <f t="shared" si="83"/>
        <v>7.03</v>
      </c>
      <c r="S629">
        <f t="shared" si="84"/>
        <v>4.29</v>
      </c>
      <c r="T629" t="str">
        <f t="shared" si="85"/>
        <v>Delayed</v>
      </c>
      <c r="U629" t="str">
        <f t="shared" si="86"/>
        <v>High</v>
      </c>
      <c r="V629" t="str">
        <f t="shared" si="87"/>
        <v>Low Risk</v>
      </c>
      <c r="W629" t="str">
        <f t="shared" si="88"/>
        <v>Jul</v>
      </c>
      <c r="X629">
        <f t="shared" si="89"/>
        <v>2025</v>
      </c>
    </row>
    <row r="630" spans="1:24" x14ac:dyDescent="0.35">
      <c r="A630" s="3">
        <v>45994</v>
      </c>
      <c r="B630" t="s">
        <v>152</v>
      </c>
      <c r="C630" t="s">
        <v>130</v>
      </c>
      <c r="D630" t="s">
        <v>776</v>
      </c>
      <c r="E630" t="s">
        <v>54</v>
      </c>
      <c r="F630" t="s">
        <v>28</v>
      </c>
      <c r="G630" t="s">
        <v>71</v>
      </c>
      <c r="H630">
        <v>45.7</v>
      </c>
      <c r="I630">
        <v>1971</v>
      </c>
      <c r="J630">
        <v>77</v>
      </c>
      <c r="K630">
        <v>19.600000000000001</v>
      </c>
      <c r="L630" t="s">
        <v>49</v>
      </c>
      <c r="M630">
        <v>24518.240000000002</v>
      </c>
      <c r="N630">
        <v>6131</v>
      </c>
      <c r="O630" t="s">
        <v>91</v>
      </c>
      <c r="P630" t="str">
        <f t="shared" si="81"/>
        <v>Yes</v>
      </c>
      <c r="Q630">
        <f t="shared" si="82"/>
        <v>43.13</v>
      </c>
      <c r="R630">
        <f t="shared" si="83"/>
        <v>12.44</v>
      </c>
      <c r="S630">
        <f t="shared" si="84"/>
        <v>4</v>
      </c>
      <c r="T630" t="str">
        <f t="shared" si="85"/>
        <v>Delayed</v>
      </c>
      <c r="U630" t="str">
        <f t="shared" si="86"/>
        <v>Medium</v>
      </c>
      <c r="V630" t="str">
        <f t="shared" si="87"/>
        <v>High Risk</v>
      </c>
      <c r="W630" t="str">
        <f t="shared" si="88"/>
        <v>Dec</v>
      </c>
      <c r="X630">
        <f t="shared" si="89"/>
        <v>2025</v>
      </c>
    </row>
    <row r="631" spans="1:24" x14ac:dyDescent="0.35">
      <c r="A631" s="3">
        <v>45797</v>
      </c>
      <c r="B631" t="s">
        <v>199</v>
      </c>
      <c r="C631" t="s">
        <v>69</v>
      </c>
      <c r="D631" t="s">
        <v>777</v>
      </c>
      <c r="E631" t="s">
        <v>27</v>
      </c>
      <c r="F631" t="s">
        <v>66</v>
      </c>
      <c r="G631" t="s">
        <v>35</v>
      </c>
      <c r="H631">
        <v>53.1</v>
      </c>
      <c r="I631">
        <v>2697</v>
      </c>
      <c r="J631">
        <v>38</v>
      </c>
      <c r="K631">
        <v>13.1</v>
      </c>
      <c r="L631" t="s">
        <v>49</v>
      </c>
      <c r="M631">
        <v>32079.48</v>
      </c>
      <c r="N631">
        <v>25609</v>
      </c>
      <c r="O631" t="s">
        <v>59</v>
      </c>
      <c r="P631" t="str">
        <f t="shared" si="81"/>
        <v>Yes</v>
      </c>
      <c r="Q631">
        <f t="shared" si="82"/>
        <v>50.79</v>
      </c>
      <c r="R631">
        <f t="shared" si="83"/>
        <v>11.89</v>
      </c>
      <c r="S631">
        <f t="shared" si="84"/>
        <v>1.25</v>
      </c>
      <c r="T631" t="str">
        <f t="shared" si="85"/>
        <v>Delayed</v>
      </c>
      <c r="U631" t="str">
        <f t="shared" si="86"/>
        <v>Medium</v>
      </c>
      <c r="V631" t="str">
        <f t="shared" si="87"/>
        <v>High Risk</v>
      </c>
      <c r="W631" t="str">
        <f t="shared" si="88"/>
        <v>May</v>
      </c>
      <c r="X631">
        <f t="shared" si="89"/>
        <v>2025</v>
      </c>
    </row>
    <row r="632" spans="1:24" x14ac:dyDescent="0.35">
      <c r="A632" s="3">
        <v>45772</v>
      </c>
      <c r="B632" t="s">
        <v>417</v>
      </c>
      <c r="C632" t="s">
        <v>109</v>
      </c>
      <c r="D632" t="s">
        <v>778</v>
      </c>
      <c r="E632" t="s">
        <v>48</v>
      </c>
      <c r="F632" t="s">
        <v>27</v>
      </c>
      <c r="G632" t="s">
        <v>29</v>
      </c>
      <c r="H632">
        <v>43.5</v>
      </c>
      <c r="I632">
        <v>912</v>
      </c>
      <c r="J632">
        <v>55</v>
      </c>
      <c r="K632">
        <v>11.8</v>
      </c>
      <c r="L632" t="s">
        <v>78</v>
      </c>
      <c r="M632">
        <v>27671.96</v>
      </c>
      <c r="N632">
        <v>15633</v>
      </c>
      <c r="O632" t="s">
        <v>50</v>
      </c>
      <c r="P632" t="str">
        <f t="shared" si="81"/>
        <v>No</v>
      </c>
      <c r="Q632">
        <f t="shared" si="82"/>
        <v>20.97</v>
      </c>
      <c r="R632">
        <f t="shared" si="83"/>
        <v>30.34</v>
      </c>
      <c r="S632">
        <f t="shared" si="84"/>
        <v>1.77</v>
      </c>
      <c r="T632" t="str">
        <f t="shared" si="85"/>
        <v>On Time</v>
      </c>
      <c r="U632" t="str">
        <f t="shared" si="86"/>
        <v>Medium</v>
      </c>
      <c r="V632" t="str">
        <f t="shared" si="87"/>
        <v>Low Risk</v>
      </c>
      <c r="W632" t="str">
        <f t="shared" si="88"/>
        <v>Apr</v>
      </c>
      <c r="X632">
        <f t="shared" si="89"/>
        <v>2025</v>
      </c>
    </row>
    <row r="633" spans="1:24" x14ac:dyDescent="0.35">
      <c r="A633" s="3">
        <v>45703</v>
      </c>
      <c r="B633" t="s">
        <v>171</v>
      </c>
      <c r="C633" t="s">
        <v>69</v>
      </c>
      <c r="D633" t="s">
        <v>779</v>
      </c>
      <c r="E633" t="s">
        <v>66</v>
      </c>
      <c r="F633" t="s">
        <v>48</v>
      </c>
      <c r="G633" t="s">
        <v>35</v>
      </c>
      <c r="H633">
        <v>60.8</v>
      </c>
      <c r="I633">
        <v>1714</v>
      </c>
      <c r="J633">
        <v>118</v>
      </c>
      <c r="K633">
        <v>10.5</v>
      </c>
      <c r="L633" t="s">
        <v>43</v>
      </c>
      <c r="M633">
        <v>33963.35</v>
      </c>
      <c r="N633">
        <v>21678</v>
      </c>
      <c r="O633" t="s">
        <v>84</v>
      </c>
      <c r="P633" t="str">
        <f t="shared" si="81"/>
        <v>Yes</v>
      </c>
      <c r="Q633">
        <f t="shared" si="82"/>
        <v>28.19</v>
      </c>
      <c r="R633">
        <f t="shared" si="83"/>
        <v>19.82</v>
      </c>
      <c r="S633">
        <f t="shared" si="84"/>
        <v>1.57</v>
      </c>
      <c r="T633" t="str">
        <f t="shared" si="85"/>
        <v>Delayed</v>
      </c>
      <c r="U633" t="str">
        <f t="shared" si="86"/>
        <v>High</v>
      </c>
      <c r="V633" t="str">
        <f t="shared" si="87"/>
        <v>Low Risk</v>
      </c>
      <c r="W633" t="str">
        <f t="shared" si="88"/>
        <v>Feb</v>
      </c>
      <c r="X633">
        <f t="shared" si="89"/>
        <v>2025</v>
      </c>
    </row>
    <row r="634" spans="1:24" x14ac:dyDescent="0.35">
      <c r="A634" s="3">
        <v>45761</v>
      </c>
      <c r="B634" t="s">
        <v>199</v>
      </c>
      <c r="C634" t="s">
        <v>95</v>
      </c>
      <c r="D634" t="s">
        <v>780</v>
      </c>
      <c r="E634" t="s">
        <v>55</v>
      </c>
      <c r="F634" t="s">
        <v>54</v>
      </c>
      <c r="G634" t="s">
        <v>42</v>
      </c>
      <c r="H634">
        <v>58.7</v>
      </c>
      <c r="I634">
        <v>3744</v>
      </c>
      <c r="J634">
        <v>114</v>
      </c>
      <c r="K634">
        <v>11.6</v>
      </c>
      <c r="L634" t="s">
        <v>43</v>
      </c>
      <c r="M634">
        <v>32929.629999999997</v>
      </c>
      <c r="N634">
        <v>10464</v>
      </c>
      <c r="O634" t="s">
        <v>31</v>
      </c>
      <c r="P634" t="str">
        <f t="shared" si="81"/>
        <v>Yes</v>
      </c>
      <c r="Q634">
        <f t="shared" si="82"/>
        <v>63.78</v>
      </c>
      <c r="R634">
        <f t="shared" si="83"/>
        <v>8.8000000000000007</v>
      </c>
      <c r="S634">
        <f t="shared" si="84"/>
        <v>3.15</v>
      </c>
      <c r="T634" t="str">
        <f t="shared" si="85"/>
        <v>Delayed</v>
      </c>
      <c r="U634" t="str">
        <f t="shared" si="86"/>
        <v>Medium</v>
      </c>
      <c r="V634" t="str">
        <f t="shared" si="87"/>
        <v>Low Risk</v>
      </c>
      <c r="W634" t="str">
        <f t="shared" si="88"/>
        <v>Apr</v>
      </c>
      <c r="X634">
        <f t="shared" si="89"/>
        <v>2025</v>
      </c>
    </row>
    <row r="635" spans="1:24" x14ac:dyDescent="0.35">
      <c r="A635" s="3">
        <v>45745</v>
      </c>
      <c r="B635" t="s">
        <v>317</v>
      </c>
      <c r="C635" t="s">
        <v>57</v>
      </c>
      <c r="D635" t="s">
        <v>781</v>
      </c>
      <c r="E635" t="s">
        <v>66</v>
      </c>
      <c r="F635" t="s">
        <v>55</v>
      </c>
      <c r="G635" t="s">
        <v>42</v>
      </c>
      <c r="H635">
        <v>32.299999999999997</v>
      </c>
      <c r="I635">
        <v>4509</v>
      </c>
      <c r="J635">
        <v>119</v>
      </c>
      <c r="K635">
        <v>17.7</v>
      </c>
      <c r="L635" t="s">
        <v>49</v>
      </c>
      <c r="M635">
        <v>19706.96</v>
      </c>
      <c r="N635">
        <v>18645</v>
      </c>
      <c r="O635" t="s">
        <v>59</v>
      </c>
      <c r="P635" t="str">
        <f t="shared" si="81"/>
        <v>Yes</v>
      </c>
      <c r="Q635">
        <f t="shared" si="82"/>
        <v>139.6</v>
      </c>
      <c r="R635">
        <f t="shared" si="83"/>
        <v>4.37</v>
      </c>
      <c r="S635">
        <f t="shared" si="84"/>
        <v>1.06</v>
      </c>
      <c r="T635" t="str">
        <f t="shared" si="85"/>
        <v>Delayed</v>
      </c>
      <c r="U635" t="str">
        <f t="shared" si="86"/>
        <v>Low</v>
      </c>
      <c r="V635" t="str">
        <f t="shared" si="87"/>
        <v>High Risk</v>
      </c>
      <c r="W635" t="str">
        <f t="shared" si="88"/>
        <v>Mar</v>
      </c>
      <c r="X635">
        <f t="shared" si="89"/>
        <v>2025</v>
      </c>
    </row>
    <row r="636" spans="1:24" x14ac:dyDescent="0.35">
      <c r="A636" s="3">
        <v>45768</v>
      </c>
      <c r="B636" t="s">
        <v>300</v>
      </c>
      <c r="C636" t="s">
        <v>130</v>
      </c>
      <c r="D636" t="s">
        <v>782</v>
      </c>
      <c r="E636" t="s">
        <v>48</v>
      </c>
      <c r="F636" t="s">
        <v>54</v>
      </c>
      <c r="G636" t="s">
        <v>35</v>
      </c>
      <c r="H636">
        <v>30.3</v>
      </c>
      <c r="I636">
        <v>2579</v>
      </c>
      <c r="J636">
        <v>115</v>
      </c>
      <c r="K636">
        <v>20.6</v>
      </c>
      <c r="L636" t="s">
        <v>30</v>
      </c>
      <c r="M636">
        <v>21045.16</v>
      </c>
      <c r="N636">
        <v>7926</v>
      </c>
      <c r="O636" t="s">
        <v>91</v>
      </c>
      <c r="P636" t="str">
        <f t="shared" si="81"/>
        <v>Yes</v>
      </c>
      <c r="Q636">
        <f t="shared" si="82"/>
        <v>85.12</v>
      </c>
      <c r="R636">
        <f t="shared" si="83"/>
        <v>8.16</v>
      </c>
      <c r="S636">
        <f t="shared" si="84"/>
        <v>2.66</v>
      </c>
      <c r="T636" t="str">
        <f t="shared" si="85"/>
        <v>Delayed</v>
      </c>
      <c r="U636" t="str">
        <f t="shared" si="86"/>
        <v>Low</v>
      </c>
      <c r="V636" t="str">
        <f t="shared" si="87"/>
        <v>Medium Risk</v>
      </c>
      <c r="W636" t="str">
        <f t="shared" si="88"/>
        <v>Apr</v>
      </c>
      <c r="X636">
        <f t="shared" si="89"/>
        <v>2025</v>
      </c>
    </row>
    <row r="637" spans="1:24" x14ac:dyDescent="0.35">
      <c r="A637" s="3">
        <v>45865</v>
      </c>
      <c r="B637" t="s">
        <v>150</v>
      </c>
      <c r="C637" t="s">
        <v>130</v>
      </c>
      <c r="D637" t="s">
        <v>783</v>
      </c>
      <c r="E637" t="s">
        <v>66</v>
      </c>
      <c r="F637" t="s">
        <v>63</v>
      </c>
      <c r="G637" t="s">
        <v>29</v>
      </c>
      <c r="H637">
        <v>71.7</v>
      </c>
      <c r="I637">
        <v>625</v>
      </c>
      <c r="J637">
        <v>22</v>
      </c>
      <c r="K637">
        <v>14.8</v>
      </c>
      <c r="L637" t="s">
        <v>49</v>
      </c>
      <c r="M637">
        <v>39423.97</v>
      </c>
      <c r="N637">
        <v>6303</v>
      </c>
      <c r="O637" t="s">
        <v>50</v>
      </c>
      <c r="P637" t="str">
        <f t="shared" si="81"/>
        <v>Yes</v>
      </c>
      <c r="Q637">
        <f t="shared" si="82"/>
        <v>8.7200000000000006</v>
      </c>
      <c r="R637">
        <f t="shared" si="83"/>
        <v>63.08</v>
      </c>
      <c r="S637">
        <f t="shared" si="84"/>
        <v>6.25</v>
      </c>
      <c r="T637" t="str">
        <f t="shared" si="85"/>
        <v>Delayed</v>
      </c>
      <c r="U637" t="str">
        <f t="shared" si="86"/>
        <v>High</v>
      </c>
      <c r="V637" t="str">
        <f t="shared" si="87"/>
        <v>High Risk</v>
      </c>
      <c r="W637" t="str">
        <f t="shared" si="88"/>
        <v>Jul</v>
      </c>
      <c r="X637">
        <f t="shared" si="89"/>
        <v>2025</v>
      </c>
    </row>
    <row r="638" spans="1:24" x14ac:dyDescent="0.35">
      <c r="A638" s="3">
        <v>46019</v>
      </c>
      <c r="B638" t="s">
        <v>217</v>
      </c>
      <c r="C638" t="s">
        <v>25</v>
      </c>
      <c r="D638" t="s">
        <v>784</v>
      </c>
      <c r="E638" t="s">
        <v>41</v>
      </c>
      <c r="F638" t="s">
        <v>54</v>
      </c>
      <c r="G638" t="s">
        <v>42</v>
      </c>
      <c r="H638">
        <v>31.8</v>
      </c>
      <c r="I638">
        <v>3198</v>
      </c>
      <c r="J638">
        <v>42</v>
      </c>
      <c r="K638">
        <v>12.1</v>
      </c>
      <c r="L638" t="s">
        <v>78</v>
      </c>
      <c r="M638">
        <v>18201.36</v>
      </c>
      <c r="N638">
        <v>28009</v>
      </c>
      <c r="O638" t="s">
        <v>36</v>
      </c>
      <c r="P638" t="str">
        <f t="shared" si="81"/>
        <v>No</v>
      </c>
      <c r="Q638">
        <f t="shared" si="82"/>
        <v>100.57</v>
      </c>
      <c r="R638">
        <f t="shared" si="83"/>
        <v>5.69</v>
      </c>
      <c r="S638">
        <f t="shared" si="84"/>
        <v>0.65</v>
      </c>
      <c r="T638" t="str">
        <f t="shared" si="85"/>
        <v>On Time</v>
      </c>
      <c r="U638" t="str">
        <f t="shared" si="86"/>
        <v>Low</v>
      </c>
      <c r="V638" t="str">
        <f t="shared" si="87"/>
        <v>Low Risk</v>
      </c>
      <c r="W638" t="str">
        <f t="shared" si="88"/>
        <v>Dec</v>
      </c>
      <c r="X638">
        <f t="shared" si="89"/>
        <v>2025</v>
      </c>
    </row>
    <row r="639" spans="1:24" x14ac:dyDescent="0.35">
      <c r="A639" s="3">
        <v>45722</v>
      </c>
      <c r="B639" t="s">
        <v>92</v>
      </c>
      <c r="C639" t="s">
        <v>39</v>
      </c>
      <c r="D639" t="s">
        <v>785</v>
      </c>
      <c r="E639" t="s">
        <v>41</v>
      </c>
      <c r="F639" t="s">
        <v>54</v>
      </c>
      <c r="G639" t="s">
        <v>35</v>
      </c>
      <c r="H639">
        <v>24.7</v>
      </c>
      <c r="I639">
        <v>3623</v>
      </c>
      <c r="J639">
        <v>83</v>
      </c>
      <c r="K639">
        <v>17.2</v>
      </c>
      <c r="L639" t="s">
        <v>78</v>
      </c>
      <c r="M639">
        <v>15718.1</v>
      </c>
      <c r="N639">
        <v>16553</v>
      </c>
      <c r="O639" t="s">
        <v>84</v>
      </c>
      <c r="P639" t="str">
        <f t="shared" si="81"/>
        <v>No</v>
      </c>
      <c r="Q639">
        <f t="shared" si="82"/>
        <v>146.68</v>
      </c>
      <c r="R639">
        <f t="shared" si="83"/>
        <v>4.34</v>
      </c>
      <c r="S639">
        <f t="shared" si="84"/>
        <v>0.95</v>
      </c>
      <c r="T639" t="str">
        <f t="shared" si="85"/>
        <v>On Time</v>
      </c>
      <c r="U639" t="str">
        <f t="shared" si="86"/>
        <v>Low</v>
      </c>
      <c r="V639" t="str">
        <f t="shared" si="87"/>
        <v>Low Risk</v>
      </c>
      <c r="W639" t="str">
        <f t="shared" si="88"/>
        <v>Mar</v>
      </c>
      <c r="X639">
        <f t="shared" si="89"/>
        <v>2025</v>
      </c>
    </row>
    <row r="640" spans="1:24" x14ac:dyDescent="0.35">
      <c r="A640" s="3">
        <v>45713</v>
      </c>
      <c r="B640" t="s">
        <v>136</v>
      </c>
      <c r="C640" t="s">
        <v>25</v>
      </c>
      <c r="D640" t="s">
        <v>786</v>
      </c>
      <c r="E640" t="s">
        <v>28</v>
      </c>
      <c r="F640" t="s">
        <v>54</v>
      </c>
      <c r="G640" t="s">
        <v>71</v>
      </c>
      <c r="H640">
        <v>36.799999999999997</v>
      </c>
      <c r="I640">
        <v>2758</v>
      </c>
      <c r="J640">
        <v>106</v>
      </c>
      <c r="K640">
        <v>18.600000000000001</v>
      </c>
      <c r="L640" t="s">
        <v>78</v>
      </c>
      <c r="M640">
        <v>22040.560000000001</v>
      </c>
      <c r="N640">
        <v>20830</v>
      </c>
      <c r="O640" t="s">
        <v>44</v>
      </c>
      <c r="P640" t="str">
        <f t="shared" si="81"/>
        <v>No</v>
      </c>
      <c r="Q640">
        <f t="shared" si="82"/>
        <v>74.95</v>
      </c>
      <c r="R640">
        <f t="shared" si="83"/>
        <v>7.99</v>
      </c>
      <c r="S640">
        <f t="shared" si="84"/>
        <v>1.06</v>
      </c>
      <c r="T640" t="str">
        <f t="shared" si="85"/>
        <v>On Time</v>
      </c>
      <c r="U640" t="str">
        <f t="shared" si="86"/>
        <v>Low</v>
      </c>
      <c r="V640" t="str">
        <f t="shared" si="87"/>
        <v>Low Risk</v>
      </c>
      <c r="W640" t="str">
        <f t="shared" si="88"/>
        <v>Feb</v>
      </c>
      <c r="X640">
        <f t="shared" si="89"/>
        <v>2025</v>
      </c>
    </row>
    <row r="641" spans="1:24" x14ac:dyDescent="0.35">
      <c r="A641" s="3">
        <v>45668</v>
      </c>
      <c r="B641" t="s">
        <v>87</v>
      </c>
      <c r="C641" t="s">
        <v>69</v>
      </c>
      <c r="D641" t="s">
        <v>787</v>
      </c>
      <c r="E641" t="s">
        <v>55</v>
      </c>
      <c r="F641" t="s">
        <v>63</v>
      </c>
      <c r="G641" t="s">
        <v>35</v>
      </c>
      <c r="H641">
        <v>32.5</v>
      </c>
      <c r="I641">
        <v>1884</v>
      </c>
      <c r="J641">
        <v>41</v>
      </c>
      <c r="K641">
        <v>12</v>
      </c>
      <c r="L641" t="s">
        <v>43</v>
      </c>
      <c r="M641">
        <v>16739.47</v>
      </c>
      <c r="N641">
        <v>8472</v>
      </c>
      <c r="O641" t="s">
        <v>84</v>
      </c>
      <c r="P641" t="str">
        <f t="shared" si="81"/>
        <v>Yes</v>
      </c>
      <c r="Q641">
        <f t="shared" si="82"/>
        <v>57.97</v>
      </c>
      <c r="R641">
        <f t="shared" si="83"/>
        <v>8.89</v>
      </c>
      <c r="S641">
        <f t="shared" si="84"/>
        <v>1.98</v>
      </c>
      <c r="T641" t="str">
        <f t="shared" si="85"/>
        <v>Delayed</v>
      </c>
      <c r="U641" t="str">
        <f t="shared" si="86"/>
        <v>Low</v>
      </c>
      <c r="V641" t="str">
        <f t="shared" si="87"/>
        <v>Low Risk</v>
      </c>
      <c r="W641" t="str">
        <f t="shared" si="88"/>
        <v>Jan</v>
      </c>
      <c r="X641">
        <f t="shared" si="89"/>
        <v>2025</v>
      </c>
    </row>
    <row r="642" spans="1:24" x14ac:dyDescent="0.35">
      <c r="A642" s="3">
        <v>45961</v>
      </c>
      <c r="B642" t="s">
        <v>142</v>
      </c>
      <c r="C642" t="s">
        <v>130</v>
      </c>
      <c r="D642" t="s">
        <v>788</v>
      </c>
      <c r="E642" t="s">
        <v>48</v>
      </c>
      <c r="F642" t="s">
        <v>66</v>
      </c>
      <c r="G642" t="s">
        <v>35</v>
      </c>
      <c r="H642">
        <v>40.299999999999997</v>
      </c>
      <c r="I642">
        <v>4259</v>
      </c>
      <c r="J642">
        <v>79</v>
      </c>
      <c r="K642">
        <v>21.4</v>
      </c>
      <c r="L642" t="s">
        <v>43</v>
      </c>
      <c r="M642">
        <v>23175.02</v>
      </c>
      <c r="N642">
        <v>14481</v>
      </c>
      <c r="O642" t="s">
        <v>50</v>
      </c>
      <c r="P642" t="str">
        <f t="shared" ref="P642:P705" si="90">IF(OR(L642="Rain",L642="Fog",L642="Storm"),"Yes","No")</f>
        <v>Yes</v>
      </c>
      <c r="Q642">
        <f t="shared" ref="Q642:Q705" si="91">ROUND(I642/H642,2)</f>
        <v>105.68</v>
      </c>
      <c r="R642">
        <f t="shared" ref="R642:R705" si="92">ROUND(M642/I642,2)</f>
        <v>5.44</v>
      </c>
      <c r="S642">
        <f t="shared" ref="S642:S705" si="93">ROUND(M642/N642,2)</f>
        <v>1.6</v>
      </c>
      <c r="T642" t="str">
        <f t="shared" ref="T642:T705" si="94">IF(P642="Yes","Delayed","On Time")</f>
        <v>Delayed</v>
      </c>
      <c r="U642" t="str">
        <f t="shared" ref="U642:U705" si="95">IF(H642&gt;=60,"High",IF(H642&gt;=40,"Medium","Low"))</f>
        <v>Medium</v>
      </c>
      <c r="V642" t="str">
        <f t="shared" ref="V642:V705" si="96">IF(L642="Storm","High Risk",IF(L642="Rain","Medium Risk","Low Risk"))</f>
        <v>Low Risk</v>
      </c>
      <c r="W642" t="str">
        <f t="shared" ref="W642:W705" si="97">TEXT(A642,"mmm")</f>
        <v>Oct</v>
      </c>
      <c r="X642">
        <f t="shared" si="89"/>
        <v>2025</v>
      </c>
    </row>
    <row r="643" spans="1:24" x14ac:dyDescent="0.35">
      <c r="A643" s="3">
        <v>45669</v>
      </c>
      <c r="B643" t="s">
        <v>100</v>
      </c>
      <c r="C643" t="s">
        <v>69</v>
      </c>
      <c r="D643" t="s">
        <v>789</v>
      </c>
      <c r="E643" t="s">
        <v>48</v>
      </c>
      <c r="F643" t="s">
        <v>41</v>
      </c>
      <c r="G643" t="s">
        <v>35</v>
      </c>
      <c r="H643">
        <v>50.2</v>
      </c>
      <c r="I643">
        <v>1402</v>
      </c>
      <c r="J643">
        <v>115</v>
      </c>
      <c r="K643">
        <v>12.6</v>
      </c>
      <c r="L643" t="s">
        <v>49</v>
      </c>
      <c r="M643">
        <v>32272.93</v>
      </c>
      <c r="N643">
        <v>5558</v>
      </c>
      <c r="O643" t="s">
        <v>59</v>
      </c>
      <c r="P643" t="str">
        <f t="shared" si="90"/>
        <v>Yes</v>
      </c>
      <c r="Q643">
        <f t="shared" si="91"/>
        <v>27.93</v>
      </c>
      <c r="R643">
        <f t="shared" si="92"/>
        <v>23.02</v>
      </c>
      <c r="S643">
        <f t="shared" si="93"/>
        <v>5.81</v>
      </c>
      <c r="T643" t="str">
        <f t="shared" si="94"/>
        <v>Delayed</v>
      </c>
      <c r="U643" t="str">
        <f t="shared" si="95"/>
        <v>Medium</v>
      </c>
      <c r="V643" t="str">
        <f t="shared" si="96"/>
        <v>High Risk</v>
      </c>
      <c r="W643" t="str">
        <f t="shared" si="97"/>
        <v>Jan</v>
      </c>
      <c r="X643">
        <f t="shared" ref="X643:X706" si="98">YEAR(A643)</f>
        <v>2025</v>
      </c>
    </row>
    <row r="644" spans="1:24" x14ac:dyDescent="0.35">
      <c r="A644" s="3">
        <v>46002</v>
      </c>
      <c r="B644" t="s">
        <v>173</v>
      </c>
      <c r="C644" t="s">
        <v>57</v>
      </c>
      <c r="D644" t="s">
        <v>790</v>
      </c>
      <c r="E644" t="s">
        <v>63</v>
      </c>
      <c r="F644" t="s">
        <v>66</v>
      </c>
      <c r="G644" t="s">
        <v>71</v>
      </c>
      <c r="H644">
        <v>62</v>
      </c>
      <c r="I644">
        <v>1207</v>
      </c>
      <c r="J644">
        <v>41</v>
      </c>
      <c r="K644">
        <v>13.5</v>
      </c>
      <c r="L644" t="s">
        <v>49</v>
      </c>
      <c r="M644">
        <v>32023.200000000001</v>
      </c>
      <c r="N644">
        <v>19477</v>
      </c>
      <c r="O644" t="s">
        <v>67</v>
      </c>
      <c r="P644" t="str">
        <f t="shared" si="90"/>
        <v>Yes</v>
      </c>
      <c r="Q644">
        <f t="shared" si="91"/>
        <v>19.47</v>
      </c>
      <c r="R644">
        <f t="shared" si="92"/>
        <v>26.53</v>
      </c>
      <c r="S644">
        <f t="shared" si="93"/>
        <v>1.64</v>
      </c>
      <c r="T644" t="str">
        <f t="shared" si="94"/>
        <v>Delayed</v>
      </c>
      <c r="U644" t="str">
        <f t="shared" si="95"/>
        <v>High</v>
      </c>
      <c r="V644" t="str">
        <f t="shared" si="96"/>
        <v>High Risk</v>
      </c>
      <c r="W644" t="str">
        <f t="shared" si="97"/>
        <v>Dec</v>
      </c>
      <c r="X644">
        <f t="shared" si="98"/>
        <v>2025</v>
      </c>
    </row>
    <row r="645" spans="1:24" x14ac:dyDescent="0.35">
      <c r="A645" s="3">
        <v>45667</v>
      </c>
      <c r="B645" t="s">
        <v>82</v>
      </c>
      <c r="C645" t="s">
        <v>109</v>
      </c>
      <c r="D645" t="s">
        <v>791</v>
      </c>
      <c r="E645" t="s">
        <v>48</v>
      </c>
      <c r="F645" t="s">
        <v>28</v>
      </c>
      <c r="G645" t="s">
        <v>29</v>
      </c>
      <c r="H645">
        <v>71.5</v>
      </c>
      <c r="I645">
        <v>2419</v>
      </c>
      <c r="J645">
        <v>58</v>
      </c>
      <c r="K645">
        <v>12.1</v>
      </c>
      <c r="L645" t="s">
        <v>49</v>
      </c>
      <c r="M645">
        <v>44702.94</v>
      </c>
      <c r="N645">
        <v>20296</v>
      </c>
      <c r="O645" t="s">
        <v>84</v>
      </c>
      <c r="P645" t="str">
        <f t="shared" si="90"/>
        <v>Yes</v>
      </c>
      <c r="Q645">
        <f t="shared" si="91"/>
        <v>33.83</v>
      </c>
      <c r="R645">
        <f t="shared" si="92"/>
        <v>18.48</v>
      </c>
      <c r="S645">
        <f t="shared" si="93"/>
        <v>2.2000000000000002</v>
      </c>
      <c r="T645" t="str">
        <f t="shared" si="94"/>
        <v>Delayed</v>
      </c>
      <c r="U645" t="str">
        <f t="shared" si="95"/>
        <v>High</v>
      </c>
      <c r="V645" t="str">
        <f t="shared" si="96"/>
        <v>High Risk</v>
      </c>
      <c r="W645" t="str">
        <f t="shared" si="97"/>
        <v>Jan</v>
      </c>
      <c r="X645">
        <f t="shared" si="98"/>
        <v>2025</v>
      </c>
    </row>
    <row r="646" spans="1:24" x14ac:dyDescent="0.35">
      <c r="A646" s="3">
        <v>45800</v>
      </c>
      <c r="B646" t="s">
        <v>203</v>
      </c>
      <c r="C646" t="s">
        <v>39</v>
      </c>
      <c r="D646" t="s">
        <v>792</v>
      </c>
      <c r="E646" t="s">
        <v>55</v>
      </c>
      <c r="F646" t="s">
        <v>28</v>
      </c>
      <c r="G646" t="s">
        <v>42</v>
      </c>
      <c r="H646">
        <v>33.299999999999997</v>
      </c>
      <c r="I646">
        <v>3056</v>
      </c>
      <c r="J646">
        <v>27</v>
      </c>
      <c r="K646">
        <v>20.7</v>
      </c>
      <c r="L646" t="s">
        <v>78</v>
      </c>
      <c r="M646">
        <v>22182.61</v>
      </c>
      <c r="N646">
        <v>9373</v>
      </c>
      <c r="O646" t="s">
        <v>84</v>
      </c>
      <c r="P646" t="str">
        <f t="shared" si="90"/>
        <v>No</v>
      </c>
      <c r="Q646">
        <f t="shared" si="91"/>
        <v>91.77</v>
      </c>
      <c r="R646">
        <f t="shared" si="92"/>
        <v>7.26</v>
      </c>
      <c r="S646">
        <f t="shared" si="93"/>
        <v>2.37</v>
      </c>
      <c r="T646" t="str">
        <f t="shared" si="94"/>
        <v>On Time</v>
      </c>
      <c r="U646" t="str">
        <f t="shared" si="95"/>
        <v>Low</v>
      </c>
      <c r="V646" t="str">
        <f t="shared" si="96"/>
        <v>Low Risk</v>
      </c>
      <c r="W646" t="str">
        <f t="shared" si="97"/>
        <v>May</v>
      </c>
      <c r="X646">
        <f t="shared" si="98"/>
        <v>2025</v>
      </c>
    </row>
    <row r="647" spans="1:24" x14ac:dyDescent="0.35">
      <c r="A647" s="3">
        <v>45960</v>
      </c>
      <c r="B647" t="s">
        <v>173</v>
      </c>
      <c r="C647" t="s">
        <v>109</v>
      </c>
      <c r="D647" t="s">
        <v>793</v>
      </c>
      <c r="E647" t="s">
        <v>54</v>
      </c>
      <c r="F647" t="s">
        <v>55</v>
      </c>
      <c r="G647" t="s">
        <v>29</v>
      </c>
      <c r="H647">
        <v>50.1</v>
      </c>
      <c r="I647">
        <v>3850</v>
      </c>
      <c r="J647">
        <v>120</v>
      </c>
      <c r="K647">
        <v>12.5</v>
      </c>
      <c r="L647" t="s">
        <v>78</v>
      </c>
      <c r="M647">
        <v>26255.33</v>
      </c>
      <c r="N647">
        <v>14490</v>
      </c>
      <c r="O647" t="s">
        <v>67</v>
      </c>
      <c r="P647" t="str">
        <f t="shared" si="90"/>
        <v>No</v>
      </c>
      <c r="Q647">
        <f t="shared" si="91"/>
        <v>76.849999999999994</v>
      </c>
      <c r="R647">
        <f t="shared" si="92"/>
        <v>6.82</v>
      </c>
      <c r="S647">
        <f t="shared" si="93"/>
        <v>1.81</v>
      </c>
      <c r="T647" t="str">
        <f t="shared" si="94"/>
        <v>On Time</v>
      </c>
      <c r="U647" t="str">
        <f t="shared" si="95"/>
        <v>Medium</v>
      </c>
      <c r="V647" t="str">
        <f t="shared" si="96"/>
        <v>Low Risk</v>
      </c>
      <c r="W647" t="str">
        <f t="shared" si="97"/>
        <v>Oct</v>
      </c>
      <c r="X647">
        <f t="shared" si="98"/>
        <v>2025</v>
      </c>
    </row>
    <row r="648" spans="1:24" x14ac:dyDescent="0.35">
      <c r="A648" s="3">
        <v>46014</v>
      </c>
      <c r="B648" t="s">
        <v>139</v>
      </c>
      <c r="C648" t="s">
        <v>57</v>
      </c>
      <c r="D648" t="s">
        <v>794</v>
      </c>
      <c r="E648" t="s">
        <v>63</v>
      </c>
      <c r="F648" t="s">
        <v>41</v>
      </c>
      <c r="G648" t="s">
        <v>71</v>
      </c>
      <c r="H648">
        <v>46.3</v>
      </c>
      <c r="I648">
        <v>2287</v>
      </c>
      <c r="J648">
        <v>97</v>
      </c>
      <c r="K648">
        <v>18.899999999999999</v>
      </c>
      <c r="L648" t="s">
        <v>30</v>
      </c>
      <c r="M648">
        <v>22123.66</v>
      </c>
      <c r="N648">
        <v>18755</v>
      </c>
      <c r="O648" t="s">
        <v>91</v>
      </c>
      <c r="P648" t="str">
        <f t="shared" si="90"/>
        <v>Yes</v>
      </c>
      <c r="Q648">
        <f t="shared" si="91"/>
        <v>49.4</v>
      </c>
      <c r="R648">
        <f t="shared" si="92"/>
        <v>9.67</v>
      </c>
      <c r="S648">
        <f t="shared" si="93"/>
        <v>1.18</v>
      </c>
      <c r="T648" t="str">
        <f t="shared" si="94"/>
        <v>Delayed</v>
      </c>
      <c r="U648" t="str">
        <f t="shared" si="95"/>
        <v>Medium</v>
      </c>
      <c r="V648" t="str">
        <f t="shared" si="96"/>
        <v>Medium Risk</v>
      </c>
      <c r="W648" t="str">
        <f t="shared" si="97"/>
        <v>Dec</v>
      </c>
      <c r="X648">
        <f t="shared" si="98"/>
        <v>2025</v>
      </c>
    </row>
    <row r="649" spans="1:24" x14ac:dyDescent="0.35">
      <c r="A649" s="3">
        <v>45899</v>
      </c>
      <c r="B649" t="s">
        <v>246</v>
      </c>
      <c r="C649" t="s">
        <v>69</v>
      </c>
      <c r="D649" t="s">
        <v>795</v>
      </c>
      <c r="E649" t="s">
        <v>54</v>
      </c>
      <c r="F649" t="s">
        <v>27</v>
      </c>
      <c r="G649" t="s">
        <v>29</v>
      </c>
      <c r="H649">
        <v>27.8</v>
      </c>
      <c r="I649">
        <v>1087</v>
      </c>
      <c r="J649">
        <v>72</v>
      </c>
      <c r="K649">
        <v>18.100000000000001</v>
      </c>
      <c r="L649" t="s">
        <v>78</v>
      </c>
      <c r="M649">
        <v>16838.87</v>
      </c>
      <c r="N649">
        <v>18001</v>
      </c>
      <c r="O649" t="s">
        <v>84</v>
      </c>
      <c r="P649" t="str">
        <f t="shared" si="90"/>
        <v>No</v>
      </c>
      <c r="Q649">
        <f t="shared" si="91"/>
        <v>39.1</v>
      </c>
      <c r="R649">
        <f t="shared" si="92"/>
        <v>15.49</v>
      </c>
      <c r="S649">
        <f t="shared" si="93"/>
        <v>0.94</v>
      </c>
      <c r="T649" t="str">
        <f t="shared" si="94"/>
        <v>On Time</v>
      </c>
      <c r="U649" t="str">
        <f t="shared" si="95"/>
        <v>Low</v>
      </c>
      <c r="V649" t="str">
        <f t="shared" si="96"/>
        <v>Low Risk</v>
      </c>
      <c r="W649" t="str">
        <f t="shared" si="97"/>
        <v>Aug</v>
      </c>
      <c r="X649">
        <f t="shared" si="98"/>
        <v>2025</v>
      </c>
    </row>
    <row r="650" spans="1:24" x14ac:dyDescent="0.35">
      <c r="A650" s="3">
        <v>45851</v>
      </c>
      <c r="B650" t="s">
        <v>275</v>
      </c>
      <c r="C650" t="s">
        <v>25</v>
      </c>
      <c r="D650" t="s">
        <v>796</v>
      </c>
      <c r="E650" t="s">
        <v>41</v>
      </c>
      <c r="F650" t="s">
        <v>54</v>
      </c>
      <c r="G650" t="s">
        <v>42</v>
      </c>
      <c r="H650">
        <v>23.2</v>
      </c>
      <c r="I650">
        <v>1778</v>
      </c>
      <c r="J650">
        <v>99</v>
      </c>
      <c r="K650">
        <v>10.8</v>
      </c>
      <c r="L650" t="s">
        <v>43</v>
      </c>
      <c r="M650">
        <v>15862.6</v>
      </c>
      <c r="N650">
        <v>27217</v>
      </c>
      <c r="O650" t="s">
        <v>59</v>
      </c>
      <c r="P650" t="str">
        <f t="shared" si="90"/>
        <v>Yes</v>
      </c>
      <c r="Q650">
        <f t="shared" si="91"/>
        <v>76.64</v>
      </c>
      <c r="R650">
        <f t="shared" si="92"/>
        <v>8.92</v>
      </c>
      <c r="S650">
        <f t="shared" si="93"/>
        <v>0.57999999999999996</v>
      </c>
      <c r="T650" t="str">
        <f t="shared" si="94"/>
        <v>Delayed</v>
      </c>
      <c r="U650" t="str">
        <f t="shared" si="95"/>
        <v>Low</v>
      </c>
      <c r="V650" t="str">
        <f t="shared" si="96"/>
        <v>Low Risk</v>
      </c>
      <c r="W650" t="str">
        <f t="shared" si="97"/>
        <v>Jul</v>
      </c>
      <c r="X650">
        <f t="shared" si="98"/>
        <v>2025</v>
      </c>
    </row>
    <row r="651" spans="1:24" x14ac:dyDescent="0.35">
      <c r="A651" s="3">
        <v>45803</v>
      </c>
      <c r="B651" t="s">
        <v>89</v>
      </c>
      <c r="C651" t="s">
        <v>52</v>
      </c>
      <c r="D651" t="s">
        <v>797</v>
      </c>
      <c r="E651" t="s">
        <v>54</v>
      </c>
      <c r="F651" t="s">
        <v>41</v>
      </c>
      <c r="G651" t="s">
        <v>35</v>
      </c>
      <c r="H651">
        <v>43.2</v>
      </c>
      <c r="I651">
        <v>1601</v>
      </c>
      <c r="J651">
        <v>75</v>
      </c>
      <c r="K651">
        <v>10.9</v>
      </c>
      <c r="L651" t="s">
        <v>43</v>
      </c>
      <c r="M651">
        <v>28524.05</v>
      </c>
      <c r="N651">
        <v>5220</v>
      </c>
      <c r="O651" t="s">
        <v>31</v>
      </c>
      <c r="P651" t="str">
        <f t="shared" si="90"/>
        <v>Yes</v>
      </c>
      <c r="Q651">
        <f t="shared" si="91"/>
        <v>37.06</v>
      </c>
      <c r="R651">
        <f t="shared" si="92"/>
        <v>17.82</v>
      </c>
      <c r="S651">
        <f t="shared" si="93"/>
        <v>5.46</v>
      </c>
      <c r="T651" t="str">
        <f t="shared" si="94"/>
        <v>Delayed</v>
      </c>
      <c r="U651" t="str">
        <f t="shared" si="95"/>
        <v>Medium</v>
      </c>
      <c r="V651" t="str">
        <f t="shared" si="96"/>
        <v>Low Risk</v>
      </c>
      <c r="W651" t="str">
        <f t="shared" si="97"/>
        <v>May</v>
      </c>
      <c r="X651">
        <f t="shared" si="98"/>
        <v>2025</v>
      </c>
    </row>
    <row r="652" spans="1:24" x14ac:dyDescent="0.35">
      <c r="A652" s="3">
        <v>45981</v>
      </c>
      <c r="B652" t="s">
        <v>73</v>
      </c>
      <c r="C652" t="s">
        <v>95</v>
      </c>
      <c r="D652" t="s">
        <v>798</v>
      </c>
      <c r="E652" t="s">
        <v>54</v>
      </c>
      <c r="F652" t="s">
        <v>48</v>
      </c>
      <c r="G652" t="s">
        <v>71</v>
      </c>
      <c r="H652">
        <v>42.1</v>
      </c>
      <c r="I652">
        <v>2532</v>
      </c>
      <c r="J652">
        <v>107</v>
      </c>
      <c r="K652">
        <v>13.2</v>
      </c>
      <c r="L652" t="s">
        <v>30</v>
      </c>
      <c r="M652">
        <v>24078.25</v>
      </c>
      <c r="N652">
        <v>24529</v>
      </c>
      <c r="O652" t="s">
        <v>67</v>
      </c>
      <c r="P652" t="str">
        <f t="shared" si="90"/>
        <v>Yes</v>
      </c>
      <c r="Q652">
        <f t="shared" si="91"/>
        <v>60.14</v>
      </c>
      <c r="R652">
        <f t="shared" si="92"/>
        <v>9.51</v>
      </c>
      <c r="S652">
        <f t="shared" si="93"/>
        <v>0.98</v>
      </c>
      <c r="T652" t="str">
        <f t="shared" si="94"/>
        <v>Delayed</v>
      </c>
      <c r="U652" t="str">
        <f t="shared" si="95"/>
        <v>Medium</v>
      </c>
      <c r="V652" t="str">
        <f t="shared" si="96"/>
        <v>Medium Risk</v>
      </c>
      <c r="W652" t="str">
        <f t="shared" si="97"/>
        <v>Nov</v>
      </c>
      <c r="X652">
        <f t="shared" si="98"/>
        <v>2025</v>
      </c>
    </row>
    <row r="653" spans="1:24" x14ac:dyDescent="0.35">
      <c r="A653" s="3">
        <v>45721</v>
      </c>
      <c r="B653" t="s">
        <v>98</v>
      </c>
      <c r="C653" t="s">
        <v>130</v>
      </c>
      <c r="D653" t="s">
        <v>799</v>
      </c>
      <c r="E653" t="s">
        <v>28</v>
      </c>
      <c r="F653" t="s">
        <v>54</v>
      </c>
      <c r="G653" t="s">
        <v>42</v>
      </c>
      <c r="H653">
        <v>57.7</v>
      </c>
      <c r="I653">
        <v>4786</v>
      </c>
      <c r="J653">
        <v>101</v>
      </c>
      <c r="K653">
        <v>21.6</v>
      </c>
      <c r="L653" t="s">
        <v>43</v>
      </c>
      <c r="M653">
        <v>30277.23</v>
      </c>
      <c r="N653">
        <v>8085</v>
      </c>
      <c r="O653" t="s">
        <v>44</v>
      </c>
      <c r="P653" t="str">
        <f t="shared" si="90"/>
        <v>Yes</v>
      </c>
      <c r="Q653">
        <f t="shared" si="91"/>
        <v>82.95</v>
      </c>
      <c r="R653">
        <f t="shared" si="92"/>
        <v>6.33</v>
      </c>
      <c r="S653">
        <f t="shared" si="93"/>
        <v>3.74</v>
      </c>
      <c r="T653" t="str">
        <f t="shared" si="94"/>
        <v>Delayed</v>
      </c>
      <c r="U653" t="str">
        <f t="shared" si="95"/>
        <v>Medium</v>
      </c>
      <c r="V653" t="str">
        <f t="shared" si="96"/>
        <v>Low Risk</v>
      </c>
      <c r="W653" t="str">
        <f t="shared" si="97"/>
        <v>Mar</v>
      </c>
      <c r="X653">
        <f t="shared" si="98"/>
        <v>2025</v>
      </c>
    </row>
    <row r="654" spans="1:24" x14ac:dyDescent="0.35">
      <c r="A654" s="3">
        <v>45921</v>
      </c>
      <c r="B654" t="s">
        <v>76</v>
      </c>
      <c r="C654" t="s">
        <v>109</v>
      </c>
      <c r="D654" t="s">
        <v>800</v>
      </c>
      <c r="E654" t="s">
        <v>27</v>
      </c>
      <c r="F654" t="s">
        <v>28</v>
      </c>
      <c r="G654" t="s">
        <v>71</v>
      </c>
      <c r="H654">
        <v>76.099999999999994</v>
      </c>
      <c r="I654">
        <v>2859</v>
      </c>
      <c r="J654">
        <v>55</v>
      </c>
      <c r="K654">
        <v>16.5</v>
      </c>
      <c r="L654" t="s">
        <v>30</v>
      </c>
      <c r="M654">
        <v>40370.39</v>
      </c>
      <c r="N654">
        <v>22544</v>
      </c>
      <c r="O654" t="s">
        <v>50</v>
      </c>
      <c r="P654" t="str">
        <f t="shared" si="90"/>
        <v>Yes</v>
      </c>
      <c r="Q654">
        <f t="shared" si="91"/>
        <v>37.57</v>
      </c>
      <c r="R654">
        <f t="shared" si="92"/>
        <v>14.12</v>
      </c>
      <c r="S654">
        <f t="shared" si="93"/>
        <v>1.79</v>
      </c>
      <c r="T654" t="str">
        <f t="shared" si="94"/>
        <v>Delayed</v>
      </c>
      <c r="U654" t="str">
        <f t="shared" si="95"/>
        <v>High</v>
      </c>
      <c r="V654" t="str">
        <f t="shared" si="96"/>
        <v>Medium Risk</v>
      </c>
      <c r="W654" t="str">
        <f t="shared" si="97"/>
        <v>Sep</v>
      </c>
      <c r="X654">
        <f t="shared" si="98"/>
        <v>2025</v>
      </c>
    </row>
    <row r="655" spans="1:24" x14ac:dyDescent="0.35">
      <c r="A655" s="3">
        <v>46004</v>
      </c>
      <c r="B655" t="s">
        <v>127</v>
      </c>
      <c r="C655" t="s">
        <v>69</v>
      </c>
      <c r="D655" t="s">
        <v>801</v>
      </c>
      <c r="E655" t="s">
        <v>27</v>
      </c>
      <c r="F655" t="s">
        <v>28</v>
      </c>
      <c r="G655" t="s">
        <v>42</v>
      </c>
      <c r="H655">
        <v>58.3</v>
      </c>
      <c r="I655">
        <v>3719</v>
      </c>
      <c r="J655">
        <v>44</v>
      </c>
      <c r="K655">
        <v>13.8</v>
      </c>
      <c r="L655" t="s">
        <v>30</v>
      </c>
      <c r="M655">
        <v>29835.48</v>
      </c>
      <c r="N655">
        <v>6387</v>
      </c>
      <c r="O655" t="s">
        <v>36</v>
      </c>
      <c r="P655" t="str">
        <f t="shared" si="90"/>
        <v>Yes</v>
      </c>
      <c r="Q655">
        <f t="shared" si="91"/>
        <v>63.79</v>
      </c>
      <c r="R655">
        <f t="shared" si="92"/>
        <v>8.02</v>
      </c>
      <c r="S655">
        <f t="shared" si="93"/>
        <v>4.67</v>
      </c>
      <c r="T655" t="str">
        <f t="shared" si="94"/>
        <v>Delayed</v>
      </c>
      <c r="U655" t="str">
        <f t="shared" si="95"/>
        <v>Medium</v>
      </c>
      <c r="V655" t="str">
        <f t="shared" si="96"/>
        <v>Medium Risk</v>
      </c>
      <c r="W655" t="str">
        <f t="shared" si="97"/>
        <v>Dec</v>
      </c>
      <c r="X655">
        <f t="shared" si="98"/>
        <v>2025</v>
      </c>
    </row>
    <row r="656" spans="1:24" x14ac:dyDescent="0.35">
      <c r="A656" s="3">
        <v>45942</v>
      </c>
      <c r="B656" t="s">
        <v>133</v>
      </c>
      <c r="C656" t="s">
        <v>69</v>
      </c>
      <c r="D656" t="s">
        <v>802</v>
      </c>
      <c r="E656" t="s">
        <v>41</v>
      </c>
      <c r="F656" t="s">
        <v>27</v>
      </c>
      <c r="G656" t="s">
        <v>29</v>
      </c>
      <c r="H656">
        <v>52.6</v>
      </c>
      <c r="I656">
        <v>1330</v>
      </c>
      <c r="J656">
        <v>65</v>
      </c>
      <c r="K656">
        <v>13.5</v>
      </c>
      <c r="L656" t="s">
        <v>78</v>
      </c>
      <c r="M656">
        <v>33730.089999999997</v>
      </c>
      <c r="N656">
        <v>17241</v>
      </c>
      <c r="O656" t="s">
        <v>91</v>
      </c>
      <c r="P656" t="str">
        <f t="shared" si="90"/>
        <v>No</v>
      </c>
      <c r="Q656">
        <f t="shared" si="91"/>
        <v>25.29</v>
      </c>
      <c r="R656">
        <f t="shared" si="92"/>
        <v>25.36</v>
      </c>
      <c r="S656">
        <f t="shared" si="93"/>
        <v>1.96</v>
      </c>
      <c r="T656" t="str">
        <f t="shared" si="94"/>
        <v>On Time</v>
      </c>
      <c r="U656" t="str">
        <f t="shared" si="95"/>
        <v>Medium</v>
      </c>
      <c r="V656" t="str">
        <f t="shared" si="96"/>
        <v>Low Risk</v>
      </c>
      <c r="W656" t="str">
        <f t="shared" si="97"/>
        <v>Oct</v>
      </c>
      <c r="X656">
        <f t="shared" si="98"/>
        <v>2025</v>
      </c>
    </row>
    <row r="657" spans="1:24" x14ac:dyDescent="0.35">
      <c r="A657" s="3">
        <v>45946</v>
      </c>
      <c r="B657" t="s">
        <v>108</v>
      </c>
      <c r="C657" t="s">
        <v>57</v>
      </c>
      <c r="D657" t="s">
        <v>803</v>
      </c>
      <c r="E657" t="s">
        <v>28</v>
      </c>
      <c r="F657" t="s">
        <v>48</v>
      </c>
      <c r="G657" t="s">
        <v>29</v>
      </c>
      <c r="H657">
        <v>40.1</v>
      </c>
      <c r="I657">
        <v>4628</v>
      </c>
      <c r="J657">
        <v>39</v>
      </c>
      <c r="K657">
        <v>21.9</v>
      </c>
      <c r="L657" t="s">
        <v>30</v>
      </c>
      <c r="M657">
        <v>27345.21</v>
      </c>
      <c r="N657">
        <v>22705</v>
      </c>
      <c r="O657" t="s">
        <v>67</v>
      </c>
      <c r="P657" t="str">
        <f t="shared" si="90"/>
        <v>Yes</v>
      </c>
      <c r="Q657">
        <f t="shared" si="91"/>
        <v>115.41</v>
      </c>
      <c r="R657">
        <f t="shared" si="92"/>
        <v>5.91</v>
      </c>
      <c r="S657">
        <f t="shared" si="93"/>
        <v>1.2</v>
      </c>
      <c r="T657" t="str">
        <f t="shared" si="94"/>
        <v>Delayed</v>
      </c>
      <c r="U657" t="str">
        <f t="shared" si="95"/>
        <v>Medium</v>
      </c>
      <c r="V657" t="str">
        <f t="shared" si="96"/>
        <v>Medium Risk</v>
      </c>
      <c r="W657" t="str">
        <f t="shared" si="97"/>
        <v>Oct</v>
      </c>
      <c r="X657">
        <f t="shared" si="98"/>
        <v>2025</v>
      </c>
    </row>
    <row r="658" spans="1:24" x14ac:dyDescent="0.35">
      <c r="A658" s="3">
        <v>45685</v>
      </c>
      <c r="B658" t="s">
        <v>120</v>
      </c>
      <c r="C658" t="s">
        <v>109</v>
      </c>
      <c r="D658" t="s">
        <v>804</v>
      </c>
      <c r="E658" t="s">
        <v>41</v>
      </c>
      <c r="F658" t="s">
        <v>54</v>
      </c>
      <c r="G658" t="s">
        <v>35</v>
      </c>
      <c r="H658">
        <v>37.5</v>
      </c>
      <c r="I658">
        <v>4964</v>
      </c>
      <c r="J658">
        <v>23</v>
      </c>
      <c r="K658">
        <v>15.2</v>
      </c>
      <c r="L658" t="s">
        <v>78</v>
      </c>
      <c r="M658">
        <v>25173.98</v>
      </c>
      <c r="N658">
        <v>7760</v>
      </c>
      <c r="O658" t="s">
        <v>36</v>
      </c>
      <c r="P658" t="str">
        <f t="shared" si="90"/>
        <v>No</v>
      </c>
      <c r="Q658">
        <f t="shared" si="91"/>
        <v>132.37</v>
      </c>
      <c r="R658">
        <f t="shared" si="92"/>
        <v>5.07</v>
      </c>
      <c r="S658">
        <f t="shared" si="93"/>
        <v>3.24</v>
      </c>
      <c r="T658" t="str">
        <f t="shared" si="94"/>
        <v>On Time</v>
      </c>
      <c r="U658" t="str">
        <f t="shared" si="95"/>
        <v>Low</v>
      </c>
      <c r="V658" t="str">
        <f t="shared" si="96"/>
        <v>Low Risk</v>
      </c>
      <c r="W658" t="str">
        <f t="shared" si="97"/>
        <v>Jan</v>
      </c>
      <c r="X658">
        <f t="shared" si="98"/>
        <v>2025</v>
      </c>
    </row>
    <row r="659" spans="1:24" x14ac:dyDescent="0.35">
      <c r="A659" s="3">
        <v>45944</v>
      </c>
      <c r="B659" t="s">
        <v>195</v>
      </c>
      <c r="C659" t="s">
        <v>69</v>
      </c>
      <c r="D659" t="s">
        <v>805</v>
      </c>
      <c r="E659" t="s">
        <v>54</v>
      </c>
      <c r="F659" t="s">
        <v>66</v>
      </c>
      <c r="G659" t="s">
        <v>35</v>
      </c>
      <c r="H659">
        <v>77.5</v>
      </c>
      <c r="I659">
        <v>3677</v>
      </c>
      <c r="J659">
        <v>101</v>
      </c>
      <c r="K659">
        <v>15</v>
      </c>
      <c r="L659" t="s">
        <v>49</v>
      </c>
      <c r="M659">
        <v>43064.3</v>
      </c>
      <c r="N659">
        <v>25126</v>
      </c>
      <c r="O659" t="s">
        <v>67</v>
      </c>
      <c r="P659" t="str">
        <f t="shared" si="90"/>
        <v>Yes</v>
      </c>
      <c r="Q659">
        <f t="shared" si="91"/>
        <v>47.45</v>
      </c>
      <c r="R659">
        <f t="shared" si="92"/>
        <v>11.71</v>
      </c>
      <c r="S659">
        <f t="shared" si="93"/>
        <v>1.71</v>
      </c>
      <c r="T659" t="str">
        <f t="shared" si="94"/>
        <v>Delayed</v>
      </c>
      <c r="U659" t="str">
        <f t="shared" si="95"/>
        <v>High</v>
      </c>
      <c r="V659" t="str">
        <f t="shared" si="96"/>
        <v>High Risk</v>
      </c>
      <c r="W659" t="str">
        <f t="shared" si="97"/>
        <v>Oct</v>
      </c>
      <c r="X659">
        <f t="shared" si="98"/>
        <v>2025</v>
      </c>
    </row>
    <row r="660" spans="1:24" x14ac:dyDescent="0.35">
      <c r="A660" s="3">
        <v>45764</v>
      </c>
      <c r="B660" t="s">
        <v>210</v>
      </c>
      <c r="C660" t="s">
        <v>69</v>
      </c>
      <c r="D660" t="s">
        <v>806</v>
      </c>
      <c r="E660" t="s">
        <v>27</v>
      </c>
      <c r="F660" t="s">
        <v>54</v>
      </c>
      <c r="G660" t="s">
        <v>42</v>
      </c>
      <c r="H660">
        <v>26.7</v>
      </c>
      <c r="I660">
        <v>2652</v>
      </c>
      <c r="J660">
        <v>44</v>
      </c>
      <c r="K660">
        <v>11.3</v>
      </c>
      <c r="L660" t="s">
        <v>49</v>
      </c>
      <c r="M660">
        <v>16829.09</v>
      </c>
      <c r="N660">
        <v>24672</v>
      </c>
      <c r="O660" t="s">
        <v>31</v>
      </c>
      <c r="P660" t="str">
        <f t="shared" si="90"/>
        <v>Yes</v>
      </c>
      <c r="Q660">
        <f t="shared" si="91"/>
        <v>99.33</v>
      </c>
      <c r="R660">
        <f t="shared" si="92"/>
        <v>6.35</v>
      </c>
      <c r="S660">
        <f t="shared" si="93"/>
        <v>0.68</v>
      </c>
      <c r="T660" t="str">
        <f t="shared" si="94"/>
        <v>Delayed</v>
      </c>
      <c r="U660" t="str">
        <f t="shared" si="95"/>
        <v>Low</v>
      </c>
      <c r="V660" t="str">
        <f t="shared" si="96"/>
        <v>High Risk</v>
      </c>
      <c r="W660" t="str">
        <f t="shared" si="97"/>
        <v>Apr</v>
      </c>
      <c r="X660">
        <f t="shared" si="98"/>
        <v>2025</v>
      </c>
    </row>
    <row r="661" spans="1:24" x14ac:dyDescent="0.35">
      <c r="A661" s="3">
        <v>45814</v>
      </c>
      <c r="B661" t="s">
        <v>246</v>
      </c>
      <c r="C661" t="s">
        <v>95</v>
      </c>
      <c r="D661" t="s">
        <v>807</v>
      </c>
      <c r="E661" t="s">
        <v>63</v>
      </c>
      <c r="F661" t="s">
        <v>28</v>
      </c>
      <c r="G661" t="s">
        <v>35</v>
      </c>
      <c r="H661">
        <v>39.5</v>
      </c>
      <c r="I661">
        <v>4940</v>
      </c>
      <c r="J661">
        <v>42</v>
      </c>
      <c r="K661">
        <v>18.2</v>
      </c>
      <c r="L661" t="s">
        <v>30</v>
      </c>
      <c r="M661">
        <v>20682.89</v>
      </c>
      <c r="N661">
        <v>6422</v>
      </c>
      <c r="O661" t="s">
        <v>31</v>
      </c>
      <c r="P661" t="str">
        <f t="shared" si="90"/>
        <v>Yes</v>
      </c>
      <c r="Q661">
        <f t="shared" si="91"/>
        <v>125.06</v>
      </c>
      <c r="R661">
        <f t="shared" si="92"/>
        <v>4.1900000000000004</v>
      </c>
      <c r="S661">
        <f t="shared" si="93"/>
        <v>3.22</v>
      </c>
      <c r="T661" t="str">
        <f t="shared" si="94"/>
        <v>Delayed</v>
      </c>
      <c r="U661" t="str">
        <f t="shared" si="95"/>
        <v>Low</v>
      </c>
      <c r="V661" t="str">
        <f t="shared" si="96"/>
        <v>Medium Risk</v>
      </c>
      <c r="W661" t="str">
        <f t="shared" si="97"/>
        <v>Jun</v>
      </c>
      <c r="X661">
        <f t="shared" si="98"/>
        <v>2025</v>
      </c>
    </row>
    <row r="662" spans="1:24" x14ac:dyDescent="0.35">
      <c r="A662" s="3">
        <v>45894</v>
      </c>
      <c r="B662" t="s">
        <v>275</v>
      </c>
      <c r="C662" t="s">
        <v>39</v>
      </c>
      <c r="D662" t="s">
        <v>808</v>
      </c>
      <c r="E662" t="s">
        <v>66</v>
      </c>
      <c r="F662" t="s">
        <v>63</v>
      </c>
      <c r="G662" t="s">
        <v>71</v>
      </c>
      <c r="H662">
        <v>53</v>
      </c>
      <c r="I662">
        <v>4918</v>
      </c>
      <c r="J662">
        <v>77</v>
      </c>
      <c r="K662">
        <v>15.4</v>
      </c>
      <c r="L662" t="s">
        <v>78</v>
      </c>
      <c r="M662">
        <v>30068.91</v>
      </c>
      <c r="N662">
        <v>18866</v>
      </c>
      <c r="O662" t="s">
        <v>50</v>
      </c>
      <c r="P662" t="str">
        <f t="shared" si="90"/>
        <v>No</v>
      </c>
      <c r="Q662">
        <f t="shared" si="91"/>
        <v>92.79</v>
      </c>
      <c r="R662">
        <f t="shared" si="92"/>
        <v>6.11</v>
      </c>
      <c r="S662">
        <f t="shared" si="93"/>
        <v>1.59</v>
      </c>
      <c r="T662" t="str">
        <f t="shared" si="94"/>
        <v>On Time</v>
      </c>
      <c r="U662" t="str">
        <f t="shared" si="95"/>
        <v>Medium</v>
      </c>
      <c r="V662" t="str">
        <f t="shared" si="96"/>
        <v>Low Risk</v>
      </c>
      <c r="W662" t="str">
        <f t="shared" si="97"/>
        <v>Aug</v>
      </c>
      <c r="X662">
        <f t="shared" si="98"/>
        <v>2025</v>
      </c>
    </row>
    <row r="663" spans="1:24" x14ac:dyDescent="0.35">
      <c r="A663" s="3">
        <v>45988</v>
      </c>
      <c r="B663" t="s">
        <v>236</v>
      </c>
      <c r="C663" t="s">
        <v>39</v>
      </c>
      <c r="D663" t="s">
        <v>809</v>
      </c>
      <c r="E663" t="s">
        <v>41</v>
      </c>
      <c r="F663" t="s">
        <v>55</v>
      </c>
      <c r="G663" t="s">
        <v>35</v>
      </c>
      <c r="H663">
        <v>52.8</v>
      </c>
      <c r="I663">
        <v>4080</v>
      </c>
      <c r="J663">
        <v>39</v>
      </c>
      <c r="K663">
        <v>11.5</v>
      </c>
      <c r="L663" t="s">
        <v>49</v>
      </c>
      <c r="M663">
        <v>33832.620000000003</v>
      </c>
      <c r="N663">
        <v>10851</v>
      </c>
      <c r="O663" t="s">
        <v>50</v>
      </c>
      <c r="P663" t="str">
        <f t="shared" si="90"/>
        <v>Yes</v>
      </c>
      <c r="Q663">
        <f t="shared" si="91"/>
        <v>77.27</v>
      </c>
      <c r="R663">
        <f t="shared" si="92"/>
        <v>8.2899999999999991</v>
      </c>
      <c r="S663">
        <f t="shared" si="93"/>
        <v>3.12</v>
      </c>
      <c r="T663" t="str">
        <f t="shared" si="94"/>
        <v>Delayed</v>
      </c>
      <c r="U663" t="str">
        <f t="shared" si="95"/>
        <v>Medium</v>
      </c>
      <c r="V663" t="str">
        <f t="shared" si="96"/>
        <v>High Risk</v>
      </c>
      <c r="W663" t="str">
        <f t="shared" si="97"/>
        <v>Nov</v>
      </c>
      <c r="X663">
        <f t="shared" si="98"/>
        <v>2025</v>
      </c>
    </row>
    <row r="664" spans="1:24" x14ac:dyDescent="0.35">
      <c r="A664" s="3">
        <v>45888</v>
      </c>
      <c r="B664" t="s">
        <v>89</v>
      </c>
      <c r="C664" t="s">
        <v>39</v>
      </c>
      <c r="D664" t="s">
        <v>810</v>
      </c>
      <c r="E664" t="s">
        <v>41</v>
      </c>
      <c r="F664" t="s">
        <v>48</v>
      </c>
      <c r="G664" t="s">
        <v>42</v>
      </c>
      <c r="H664">
        <v>25.1</v>
      </c>
      <c r="I664">
        <v>4889</v>
      </c>
      <c r="J664">
        <v>59</v>
      </c>
      <c r="K664">
        <v>17.5</v>
      </c>
      <c r="L664" t="s">
        <v>43</v>
      </c>
      <c r="M664">
        <v>16506.150000000001</v>
      </c>
      <c r="N664">
        <v>10338</v>
      </c>
      <c r="O664" t="s">
        <v>59</v>
      </c>
      <c r="P664" t="str">
        <f t="shared" si="90"/>
        <v>Yes</v>
      </c>
      <c r="Q664">
        <f t="shared" si="91"/>
        <v>194.78</v>
      </c>
      <c r="R664">
        <f t="shared" si="92"/>
        <v>3.38</v>
      </c>
      <c r="S664">
        <f t="shared" si="93"/>
        <v>1.6</v>
      </c>
      <c r="T664" t="str">
        <f t="shared" si="94"/>
        <v>Delayed</v>
      </c>
      <c r="U664" t="str">
        <f t="shared" si="95"/>
        <v>Low</v>
      </c>
      <c r="V664" t="str">
        <f t="shared" si="96"/>
        <v>Low Risk</v>
      </c>
      <c r="W664" t="str">
        <f t="shared" si="97"/>
        <v>Aug</v>
      </c>
      <c r="X664">
        <f t="shared" si="98"/>
        <v>2025</v>
      </c>
    </row>
    <row r="665" spans="1:24" x14ac:dyDescent="0.35">
      <c r="A665" s="3">
        <v>45781</v>
      </c>
      <c r="B665" t="s">
        <v>108</v>
      </c>
      <c r="C665" t="s">
        <v>109</v>
      </c>
      <c r="D665" t="s">
        <v>811</v>
      </c>
      <c r="E665" t="s">
        <v>27</v>
      </c>
      <c r="F665" t="s">
        <v>55</v>
      </c>
      <c r="G665" t="s">
        <v>42</v>
      </c>
      <c r="H665">
        <v>58.7</v>
      </c>
      <c r="I665">
        <v>1974</v>
      </c>
      <c r="J665">
        <v>43</v>
      </c>
      <c r="K665">
        <v>20</v>
      </c>
      <c r="L665" t="s">
        <v>78</v>
      </c>
      <c r="M665">
        <v>37986.49</v>
      </c>
      <c r="N665">
        <v>29126</v>
      </c>
      <c r="O665" t="s">
        <v>50</v>
      </c>
      <c r="P665" t="str">
        <f t="shared" si="90"/>
        <v>No</v>
      </c>
      <c r="Q665">
        <f t="shared" si="91"/>
        <v>33.630000000000003</v>
      </c>
      <c r="R665">
        <f t="shared" si="92"/>
        <v>19.239999999999998</v>
      </c>
      <c r="S665">
        <f t="shared" si="93"/>
        <v>1.3</v>
      </c>
      <c r="T665" t="str">
        <f t="shared" si="94"/>
        <v>On Time</v>
      </c>
      <c r="U665" t="str">
        <f t="shared" si="95"/>
        <v>Medium</v>
      </c>
      <c r="V665" t="str">
        <f t="shared" si="96"/>
        <v>Low Risk</v>
      </c>
      <c r="W665" t="str">
        <f t="shared" si="97"/>
        <v>May</v>
      </c>
      <c r="X665">
        <f t="shared" si="98"/>
        <v>2025</v>
      </c>
    </row>
    <row r="666" spans="1:24" x14ac:dyDescent="0.35">
      <c r="A666" s="3">
        <v>45788</v>
      </c>
      <c r="B666" t="s">
        <v>157</v>
      </c>
      <c r="C666" t="s">
        <v>109</v>
      </c>
      <c r="D666" t="s">
        <v>812</v>
      </c>
      <c r="E666" t="s">
        <v>54</v>
      </c>
      <c r="F666" t="s">
        <v>41</v>
      </c>
      <c r="G666" t="s">
        <v>35</v>
      </c>
      <c r="H666">
        <v>20</v>
      </c>
      <c r="I666">
        <v>4452</v>
      </c>
      <c r="J666">
        <v>103</v>
      </c>
      <c r="K666">
        <v>15.3</v>
      </c>
      <c r="L666" t="s">
        <v>30</v>
      </c>
      <c r="M666">
        <v>12579.92</v>
      </c>
      <c r="N666">
        <v>6456</v>
      </c>
      <c r="O666" t="s">
        <v>36</v>
      </c>
      <c r="P666" t="str">
        <f t="shared" si="90"/>
        <v>Yes</v>
      </c>
      <c r="Q666">
        <f t="shared" si="91"/>
        <v>222.6</v>
      </c>
      <c r="R666">
        <f t="shared" si="92"/>
        <v>2.83</v>
      </c>
      <c r="S666">
        <f t="shared" si="93"/>
        <v>1.95</v>
      </c>
      <c r="T666" t="str">
        <f t="shared" si="94"/>
        <v>Delayed</v>
      </c>
      <c r="U666" t="str">
        <f t="shared" si="95"/>
        <v>Low</v>
      </c>
      <c r="V666" t="str">
        <f t="shared" si="96"/>
        <v>Medium Risk</v>
      </c>
      <c r="W666" t="str">
        <f t="shared" si="97"/>
        <v>May</v>
      </c>
      <c r="X666">
        <f t="shared" si="98"/>
        <v>2025</v>
      </c>
    </row>
    <row r="667" spans="1:24" x14ac:dyDescent="0.35">
      <c r="A667" s="3">
        <v>45886</v>
      </c>
      <c r="B667" t="s">
        <v>120</v>
      </c>
      <c r="C667" t="s">
        <v>95</v>
      </c>
      <c r="D667" t="s">
        <v>813</v>
      </c>
      <c r="E667" t="s">
        <v>28</v>
      </c>
      <c r="F667" t="s">
        <v>41</v>
      </c>
      <c r="G667" t="s">
        <v>35</v>
      </c>
      <c r="H667">
        <v>60</v>
      </c>
      <c r="I667">
        <v>4801</v>
      </c>
      <c r="J667">
        <v>61</v>
      </c>
      <c r="K667">
        <v>12</v>
      </c>
      <c r="L667" t="s">
        <v>43</v>
      </c>
      <c r="M667">
        <v>37726.01</v>
      </c>
      <c r="N667">
        <v>22752</v>
      </c>
      <c r="O667" t="s">
        <v>59</v>
      </c>
      <c r="P667" t="str">
        <f t="shared" si="90"/>
        <v>Yes</v>
      </c>
      <c r="Q667">
        <f t="shared" si="91"/>
        <v>80.02</v>
      </c>
      <c r="R667">
        <f t="shared" si="92"/>
        <v>7.86</v>
      </c>
      <c r="S667">
        <f t="shared" si="93"/>
        <v>1.66</v>
      </c>
      <c r="T667" t="str">
        <f t="shared" si="94"/>
        <v>Delayed</v>
      </c>
      <c r="U667" t="str">
        <f t="shared" si="95"/>
        <v>High</v>
      </c>
      <c r="V667" t="str">
        <f t="shared" si="96"/>
        <v>Low Risk</v>
      </c>
      <c r="W667" t="str">
        <f t="shared" si="97"/>
        <v>Aug</v>
      </c>
      <c r="X667">
        <f t="shared" si="98"/>
        <v>2025</v>
      </c>
    </row>
    <row r="668" spans="1:24" x14ac:dyDescent="0.35">
      <c r="A668" s="3">
        <v>46009</v>
      </c>
      <c r="B668" t="s">
        <v>68</v>
      </c>
      <c r="C668" t="s">
        <v>95</v>
      </c>
      <c r="D668" t="s">
        <v>814</v>
      </c>
      <c r="E668" t="s">
        <v>27</v>
      </c>
      <c r="F668" t="s">
        <v>54</v>
      </c>
      <c r="G668" t="s">
        <v>42</v>
      </c>
      <c r="H668">
        <v>54.6</v>
      </c>
      <c r="I668">
        <v>1404</v>
      </c>
      <c r="J668">
        <v>27</v>
      </c>
      <c r="K668">
        <v>10.8</v>
      </c>
      <c r="L668" t="s">
        <v>43</v>
      </c>
      <c r="M668">
        <v>27789.05</v>
      </c>
      <c r="N668">
        <v>21788</v>
      </c>
      <c r="O668" t="s">
        <v>50</v>
      </c>
      <c r="P668" t="str">
        <f t="shared" si="90"/>
        <v>Yes</v>
      </c>
      <c r="Q668">
        <f t="shared" si="91"/>
        <v>25.71</v>
      </c>
      <c r="R668">
        <f t="shared" si="92"/>
        <v>19.79</v>
      </c>
      <c r="S668">
        <f t="shared" si="93"/>
        <v>1.28</v>
      </c>
      <c r="T668" t="str">
        <f t="shared" si="94"/>
        <v>Delayed</v>
      </c>
      <c r="U668" t="str">
        <f t="shared" si="95"/>
        <v>Medium</v>
      </c>
      <c r="V668" t="str">
        <f t="shared" si="96"/>
        <v>Low Risk</v>
      </c>
      <c r="W668" t="str">
        <f t="shared" si="97"/>
        <v>Dec</v>
      </c>
      <c r="X668">
        <f t="shared" si="98"/>
        <v>2025</v>
      </c>
    </row>
    <row r="669" spans="1:24" x14ac:dyDescent="0.35">
      <c r="A669" s="3">
        <v>45660</v>
      </c>
      <c r="B669" t="s">
        <v>64</v>
      </c>
      <c r="C669" t="s">
        <v>57</v>
      </c>
      <c r="D669" t="s">
        <v>815</v>
      </c>
      <c r="E669" t="s">
        <v>54</v>
      </c>
      <c r="F669" t="s">
        <v>28</v>
      </c>
      <c r="G669" t="s">
        <v>71</v>
      </c>
      <c r="H669">
        <v>21.8</v>
      </c>
      <c r="I669">
        <v>4752</v>
      </c>
      <c r="J669">
        <v>112</v>
      </c>
      <c r="K669">
        <v>21.6</v>
      </c>
      <c r="L669" t="s">
        <v>30</v>
      </c>
      <c r="M669">
        <v>14624.39</v>
      </c>
      <c r="N669">
        <v>21975</v>
      </c>
      <c r="O669" t="s">
        <v>50</v>
      </c>
      <c r="P669" t="str">
        <f t="shared" si="90"/>
        <v>Yes</v>
      </c>
      <c r="Q669">
        <f t="shared" si="91"/>
        <v>217.98</v>
      </c>
      <c r="R669">
        <f t="shared" si="92"/>
        <v>3.08</v>
      </c>
      <c r="S669">
        <f t="shared" si="93"/>
        <v>0.67</v>
      </c>
      <c r="T669" t="str">
        <f t="shared" si="94"/>
        <v>Delayed</v>
      </c>
      <c r="U669" t="str">
        <f t="shared" si="95"/>
        <v>Low</v>
      </c>
      <c r="V669" t="str">
        <f t="shared" si="96"/>
        <v>Medium Risk</v>
      </c>
      <c r="W669" t="str">
        <f t="shared" si="97"/>
        <v>Jan</v>
      </c>
      <c r="X669">
        <f t="shared" si="98"/>
        <v>2025</v>
      </c>
    </row>
    <row r="670" spans="1:24" x14ac:dyDescent="0.35">
      <c r="A670" s="3">
        <v>45891</v>
      </c>
      <c r="B670" t="s">
        <v>94</v>
      </c>
      <c r="C670" t="s">
        <v>57</v>
      </c>
      <c r="D670" t="s">
        <v>816</v>
      </c>
      <c r="E670" t="s">
        <v>54</v>
      </c>
      <c r="F670" t="s">
        <v>63</v>
      </c>
      <c r="G670" t="s">
        <v>71</v>
      </c>
      <c r="H670">
        <v>30.4</v>
      </c>
      <c r="I670">
        <v>1451</v>
      </c>
      <c r="J670">
        <v>24</v>
      </c>
      <c r="K670">
        <v>15.5</v>
      </c>
      <c r="L670" t="s">
        <v>30</v>
      </c>
      <c r="M670">
        <v>20649.240000000002</v>
      </c>
      <c r="N670">
        <v>13084</v>
      </c>
      <c r="O670" t="s">
        <v>50</v>
      </c>
      <c r="P670" t="str">
        <f t="shared" si="90"/>
        <v>Yes</v>
      </c>
      <c r="Q670">
        <f t="shared" si="91"/>
        <v>47.73</v>
      </c>
      <c r="R670">
        <f t="shared" si="92"/>
        <v>14.23</v>
      </c>
      <c r="S670">
        <f t="shared" si="93"/>
        <v>1.58</v>
      </c>
      <c r="T670" t="str">
        <f t="shared" si="94"/>
        <v>Delayed</v>
      </c>
      <c r="U670" t="str">
        <f t="shared" si="95"/>
        <v>Low</v>
      </c>
      <c r="V670" t="str">
        <f t="shared" si="96"/>
        <v>Medium Risk</v>
      </c>
      <c r="W670" t="str">
        <f t="shared" si="97"/>
        <v>Aug</v>
      </c>
      <c r="X670">
        <f t="shared" si="98"/>
        <v>2025</v>
      </c>
    </row>
    <row r="671" spans="1:24" x14ac:dyDescent="0.35">
      <c r="A671" s="3">
        <v>45995</v>
      </c>
      <c r="B671" t="s">
        <v>92</v>
      </c>
      <c r="C671" t="s">
        <v>130</v>
      </c>
      <c r="D671" t="s">
        <v>817</v>
      </c>
      <c r="E671" t="s">
        <v>54</v>
      </c>
      <c r="F671" t="s">
        <v>41</v>
      </c>
      <c r="G671" t="s">
        <v>29</v>
      </c>
      <c r="H671">
        <v>44.6</v>
      </c>
      <c r="I671">
        <v>4142</v>
      </c>
      <c r="J671">
        <v>89</v>
      </c>
      <c r="K671">
        <v>16</v>
      </c>
      <c r="L671" t="s">
        <v>49</v>
      </c>
      <c r="M671">
        <v>31053.16</v>
      </c>
      <c r="N671">
        <v>13152</v>
      </c>
      <c r="O671" t="s">
        <v>59</v>
      </c>
      <c r="P671" t="str">
        <f t="shared" si="90"/>
        <v>Yes</v>
      </c>
      <c r="Q671">
        <f t="shared" si="91"/>
        <v>92.87</v>
      </c>
      <c r="R671">
        <f t="shared" si="92"/>
        <v>7.5</v>
      </c>
      <c r="S671">
        <f t="shared" si="93"/>
        <v>2.36</v>
      </c>
      <c r="T671" t="str">
        <f t="shared" si="94"/>
        <v>Delayed</v>
      </c>
      <c r="U671" t="str">
        <f t="shared" si="95"/>
        <v>Medium</v>
      </c>
      <c r="V671" t="str">
        <f t="shared" si="96"/>
        <v>High Risk</v>
      </c>
      <c r="W671" t="str">
        <f t="shared" si="97"/>
        <v>Dec</v>
      </c>
      <c r="X671">
        <f t="shared" si="98"/>
        <v>2025</v>
      </c>
    </row>
    <row r="672" spans="1:24" x14ac:dyDescent="0.35">
      <c r="A672" s="3">
        <v>45894</v>
      </c>
      <c r="B672" t="s">
        <v>154</v>
      </c>
      <c r="C672" t="s">
        <v>25</v>
      </c>
      <c r="D672" t="s">
        <v>818</v>
      </c>
      <c r="E672" t="s">
        <v>48</v>
      </c>
      <c r="F672" t="s">
        <v>27</v>
      </c>
      <c r="G672" t="s">
        <v>29</v>
      </c>
      <c r="H672">
        <v>25.7</v>
      </c>
      <c r="I672">
        <v>4554</v>
      </c>
      <c r="J672">
        <v>114</v>
      </c>
      <c r="K672">
        <v>16.600000000000001</v>
      </c>
      <c r="L672" t="s">
        <v>49</v>
      </c>
      <c r="M672">
        <v>17740.669999999998</v>
      </c>
      <c r="N672">
        <v>5896</v>
      </c>
      <c r="O672" t="s">
        <v>31</v>
      </c>
      <c r="P672" t="str">
        <f t="shared" si="90"/>
        <v>Yes</v>
      </c>
      <c r="Q672">
        <f t="shared" si="91"/>
        <v>177.2</v>
      </c>
      <c r="R672">
        <f t="shared" si="92"/>
        <v>3.9</v>
      </c>
      <c r="S672">
        <f t="shared" si="93"/>
        <v>3.01</v>
      </c>
      <c r="T672" t="str">
        <f t="shared" si="94"/>
        <v>Delayed</v>
      </c>
      <c r="U672" t="str">
        <f t="shared" si="95"/>
        <v>Low</v>
      </c>
      <c r="V672" t="str">
        <f t="shared" si="96"/>
        <v>High Risk</v>
      </c>
      <c r="W672" t="str">
        <f t="shared" si="97"/>
        <v>Aug</v>
      </c>
      <c r="X672">
        <f t="shared" si="98"/>
        <v>2025</v>
      </c>
    </row>
    <row r="673" spans="1:24" x14ac:dyDescent="0.35">
      <c r="A673" s="3">
        <v>45841</v>
      </c>
      <c r="B673" t="s">
        <v>142</v>
      </c>
      <c r="C673" t="s">
        <v>39</v>
      </c>
      <c r="D673" t="s">
        <v>819</v>
      </c>
      <c r="E673" t="s">
        <v>63</v>
      </c>
      <c r="F673" t="s">
        <v>54</v>
      </c>
      <c r="G673" t="s">
        <v>29</v>
      </c>
      <c r="H673">
        <v>20.399999999999999</v>
      </c>
      <c r="I673">
        <v>3970</v>
      </c>
      <c r="J673">
        <v>100</v>
      </c>
      <c r="K673">
        <v>20</v>
      </c>
      <c r="L673" t="s">
        <v>78</v>
      </c>
      <c r="M673">
        <v>9199.49</v>
      </c>
      <c r="N673">
        <v>12579</v>
      </c>
      <c r="O673" t="s">
        <v>44</v>
      </c>
      <c r="P673" t="str">
        <f t="shared" si="90"/>
        <v>No</v>
      </c>
      <c r="Q673">
        <f t="shared" si="91"/>
        <v>194.61</v>
      </c>
      <c r="R673">
        <f t="shared" si="92"/>
        <v>2.3199999999999998</v>
      </c>
      <c r="S673">
        <f t="shared" si="93"/>
        <v>0.73</v>
      </c>
      <c r="T673" t="str">
        <f t="shared" si="94"/>
        <v>On Time</v>
      </c>
      <c r="U673" t="str">
        <f t="shared" si="95"/>
        <v>Low</v>
      </c>
      <c r="V673" t="str">
        <f t="shared" si="96"/>
        <v>Low Risk</v>
      </c>
      <c r="W673" t="str">
        <f t="shared" si="97"/>
        <v>Jul</v>
      </c>
      <c r="X673">
        <f t="shared" si="98"/>
        <v>2025</v>
      </c>
    </row>
    <row r="674" spans="1:24" x14ac:dyDescent="0.35">
      <c r="A674" s="3">
        <v>45785</v>
      </c>
      <c r="B674" t="s">
        <v>311</v>
      </c>
      <c r="C674" t="s">
        <v>109</v>
      </c>
      <c r="D674" t="s">
        <v>820</v>
      </c>
      <c r="E674" t="s">
        <v>41</v>
      </c>
      <c r="F674" t="s">
        <v>48</v>
      </c>
      <c r="G674" t="s">
        <v>71</v>
      </c>
      <c r="H674">
        <v>39</v>
      </c>
      <c r="I674">
        <v>2826</v>
      </c>
      <c r="J674">
        <v>65</v>
      </c>
      <c r="K674">
        <v>10.199999999999999</v>
      </c>
      <c r="L674" t="s">
        <v>43</v>
      </c>
      <c r="M674">
        <v>25419.63</v>
      </c>
      <c r="N674">
        <v>10738</v>
      </c>
      <c r="O674" t="s">
        <v>31</v>
      </c>
      <c r="P674" t="str">
        <f t="shared" si="90"/>
        <v>Yes</v>
      </c>
      <c r="Q674">
        <f t="shared" si="91"/>
        <v>72.459999999999994</v>
      </c>
      <c r="R674">
        <f t="shared" si="92"/>
        <v>8.99</v>
      </c>
      <c r="S674">
        <f t="shared" si="93"/>
        <v>2.37</v>
      </c>
      <c r="T674" t="str">
        <f t="shared" si="94"/>
        <v>Delayed</v>
      </c>
      <c r="U674" t="str">
        <f t="shared" si="95"/>
        <v>Low</v>
      </c>
      <c r="V674" t="str">
        <f t="shared" si="96"/>
        <v>Low Risk</v>
      </c>
      <c r="W674" t="str">
        <f t="shared" si="97"/>
        <v>May</v>
      </c>
      <c r="X674">
        <f t="shared" si="98"/>
        <v>2025</v>
      </c>
    </row>
    <row r="675" spans="1:24" x14ac:dyDescent="0.35">
      <c r="A675" s="3">
        <v>45691</v>
      </c>
      <c r="B675" t="s">
        <v>167</v>
      </c>
      <c r="C675" t="s">
        <v>57</v>
      </c>
      <c r="D675" t="s">
        <v>821</v>
      </c>
      <c r="E675" t="s">
        <v>28</v>
      </c>
      <c r="F675" t="s">
        <v>41</v>
      </c>
      <c r="G675" t="s">
        <v>42</v>
      </c>
      <c r="H675">
        <v>40</v>
      </c>
      <c r="I675">
        <v>4501</v>
      </c>
      <c r="J675">
        <v>97</v>
      </c>
      <c r="K675">
        <v>17.7</v>
      </c>
      <c r="L675" t="s">
        <v>30</v>
      </c>
      <c r="M675">
        <v>24839.41</v>
      </c>
      <c r="N675">
        <v>7365</v>
      </c>
      <c r="O675" t="s">
        <v>67</v>
      </c>
      <c r="P675" t="str">
        <f t="shared" si="90"/>
        <v>Yes</v>
      </c>
      <c r="Q675">
        <f t="shared" si="91"/>
        <v>112.53</v>
      </c>
      <c r="R675">
        <f t="shared" si="92"/>
        <v>5.52</v>
      </c>
      <c r="S675">
        <f t="shared" si="93"/>
        <v>3.37</v>
      </c>
      <c r="T675" t="str">
        <f t="shared" si="94"/>
        <v>Delayed</v>
      </c>
      <c r="U675" t="str">
        <f t="shared" si="95"/>
        <v>Medium</v>
      </c>
      <c r="V675" t="str">
        <f t="shared" si="96"/>
        <v>Medium Risk</v>
      </c>
      <c r="W675" t="str">
        <f t="shared" si="97"/>
        <v>Feb</v>
      </c>
      <c r="X675">
        <f t="shared" si="98"/>
        <v>2025</v>
      </c>
    </row>
    <row r="676" spans="1:24" x14ac:dyDescent="0.35">
      <c r="A676" s="3">
        <v>45677</v>
      </c>
      <c r="B676" t="s">
        <v>157</v>
      </c>
      <c r="C676" t="s">
        <v>130</v>
      </c>
      <c r="D676" t="s">
        <v>822</v>
      </c>
      <c r="E676" t="s">
        <v>54</v>
      </c>
      <c r="F676" t="s">
        <v>28</v>
      </c>
      <c r="G676" t="s">
        <v>35</v>
      </c>
      <c r="H676">
        <v>66.8</v>
      </c>
      <c r="I676">
        <v>3100</v>
      </c>
      <c r="J676">
        <v>60</v>
      </c>
      <c r="K676">
        <v>16.600000000000001</v>
      </c>
      <c r="L676" t="s">
        <v>43</v>
      </c>
      <c r="M676">
        <v>33619.730000000003</v>
      </c>
      <c r="N676">
        <v>14192</v>
      </c>
      <c r="O676" t="s">
        <v>44</v>
      </c>
      <c r="P676" t="str">
        <f t="shared" si="90"/>
        <v>Yes</v>
      </c>
      <c r="Q676">
        <f t="shared" si="91"/>
        <v>46.41</v>
      </c>
      <c r="R676">
        <f t="shared" si="92"/>
        <v>10.85</v>
      </c>
      <c r="S676">
        <f t="shared" si="93"/>
        <v>2.37</v>
      </c>
      <c r="T676" t="str">
        <f t="shared" si="94"/>
        <v>Delayed</v>
      </c>
      <c r="U676" t="str">
        <f t="shared" si="95"/>
        <v>High</v>
      </c>
      <c r="V676" t="str">
        <f t="shared" si="96"/>
        <v>Low Risk</v>
      </c>
      <c r="W676" t="str">
        <f t="shared" si="97"/>
        <v>Jan</v>
      </c>
      <c r="X676">
        <f t="shared" si="98"/>
        <v>2025</v>
      </c>
    </row>
    <row r="677" spans="1:24" x14ac:dyDescent="0.35">
      <c r="A677" s="3">
        <v>45954</v>
      </c>
      <c r="B677" t="s">
        <v>64</v>
      </c>
      <c r="C677" t="s">
        <v>109</v>
      </c>
      <c r="D677" t="s">
        <v>823</v>
      </c>
      <c r="E677" t="s">
        <v>66</v>
      </c>
      <c r="F677" t="s">
        <v>41</v>
      </c>
      <c r="G677" t="s">
        <v>71</v>
      </c>
      <c r="H677">
        <v>45.3</v>
      </c>
      <c r="I677">
        <v>3441</v>
      </c>
      <c r="J677">
        <v>94</v>
      </c>
      <c r="K677">
        <v>21.6</v>
      </c>
      <c r="L677" t="s">
        <v>30</v>
      </c>
      <c r="M677">
        <v>29500.959999999999</v>
      </c>
      <c r="N677">
        <v>26904</v>
      </c>
      <c r="O677" t="s">
        <v>44</v>
      </c>
      <c r="P677" t="str">
        <f t="shared" si="90"/>
        <v>Yes</v>
      </c>
      <c r="Q677">
        <f t="shared" si="91"/>
        <v>75.959999999999994</v>
      </c>
      <c r="R677">
        <f t="shared" si="92"/>
        <v>8.57</v>
      </c>
      <c r="S677">
        <f t="shared" si="93"/>
        <v>1.1000000000000001</v>
      </c>
      <c r="T677" t="str">
        <f t="shared" si="94"/>
        <v>Delayed</v>
      </c>
      <c r="U677" t="str">
        <f t="shared" si="95"/>
        <v>Medium</v>
      </c>
      <c r="V677" t="str">
        <f t="shared" si="96"/>
        <v>Medium Risk</v>
      </c>
      <c r="W677" t="str">
        <f t="shared" si="97"/>
        <v>Oct</v>
      </c>
      <c r="X677">
        <f t="shared" si="98"/>
        <v>2025</v>
      </c>
    </row>
    <row r="678" spans="1:24" x14ac:dyDescent="0.35">
      <c r="A678" s="3">
        <v>45989</v>
      </c>
      <c r="B678" t="s">
        <v>125</v>
      </c>
      <c r="C678" t="s">
        <v>39</v>
      </c>
      <c r="D678" t="s">
        <v>824</v>
      </c>
      <c r="E678" t="s">
        <v>54</v>
      </c>
      <c r="F678" t="s">
        <v>48</v>
      </c>
      <c r="G678" t="s">
        <v>35</v>
      </c>
      <c r="H678">
        <v>20.100000000000001</v>
      </c>
      <c r="I678">
        <v>2301</v>
      </c>
      <c r="J678">
        <v>22</v>
      </c>
      <c r="K678">
        <v>12.2</v>
      </c>
      <c r="L678" t="s">
        <v>43</v>
      </c>
      <c r="M678">
        <v>12641.44</v>
      </c>
      <c r="N678">
        <v>20718</v>
      </c>
      <c r="O678" t="s">
        <v>84</v>
      </c>
      <c r="P678" t="str">
        <f t="shared" si="90"/>
        <v>Yes</v>
      </c>
      <c r="Q678">
        <f t="shared" si="91"/>
        <v>114.48</v>
      </c>
      <c r="R678">
        <f t="shared" si="92"/>
        <v>5.49</v>
      </c>
      <c r="S678">
        <f t="shared" si="93"/>
        <v>0.61</v>
      </c>
      <c r="T678" t="str">
        <f t="shared" si="94"/>
        <v>Delayed</v>
      </c>
      <c r="U678" t="str">
        <f t="shared" si="95"/>
        <v>Low</v>
      </c>
      <c r="V678" t="str">
        <f t="shared" si="96"/>
        <v>Low Risk</v>
      </c>
      <c r="W678" t="str">
        <f t="shared" si="97"/>
        <v>Nov</v>
      </c>
      <c r="X678">
        <f t="shared" si="98"/>
        <v>2025</v>
      </c>
    </row>
    <row r="679" spans="1:24" x14ac:dyDescent="0.35">
      <c r="A679" s="3">
        <v>45842</v>
      </c>
      <c r="B679" t="s">
        <v>102</v>
      </c>
      <c r="C679" t="s">
        <v>52</v>
      </c>
      <c r="D679" t="s">
        <v>825</v>
      </c>
      <c r="E679" t="s">
        <v>63</v>
      </c>
      <c r="F679" t="s">
        <v>54</v>
      </c>
      <c r="G679" t="s">
        <v>42</v>
      </c>
      <c r="H679">
        <v>30.3</v>
      </c>
      <c r="I679">
        <v>2196</v>
      </c>
      <c r="J679">
        <v>31</v>
      </c>
      <c r="K679">
        <v>13.1</v>
      </c>
      <c r="L679" t="s">
        <v>43</v>
      </c>
      <c r="M679">
        <v>14005.51</v>
      </c>
      <c r="N679">
        <v>11494</v>
      </c>
      <c r="O679" t="s">
        <v>59</v>
      </c>
      <c r="P679" t="str">
        <f t="shared" si="90"/>
        <v>Yes</v>
      </c>
      <c r="Q679">
        <f t="shared" si="91"/>
        <v>72.48</v>
      </c>
      <c r="R679">
        <f t="shared" si="92"/>
        <v>6.38</v>
      </c>
      <c r="S679">
        <f t="shared" si="93"/>
        <v>1.22</v>
      </c>
      <c r="T679" t="str">
        <f t="shared" si="94"/>
        <v>Delayed</v>
      </c>
      <c r="U679" t="str">
        <f t="shared" si="95"/>
        <v>Low</v>
      </c>
      <c r="V679" t="str">
        <f t="shared" si="96"/>
        <v>Low Risk</v>
      </c>
      <c r="W679" t="str">
        <f t="shared" si="97"/>
        <v>Jul</v>
      </c>
      <c r="X679">
        <f t="shared" si="98"/>
        <v>2025</v>
      </c>
    </row>
    <row r="680" spans="1:24" x14ac:dyDescent="0.35">
      <c r="A680" s="3">
        <v>45927</v>
      </c>
      <c r="B680" t="s">
        <v>98</v>
      </c>
      <c r="C680" t="s">
        <v>57</v>
      </c>
      <c r="D680" t="s">
        <v>826</v>
      </c>
      <c r="E680" t="s">
        <v>54</v>
      </c>
      <c r="F680" t="s">
        <v>63</v>
      </c>
      <c r="G680" t="s">
        <v>35</v>
      </c>
      <c r="H680">
        <v>34.1</v>
      </c>
      <c r="I680">
        <v>1632</v>
      </c>
      <c r="J680">
        <v>99</v>
      </c>
      <c r="K680">
        <v>15.1</v>
      </c>
      <c r="L680" t="s">
        <v>49</v>
      </c>
      <c r="M680">
        <v>19794.150000000001</v>
      </c>
      <c r="N680">
        <v>5084</v>
      </c>
      <c r="O680" t="s">
        <v>84</v>
      </c>
      <c r="P680" t="str">
        <f t="shared" si="90"/>
        <v>Yes</v>
      </c>
      <c r="Q680">
        <f t="shared" si="91"/>
        <v>47.86</v>
      </c>
      <c r="R680">
        <f t="shared" si="92"/>
        <v>12.13</v>
      </c>
      <c r="S680">
        <f t="shared" si="93"/>
        <v>3.89</v>
      </c>
      <c r="T680" t="str">
        <f t="shared" si="94"/>
        <v>Delayed</v>
      </c>
      <c r="U680" t="str">
        <f t="shared" si="95"/>
        <v>Low</v>
      </c>
      <c r="V680" t="str">
        <f t="shared" si="96"/>
        <v>High Risk</v>
      </c>
      <c r="W680" t="str">
        <f t="shared" si="97"/>
        <v>Sep</v>
      </c>
      <c r="X680">
        <f t="shared" si="98"/>
        <v>2025</v>
      </c>
    </row>
    <row r="681" spans="1:24" x14ac:dyDescent="0.35">
      <c r="A681" s="3">
        <v>45784</v>
      </c>
      <c r="B681" t="s">
        <v>366</v>
      </c>
      <c r="C681" t="s">
        <v>25</v>
      </c>
      <c r="D681" t="s">
        <v>827</v>
      </c>
      <c r="E681" t="s">
        <v>63</v>
      </c>
      <c r="F681" t="s">
        <v>48</v>
      </c>
      <c r="G681" t="s">
        <v>35</v>
      </c>
      <c r="H681">
        <v>23.7</v>
      </c>
      <c r="I681">
        <v>4658</v>
      </c>
      <c r="J681">
        <v>39</v>
      </c>
      <c r="K681">
        <v>17.7</v>
      </c>
      <c r="L681" t="s">
        <v>30</v>
      </c>
      <c r="M681">
        <v>14186</v>
      </c>
      <c r="N681">
        <v>29633</v>
      </c>
      <c r="O681" t="s">
        <v>91</v>
      </c>
      <c r="P681" t="str">
        <f t="shared" si="90"/>
        <v>Yes</v>
      </c>
      <c r="Q681">
        <f t="shared" si="91"/>
        <v>196.54</v>
      </c>
      <c r="R681">
        <f t="shared" si="92"/>
        <v>3.05</v>
      </c>
      <c r="S681">
        <f t="shared" si="93"/>
        <v>0.48</v>
      </c>
      <c r="T681" t="str">
        <f t="shared" si="94"/>
        <v>Delayed</v>
      </c>
      <c r="U681" t="str">
        <f t="shared" si="95"/>
        <v>Low</v>
      </c>
      <c r="V681" t="str">
        <f t="shared" si="96"/>
        <v>Medium Risk</v>
      </c>
      <c r="W681" t="str">
        <f t="shared" si="97"/>
        <v>May</v>
      </c>
      <c r="X681">
        <f t="shared" si="98"/>
        <v>2025</v>
      </c>
    </row>
    <row r="682" spans="1:24" x14ac:dyDescent="0.35">
      <c r="A682" s="3">
        <v>45792</v>
      </c>
      <c r="B682" t="s">
        <v>123</v>
      </c>
      <c r="C682" t="s">
        <v>39</v>
      </c>
      <c r="D682" t="s">
        <v>828</v>
      </c>
      <c r="E682" t="s">
        <v>48</v>
      </c>
      <c r="F682" t="s">
        <v>41</v>
      </c>
      <c r="G682" t="s">
        <v>29</v>
      </c>
      <c r="H682">
        <v>71.2</v>
      </c>
      <c r="I682">
        <v>4476</v>
      </c>
      <c r="J682">
        <v>111</v>
      </c>
      <c r="K682">
        <v>15.3</v>
      </c>
      <c r="L682" t="s">
        <v>30</v>
      </c>
      <c r="M682">
        <v>44665.48</v>
      </c>
      <c r="N682">
        <v>14314</v>
      </c>
      <c r="O682" t="s">
        <v>84</v>
      </c>
      <c r="P682" t="str">
        <f t="shared" si="90"/>
        <v>Yes</v>
      </c>
      <c r="Q682">
        <f t="shared" si="91"/>
        <v>62.87</v>
      </c>
      <c r="R682">
        <f t="shared" si="92"/>
        <v>9.98</v>
      </c>
      <c r="S682">
        <f t="shared" si="93"/>
        <v>3.12</v>
      </c>
      <c r="T682" t="str">
        <f t="shared" si="94"/>
        <v>Delayed</v>
      </c>
      <c r="U682" t="str">
        <f t="shared" si="95"/>
        <v>High</v>
      </c>
      <c r="V682" t="str">
        <f t="shared" si="96"/>
        <v>Medium Risk</v>
      </c>
      <c r="W682" t="str">
        <f t="shared" si="97"/>
        <v>May</v>
      </c>
      <c r="X682">
        <f t="shared" si="98"/>
        <v>2025</v>
      </c>
    </row>
    <row r="683" spans="1:24" x14ac:dyDescent="0.35">
      <c r="A683" s="3">
        <v>45769</v>
      </c>
      <c r="B683" t="s">
        <v>349</v>
      </c>
      <c r="C683" t="s">
        <v>39</v>
      </c>
      <c r="D683" t="s">
        <v>829</v>
      </c>
      <c r="E683" t="s">
        <v>63</v>
      </c>
      <c r="F683" t="s">
        <v>27</v>
      </c>
      <c r="G683" t="s">
        <v>35</v>
      </c>
      <c r="H683">
        <v>24.6</v>
      </c>
      <c r="I683">
        <v>1906</v>
      </c>
      <c r="J683">
        <v>55</v>
      </c>
      <c r="K683">
        <v>15.7</v>
      </c>
      <c r="L683" t="s">
        <v>30</v>
      </c>
      <c r="M683">
        <v>11744.59</v>
      </c>
      <c r="N683">
        <v>20296</v>
      </c>
      <c r="O683" t="s">
        <v>50</v>
      </c>
      <c r="P683" t="str">
        <f t="shared" si="90"/>
        <v>Yes</v>
      </c>
      <c r="Q683">
        <f t="shared" si="91"/>
        <v>77.48</v>
      </c>
      <c r="R683">
        <f t="shared" si="92"/>
        <v>6.16</v>
      </c>
      <c r="S683">
        <f t="shared" si="93"/>
        <v>0.57999999999999996</v>
      </c>
      <c r="T683" t="str">
        <f t="shared" si="94"/>
        <v>Delayed</v>
      </c>
      <c r="U683" t="str">
        <f t="shared" si="95"/>
        <v>Low</v>
      </c>
      <c r="V683" t="str">
        <f t="shared" si="96"/>
        <v>Medium Risk</v>
      </c>
      <c r="W683" t="str">
        <f t="shared" si="97"/>
        <v>Apr</v>
      </c>
      <c r="X683">
        <f t="shared" si="98"/>
        <v>2025</v>
      </c>
    </row>
    <row r="684" spans="1:24" x14ac:dyDescent="0.35">
      <c r="A684" s="3">
        <v>45969</v>
      </c>
      <c r="B684" t="s">
        <v>300</v>
      </c>
      <c r="C684" t="s">
        <v>39</v>
      </c>
      <c r="D684" t="s">
        <v>830</v>
      </c>
      <c r="E684" t="s">
        <v>41</v>
      </c>
      <c r="F684" t="s">
        <v>66</v>
      </c>
      <c r="G684" t="s">
        <v>29</v>
      </c>
      <c r="H684">
        <v>25.6</v>
      </c>
      <c r="I684">
        <v>3908</v>
      </c>
      <c r="J684">
        <v>26</v>
      </c>
      <c r="K684">
        <v>15.9</v>
      </c>
      <c r="L684" t="s">
        <v>78</v>
      </c>
      <c r="M684">
        <v>17703.68</v>
      </c>
      <c r="N684">
        <v>29937</v>
      </c>
      <c r="O684" t="s">
        <v>36</v>
      </c>
      <c r="P684" t="str">
        <f t="shared" si="90"/>
        <v>No</v>
      </c>
      <c r="Q684">
        <f t="shared" si="91"/>
        <v>152.66</v>
      </c>
      <c r="R684">
        <f t="shared" si="92"/>
        <v>4.53</v>
      </c>
      <c r="S684">
        <f t="shared" si="93"/>
        <v>0.59</v>
      </c>
      <c r="T684" t="str">
        <f t="shared" si="94"/>
        <v>On Time</v>
      </c>
      <c r="U684" t="str">
        <f t="shared" si="95"/>
        <v>Low</v>
      </c>
      <c r="V684" t="str">
        <f t="shared" si="96"/>
        <v>Low Risk</v>
      </c>
      <c r="W684" t="str">
        <f t="shared" si="97"/>
        <v>Nov</v>
      </c>
      <c r="X684">
        <f t="shared" si="98"/>
        <v>2025</v>
      </c>
    </row>
    <row r="685" spans="1:24" x14ac:dyDescent="0.35">
      <c r="A685" s="3">
        <v>45730</v>
      </c>
      <c r="B685" t="s">
        <v>246</v>
      </c>
      <c r="C685" t="s">
        <v>69</v>
      </c>
      <c r="D685" t="s">
        <v>831</v>
      </c>
      <c r="E685" t="s">
        <v>54</v>
      </c>
      <c r="F685" t="s">
        <v>66</v>
      </c>
      <c r="G685" t="s">
        <v>29</v>
      </c>
      <c r="H685">
        <v>38.299999999999997</v>
      </c>
      <c r="I685">
        <v>2358</v>
      </c>
      <c r="J685">
        <v>63</v>
      </c>
      <c r="K685">
        <v>10.8</v>
      </c>
      <c r="L685" t="s">
        <v>30</v>
      </c>
      <c r="M685">
        <v>23289.13</v>
      </c>
      <c r="N685">
        <v>5444</v>
      </c>
      <c r="O685" t="s">
        <v>36</v>
      </c>
      <c r="P685" t="str">
        <f t="shared" si="90"/>
        <v>Yes</v>
      </c>
      <c r="Q685">
        <f t="shared" si="91"/>
        <v>61.57</v>
      </c>
      <c r="R685">
        <f t="shared" si="92"/>
        <v>9.8800000000000008</v>
      </c>
      <c r="S685">
        <f t="shared" si="93"/>
        <v>4.28</v>
      </c>
      <c r="T685" t="str">
        <f t="shared" si="94"/>
        <v>Delayed</v>
      </c>
      <c r="U685" t="str">
        <f t="shared" si="95"/>
        <v>Low</v>
      </c>
      <c r="V685" t="str">
        <f t="shared" si="96"/>
        <v>Medium Risk</v>
      </c>
      <c r="W685" t="str">
        <f t="shared" si="97"/>
        <v>Mar</v>
      </c>
      <c r="X685">
        <f t="shared" si="98"/>
        <v>2025</v>
      </c>
    </row>
    <row r="686" spans="1:24" x14ac:dyDescent="0.35">
      <c r="A686" s="3">
        <v>45719</v>
      </c>
      <c r="B686" t="s">
        <v>82</v>
      </c>
      <c r="C686" t="s">
        <v>95</v>
      </c>
      <c r="D686" t="s">
        <v>832</v>
      </c>
      <c r="E686" t="s">
        <v>66</v>
      </c>
      <c r="F686" t="s">
        <v>48</v>
      </c>
      <c r="G686" t="s">
        <v>35</v>
      </c>
      <c r="H686">
        <v>58</v>
      </c>
      <c r="I686">
        <v>2308</v>
      </c>
      <c r="J686">
        <v>50</v>
      </c>
      <c r="K686">
        <v>18.3</v>
      </c>
      <c r="L686" t="s">
        <v>43</v>
      </c>
      <c r="M686">
        <v>34972.54</v>
      </c>
      <c r="N686">
        <v>27916</v>
      </c>
      <c r="O686" t="s">
        <v>44</v>
      </c>
      <c r="P686" t="str">
        <f t="shared" si="90"/>
        <v>Yes</v>
      </c>
      <c r="Q686">
        <f t="shared" si="91"/>
        <v>39.79</v>
      </c>
      <c r="R686">
        <f t="shared" si="92"/>
        <v>15.15</v>
      </c>
      <c r="S686">
        <f t="shared" si="93"/>
        <v>1.25</v>
      </c>
      <c r="T686" t="str">
        <f t="shared" si="94"/>
        <v>Delayed</v>
      </c>
      <c r="U686" t="str">
        <f t="shared" si="95"/>
        <v>Medium</v>
      </c>
      <c r="V686" t="str">
        <f t="shared" si="96"/>
        <v>Low Risk</v>
      </c>
      <c r="W686" t="str">
        <f t="shared" si="97"/>
        <v>Mar</v>
      </c>
      <c r="X686">
        <f t="shared" si="98"/>
        <v>2025</v>
      </c>
    </row>
    <row r="687" spans="1:24" x14ac:dyDescent="0.35">
      <c r="A687" s="3">
        <v>45865</v>
      </c>
      <c r="B687" t="s">
        <v>291</v>
      </c>
      <c r="C687" t="s">
        <v>95</v>
      </c>
      <c r="D687" t="s">
        <v>833</v>
      </c>
      <c r="E687" t="s">
        <v>48</v>
      </c>
      <c r="F687" t="s">
        <v>55</v>
      </c>
      <c r="G687" t="s">
        <v>29</v>
      </c>
      <c r="H687">
        <v>25.8</v>
      </c>
      <c r="I687">
        <v>2624</v>
      </c>
      <c r="J687">
        <v>116</v>
      </c>
      <c r="K687">
        <v>17.3</v>
      </c>
      <c r="L687" t="s">
        <v>78</v>
      </c>
      <c r="M687">
        <v>16151.27</v>
      </c>
      <c r="N687">
        <v>9549</v>
      </c>
      <c r="O687" t="s">
        <v>59</v>
      </c>
      <c r="P687" t="str">
        <f t="shared" si="90"/>
        <v>No</v>
      </c>
      <c r="Q687">
        <f t="shared" si="91"/>
        <v>101.71</v>
      </c>
      <c r="R687">
        <f t="shared" si="92"/>
        <v>6.16</v>
      </c>
      <c r="S687">
        <f t="shared" si="93"/>
        <v>1.69</v>
      </c>
      <c r="T687" t="str">
        <f t="shared" si="94"/>
        <v>On Time</v>
      </c>
      <c r="U687" t="str">
        <f t="shared" si="95"/>
        <v>Low</v>
      </c>
      <c r="V687" t="str">
        <f t="shared" si="96"/>
        <v>Low Risk</v>
      </c>
      <c r="W687" t="str">
        <f t="shared" si="97"/>
        <v>Jul</v>
      </c>
      <c r="X687">
        <f t="shared" si="98"/>
        <v>2025</v>
      </c>
    </row>
    <row r="688" spans="1:24" x14ac:dyDescent="0.35">
      <c r="A688" s="3">
        <v>45892</v>
      </c>
      <c r="B688" t="s">
        <v>102</v>
      </c>
      <c r="C688" t="s">
        <v>25</v>
      </c>
      <c r="D688" t="s">
        <v>834</v>
      </c>
      <c r="E688" t="s">
        <v>48</v>
      </c>
      <c r="F688" t="s">
        <v>66</v>
      </c>
      <c r="G688" t="s">
        <v>29</v>
      </c>
      <c r="H688">
        <v>64.599999999999994</v>
      </c>
      <c r="I688">
        <v>893</v>
      </c>
      <c r="J688">
        <v>120</v>
      </c>
      <c r="K688">
        <v>11.5</v>
      </c>
      <c r="L688" t="s">
        <v>30</v>
      </c>
      <c r="M688">
        <v>36011.47</v>
      </c>
      <c r="N688">
        <v>11331</v>
      </c>
      <c r="O688" t="s">
        <v>50</v>
      </c>
      <c r="P688" t="str">
        <f t="shared" si="90"/>
        <v>Yes</v>
      </c>
      <c r="Q688">
        <f t="shared" si="91"/>
        <v>13.82</v>
      </c>
      <c r="R688">
        <f t="shared" si="92"/>
        <v>40.33</v>
      </c>
      <c r="S688">
        <f t="shared" si="93"/>
        <v>3.18</v>
      </c>
      <c r="T688" t="str">
        <f t="shared" si="94"/>
        <v>Delayed</v>
      </c>
      <c r="U688" t="str">
        <f t="shared" si="95"/>
        <v>High</v>
      </c>
      <c r="V688" t="str">
        <f t="shared" si="96"/>
        <v>Medium Risk</v>
      </c>
      <c r="W688" t="str">
        <f t="shared" si="97"/>
        <v>Aug</v>
      </c>
      <c r="X688">
        <f t="shared" si="98"/>
        <v>2025</v>
      </c>
    </row>
    <row r="689" spans="1:24" x14ac:dyDescent="0.35">
      <c r="A689" s="3">
        <v>45658</v>
      </c>
      <c r="B689" t="s">
        <v>115</v>
      </c>
      <c r="C689" t="s">
        <v>69</v>
      </c>
      <c r="D689" t="s">
        <v>835</v>
      </c>
      <c r="E689" t="s">
        <v>66</v>
      </c>
      <c r="F689" t="s">
        <v>48</v>
      </c>
      <c r="G689" t="s">
        <v>29</v>
      </c>
      <c r="H689">
        <v>52.3</v>
      </c>
      <c r="I689">
        <v>3908</v>
      </c>
      <c r="J689">
        <v>102</v>
      </c>
      <c r="K689">
        <v>17.8</v>
      </c>
      <c r="L689" t="s">
        <v>43</v>
      </c>
      <c r="M689">
        <v>24208.83</v>
      </c>
      <c r="N689">
        <v>25562</v>
      </c>
      <c r="O689" t="s">
        <v>36</v>
      </c>
      <c r="P689" t="str">
        <f t="shared" si="90"/>
        <v>Yes</v>
      </c>
      <c r="Q689">
        <f t="shared" si="91"/>
        <v>74.72</v>
      </c>
      <c r="R689">
        <f t="shared" si="92"/>
        <v>6.19</v>
      </c>
      <c r="S689">
        <f t="shared" si="93"/>
        <v>0.95</v>
      </c>
      <c r="T689" t="str">
        <f t="shared" si="94"/>
        <v>Delayed</v>
      </c>
      <c r="U689" t="str">
        <f t="shared" si="95"/>
        <v>Medium</v>
      </c>
      <c r="V689" t="str">
        <f t="shared" si="96"/>
        <v>Low Risk</v>
      </c>
      <c r="W689" t="str">
        <f t="shared" si="97"/>
        <v>Jan</v>
      </c>
      <c r="X689">
        <f t="shared" si="98"/>
        <v>2025</v>
      </c>
    </row>
    <row r="690" spans="1:24" x14ac:dyDescent="0.35">
      <c r="A690" s="3">
        <v>45664</v>
      </c>
      <c r="B690" t="s">
        <v>349</v>
      </c>
      <c r="C690" t="s">
        <v>109</v>
      </c>
      <c r="D690" t="s">
        <v>836</v>
      </c>
      <c r="E690" t="s">
        <v>54</v>
      </c>
      <c r="F690" t="s">
        <v>48</v>
      </c>
      <c r="G690" t="s">
        <v>29</v>
      </c>
      <c r="H690">
        <v>69.3</v>
      </c>
      <c r="I690">
        <v>3751</v>
      </c>
      <c r="J690">
        <v>83</v>
      </c>
      <c r="K690">
        <v>13.6</v>
      </c>
      <c r="L690" t="s">
        <v>49</v>
      </c>
      <c r="M690">
        <v>44483.41</v>
      </c>
      <c r="N690">
        <v>28204</v>
      </c>
      <c r="O690" t="s">
        <v>44</v>
      </c>
      <c r="P690" t="str">
        <f t="shared" si="90"/>
        <v>Yes</v>
      </c>
      <c r="Q690">
        <f t="shared" si="91"/>
        <v>54.13</v>
      </c>
      <c r="R690">
        <f t="shared" si="92"/>
        <v>11.86</v>
      </c>
      <c r="S690">
        <f t="shared" si="93"/>
        <v>1.58</v>
      </c>
      <c r="T690" t="str">
        <f t="shared" si="94"/>
        <v>Delayed</v>
      </c>
      <c r="U690" t="str">
        <f t="shared" si="95"/>
        <v>High</v>
      </c>
      <c r="V690" t="str">
        <f t="shared" si="96"/>
        <v>High Risk</v>
      </c>
      <c r="W690" t="str">
        <f t="shared" si="97"/>
        <v>Jan</v>
      </c>
      <c r="X690">
        <f t="shared" si="98"/>
        <v>2025</v>
      </c>
    </row>
    <row r="691" spans="1:24" x14ac:dyDescent="0.35">
      <c r="A691" s="3">
        <v>45676</v>
      </c>
      <c r="B691" t="s">
        <v>256</v>
      </c>
      <c r="C691" t="s">
        <v>39</v>
      </c>
      <c r="D691" t="s">
        <v>837</v>
      </c>
      <c r="E691" t="s">
        <v>63</v>
      </c>
      <c r="F691" t="s">
        <v>27</v>
      </c>
      <c r="G691" t="s">
        <v>71</v>
      </c>
      <c r="H691">
        <v>47.7</v>
      </c>
      <c r="I691">
        <v>1839</v>
      </c>
      <c r="J691">
        <v>102</v>
      </c>
      <c r="K691">
        <v>12.7</v>
      </c>
      <c r="L691" t="s">
        <v>30</v>
      </c>
      <c r="M691">
        <v>24252</v>
      </c>
      <c r="N691">
        <v>23591</v>
      </c>
      <c r="O691" t="s">
        <v>31</v>
      </c>
      <c r="P691" t="str">
        <f t="shared" si="90"/>
        <v>Yes</v>
      </c>
      <c r="Q691">
        <f t="shared" si="91"/>
        <v>38.549999999999997</v>
      </c>
      <c r="R691">
        <f t="shared" si="92"/>
        <v>13.19</v>
      </c>
      <c r="S691">
        <f t="shared" si="93"/>
        <v>1.03</v>
      </c>
      <c r="T691" t="str">
        <f t="shared" si="94"/>
        <v>Delayed</v>
      </c>
      <c r="U691" t="str">
        <f t="shared" si="95"/>
        <v>Medium</v>
      </c>
      <c r="V691" t="str">
        <f t="shared" si="96"/>
        <v>Medium Risk</v>
      </c>
      <c r="W691" t="str">
        <f t="shared" si="97"/>
        <v>Jan</v>
      </c>
      <c r="X691">
        <f t="shared" si="98"/>
        <v>2025</v>
      </c>
    </row>
    <row r="692" spans="1:24" x14ac:dyDescent="0.35">
      <c r="A692" s="3">
        <v>45849</v>
      </c>
      <c r="B692" t="s">
        <v>139</v>
      </c>
      <c r="C692" t="s">
        <v>52</v>
      </c>
      <c r="D692" t="s">
        <v>838</v>
      </c>
      <c r="E692" t="s">
        <v>28</v>
      </c>
      <c r="F692" t="s">
        <v>54</v>
      </c>
      <c r="G692" t="s">
        <v>42</v>
      </c>
      <c r="H692">
        <v>56.8</v>
      </c>
      <c r="I692">
        <v>2378</v>
      </c>
      <c r="J692">
        <v>30</v>
      </c>
      <c r="K692">
        <v>18.3</v>
      </c>
      <c r="L692" t="s">
        <v>43</v>
      </c>
      <c r="M692">
        <v>30725.34</v>
      </c>
      <c r="N692">
        <v>8548</v>
      </c>
      <c r="O692" t="s">
        <v>91</v>
      </c>
      <c r="P692" t="str">
        <f t="shared" si="90"/>
        <v>Yes</v>
      </c>
      <c r="Q692">
        <f t="shared" si="91"/>
        <v>41.87</v>
      </c>
      <c r="R692">
        <f t="shared" si="92"/>
        <v>12.92</v>
      </c>
      <c r="S692">
        <f t="shared" si="93"/>
        <v>3.59</v>
      </c>
      <c r="T692" t="str">
        <f t="shared" si="94"/>
        <v>Delayed</v>
      </c>
      <c r="U692" t="str">
        <f t="shared" si="95"/>
        <v>Medium</v>
      </c>
      <c r="V692" t="str">
        <f t="shared" si="96"/>
        <v>Low Risk</v>
      </c>
      <c r="W692" t="str">
        <f t="shared" si="97"/>
        <v>Jul</v>
      </c>
      <c r="X692">
        <f t="shared" si="98"/>
        <v>2025</v>
      </c>
    </row>
    <row r="693" spans="1:24" x14ac:dyDescent="0.35">
      <c r="A693" s="3">
        <v>45698</v>
      </c>
      <c r="B693" t="s">
        <v>188</v>
      </c>
      <c r="C693" t="s">
        <v>52</v>
      </c>
      <c r="D693" t="s">
        <v>839</v>
      </c>
      <c r="E693" t="s">
        <v>55</v>
      </c>
      <c r="F693" t="s">
        <v>63</v>
      </c>
      <c r="G693" t="s">
        <v>42</v>
      </c>
      <c r="H693">
        <v>67.7</v>
      </c>
      <c r="I693">
        <v>1250</v>
      </c>
      <c r="J693">
        <v>75</v>
      </c>
      <c r="K693">
        <v>13.7</v>
      </c>
      <c r="L693" t="s">
        <v>49</v>
      </c>
      <c r="M693">
        <v>34424.83</v>
      </c>
      <c r="N693">
        <v>18653</v>
      </c>
      <c r="O693" t="s">
        <v>84</v>
      </c>
      <c r="P693" t="str">
        <f t="shared" si="90"/>
        <v>Yes</v>
      </c>
      <c r="Q693">
        <f t="shared" si="91"/>
        <v>18.46</v>
      </c>
      <c r="R693">
        <f t="shared" si="92"/>
        <v>27.54</v>
      </c>
      <c r="S693">
        <f t="shared" si="93"/>
        <v>1.85</v>
      </c>
      <c r="T693" t="str">
        <f t="shared" si="94"/>
        <v>Delayed</v>
      </c>
      <c r="U693" t="str">
        <f t="shared" si="95"/>
        <v>High</v>
      </c>
      <c r="V693" t="str">
        <f t="shared" si="96"/>
        <v>High Risk</v>
      </c>
      <c r="W693" t="str">
        <f t="shared" si="97"/>
        <v>Feb</v>
      </c>
      <c r="X693">
        <f t="shared" si="98"/>
        <v>2025</v>
      </c>
    </row>
    <row r="694" spans="1:24" x14ac:dyDescent="0.35">
      <c r="A694" s="3">
        <v>45689</v>
      </c>
      <c r="B694" t="s">
        <v>76</v>
      </c>
      <c r="C694" t="s">
        <v>57</v>
      </c>
      <c r="D694" t="s">
        <v>840</v>
      </c>
      <c r="E694" t="s">
        <v>28</v>
      </c>
      <c r="F694" t="s">
        <v>48</v>
      </c>
      <c r="G694" t="s">
        <v>29</v>
      </c>
      <c r="H694">
        <v>76.3</v>
      </c>
      <c r="I694">
        <v>2354</v>
      </c>
      <c r="J694">
        <v>88</v>
      </c>
      <c r="K694">
        <v>19.3</v>
      </c>
      <c r="L694" t="s">
        <v>78</v>
      </c>
      <c r="M694">
        <v>50833.56</v>
      </c>
      <c r="N694">
        <v>19909</v>
      </c>
      <c r="O694" t="s">
        <v>84</v>
      </c>
      <c r="P694" t="str">
        <f t="shared" si="90"/>
        <v>No</v>
      </c>
      <c r="Q694">
        <f t="shared" si="91"/>
        <v>30.85</v>
      </c>
      <c r="R694">
        <f t="shared" si="92"/>
        <v>21.59</v>
      </c>
      <c r="S694">
        <f t="shared" si="93"/>
        <v>2.5499999999999998</v>
      </c>
      <c r="T694" t="str">
        <f t="shared" si="94"/>
        <v>On Time</v>
      </c>
      <c r="U694" t="str">
        <f t="shared" si="95"/>
        <v>High</v>
      </c>
      <c r="V694" t="str">
        <f t="shared" si="96"/>
        <v>Low Risk</v>
      </c>
      <c r="W694" t="str">
        <f t="shared" si="97"/>
        <v>Feb</v>
      </c>
      <c r="X694">
        <f t="shared" si="98"/>
        <v>2025</v>
      </c>
    </row>
    <row r="695" spans="1:24" x14ac:dyDescent="0.35">
      <c r="A695" s="3">
        <v>45789</v>
      </c>
      <c r="B695" t="s">
        <v>199</v>
      </c>
      <c r="C695" t="s">
        <v>69</v>
      </c>
      <c r="D695" t="s">
        <v>841</v>
      </c>
      <c r="E695" t="s">
        <v>48</v>
      </c>
      <c r="F695" t="s">
        <v>27</v>
      </c>
      <c r="G695" t="s">
        <v>71</v>
      </c>
      <c r="H695">
        <v>32.5</v>
      </c>
      <c r="I695">
        <v>2992</v>
      </c>
      <c r="J695">
        <v>113</v>
      </c>
      <c r="K695">
        <v>20</v>
      </c>
      <c r="L695" t="s">
        <v>49</v>
      </c>
      <c r="M695">
        <v>15130.16</v>
      </c>
      <c r="N695">
        <v>21545</v>
      </c>
      <c r="O695" t="s">
        <v>50</v>
      </c>
      <c r="P695" t="str">
        <f t="shared" si="90"/>
        <v>Yes</v>
      </c>
      <c r="Q695">
        <f t="shared" si="91"/>
        <v>92.06</v>
      </c>
      <c r="R695">
        <f t="shared" si="92"/>
        <v>5.0599999999999996</v>
      </c>
      <c r="S695">
        <f t="shared" si="93"/>
        <v>0.7</v>
      </c>
      <c r="T695" t="str">
        <f t="shared" si="94"/>
        <v>Delayed</v>
      </c>
      <c r="U695" t="str">
        <f t="shared" si="95"/>
        <v>Low</v>
      </c>
      <c r="V695" t="str">
        <f t="shared" si="96"/>
        <v>High Risk</v>
      </c>
      <c r="W695" t="str">
        <f t="shared" si="97"/>
        <v>May</v>
      </c>
      <c r="X695">
        <f t="shared" si="98"/>
        <v>2025</v>
      </c>
    </row>
    <row r="696" spans="1:24" x14ac:dyDescent="0.35">
      <c r="A696" s="3">
        <v>45873</v>
      </c>
      <c r="B696" t="s">
        <v>188</v>
      </c>
      <c r="C696" t="s">
        <v>69</v>
      </c>
      <c r="D696" t="s">
        <v>842</v>
      </c>
      <c r="E696" t="s">
        <v>55</v>
      </c>
      <c r="F696" t="s">
        <v>63</v>
      </c>
      <c r="G696" t="s">
        <v>42</v>
      </c>
      <c r="H696">
        <v>26.2</v>
      </c>
      <c r="I696">
        <v>1255</v>
      </c>
      <c r="J696">
        <v>69</v>
      </c>
      <c r="K696">
        <v>17.3</v>
      </c>
      <c r="L696" t="s">
        <v>78</v>
      </c>
      <c r="M696">
        <v>17507.57</v>
      </c>
      <c r="N696">
        <v>28501</v>
      </c>
      <c r="O696" t="s">
        <v>91</v>
      </c>
      <c r="P696" t="str">
        <f t="shared" si="90"/>
        <v>No</v>
      </c>
      <c r="Q696">
        <f t="shared" si="91"/>
        <v>47.9</v>
      </c>
      <c r="R696">
        <f t="shared" si="92"/>
        <v>13.95</v>
      </c>
      <c r="S696">
        <f t="shared" si="93"/>
        <v>0.61</v>
      </c>
      <c r="T696" t="str">
        <f t="shared" si="94"/>
        <v>On Time</v>
      </c>
      <c r="U696" t="str">
        <f t="shared" si="95"/>
        <v>Low</v>
      </c>
      <c r="V696" t="str">
        <f t="shared" si="96"/>
        <v>Low Risk</v>
      </c>
      <c r="W696" t="str">
        <f t="shared" si="97"/>
        <v>Aug</v>
      </c>
      <c r="X696">
        <f t="shared" si="98"/>
        <v>2025</v>
      </c>
    </row>
    <row r="697" spans="1:24" x14ac:dyDescent="0.35">
      <c r="A697" s="3">
        <v>45925</v>
      </c>
      <c r="B697" t="s">
        <v>167</v>
      </c>
      <c r="C697" t="s">
        <v>69</v>
      </c>
      <c r="D697" t="s">
        <v>843</v>
      </c>
      <c r="E697" t="s">
        <v>55</v>
      </c>
      <c r="F697" t="s">
        <v>66</v>
      </c>
      <c r="G697" t="s">
        <v>42</v>
      </c>
      <c r="H697">
        <v>56.3</v>
      </c>
      <c r="I697">
        <v>3702</v>
      </c>
      <c r="J697">
        <v>109</v>
      </c>
      <c r="K697">
        <v>13.8</v>
      </c>
      <c r="L697" t="s">
        <v>49</v>
      </c>
      <c r="M697">
        <v>26616.19</v>
      </c>
      <c r="N697">
        <v>26937</v>
      </c>
      <c r="O697" t="s">
        <v>44</v>
      </c>
      <c r="P697" t="str">
        <f t="shared" si="90"/>
        <v>Yes</v>
      </c>
      <c r="Q697">
        <f t="shared" si="91"/>
        <v>65.75</v>
      </c>
      <c r="R697">
        <f t="shared" si="92"/>
        <v>7.19</v>
      </c>
      <c r="S697">
        <f t="shared" si="93"/>
        <v>0.99</v>
      </c>
      <c r="T697" t="str">
        <f t="shared" si="94"/>
        <v>Delayed</v>
      </c>
      <c r="U697" t="str">
        <f t="shared" si="95"/>
        <v>Medium</v>
      </c>
      <c r="V697" t="str">
        <f t="shared" si="96"/>
        <v>High Risk</v>
      </c>
      <c r="W697" t="str">
        <f t="shared" si="97"/>
        <v>Sep</v>
      </c>
      <c r="X697">
        <f t="shared" si="98"/>
        <v>2025</v>
      </c>
    </row>
    <row r="698" spans="1:24" x14ac:dyDescent="0.35">
      <c r="A698" s="3">
        <v>45720</v>
      </c>
      <c r="B698" t="s">
        <v>61</v>
      </c>
      <c r="C698" t="s">
        <v>130</v>
      </c>
      <c r="D698" t="s">
        <v>844</v>
      </c>
      <c r="E698" t="s">
        <v>27</v>
      </c>
      <c r="F698" t="s">
        <v>48</v>
      </c>
      <c r="G698" t="s">
        <v>35</v>
      </c>
      <c r="H698">
        <v>69.2</v>
      </c>
      <c r="I698">
        <v>1477</v>
      </c>
      <c r="J698">
        <v>33</v>
      </c>
      <c r="K698">
        <v>12.7</v>
      </c>
      <c r="L698" t="s">
        <v>43</v>
      </c>
      <c r="M698">
        <v>46614.87</v>
      </c>
      <c r="N698">
        <v>17907</v>
      </c>
      <c r="O698" t="s">
        <v>91</v>
      </c>
      <c r="P698" t="str">
        <f t="shared" si="90"/>
        <v>Yes</v>
      </c>
      <c r="Q698">
        <f t="shared" si="91"/>
        <v>21.34</v>
      </c>
      <c r="R698">
        <f t="shared" si="92"/>
        <v>31.56</v>
      </c>
      <c r="S698">
        <f t="shared" si="93"/>
        <v>2.6</v>
      </c>
      <c r="T698" t="str">
        <f t="shared" si="94"/>
        <v>Delayed</v>
      </c>
      <c r="U698" t="str">
        <f t="shared" si="95"/>
        <v>High</v>
      </c>
      <c r="V698" t="str">
        <f t="shared" si="96"/>
        <v>Low Risk</v>
      </c>
      <c r="W698" t="str">
        <f t="shared" si="97"/>
        <v>Mar</v>
      </c>
      <c r="X698">
        <f t="shared" si="98"/>
        <v>2025</v>
      </c>
    </row>
    <row r="699" spans="1:24" x14ac:dyDescent="0.35">
      <c r="A699" s="3">
        <v>46009</v>
      </c>
      <c r="B699" t="s">
        <v>463</v>
      </c>
      <c r="C699" t="s">
        <v>39</v>
      </c>
      <c r="D699" t="s">
        <v>845</v>
      </c>
      <c r="E699" t="s">
        <v>41</v>
      </c>
      <c r="F699" t="s">
        <v>54</v>
      </c>
      <c r="G699" t="s">
        <v>71</v>
      </c>
      <c r="H699">
        <v>67.400000000000006</v>
      </c>
      <c r="I699">
        <v>3194</v>
      </c>
      <c r="J699">
        <v>26</v>
      </c>
      <c r="K699">
        <v>20</v>
      </c>
      <c r="L699" t="s">
        <v>78</v>
      </c>
      <c r="M699">
        <v>36815.9</v>
      </c>
      <c r="N699">
        <v>24879</v>
      </c>
      <c r="O699" t="s">
        <v>31</v>
      </c>
      <c r="P699" t="str">
        <f t="shared" si="90"/>
        <v>No</v>
      </c>
      <c r="Q699">
        <f t="shared" si="91"/>
        <v>47.39</v>
      </c>
      <c r="R699">
        <f t="shared" si="92"/>
        <v>11.53</v>
      </c>
      <c r="S699">
        <f t="shared" si="93"/>
        <v>1.48</v>
      </c>
      <c r="T699" t="str">
        <f t="shared" si="94"/>
        <v>On Time</v>
      </c>
      <c r="U699" t="str">
        <f t="shared" si="95"/>
        <v>High</v>
      </c>
      <c r="V699" t="str">
        <f t="shared" si="96"/>
        <v>Low Risk</v>
      </c>
      <c r="W699" t="str">
        <f t="shared" si="97"/>
        <v>Dec</v>
      </c>
      <c r="X699">
        <f t="shared" si="98"/>
        <v>2025</v>
      </c>
    </row>
    <row r="700" spans="1:24" x14ac:dyDescent="0.35">
      <c r="A700" s="3">
        <v>45677</v>
      </c>
      <c r="B700" t="s">
        <v>233</v>
      </c>
      <c r="C700" t="s">
        <v>95</v>
      </c>
      <c r="D700" t="s">
        <v>846</v>
      </c>
      <c r="E700" t="s">
        <v>54</v>
      </c>
      <c r="F700" t="s">
        <v>27</v>
      </c>
      <c r="G700" t="s">
        <v>71</v>
      </c>
      <c r="H700">
        <v>57</v>
      </c>
      <c r="I700">
        <v>4645</v>
      </c>
      <c r="J700">
        <v>110</v>
      </c>
      <c r="K700">
        <v>17.8</v>
      </c>
      <c r="L700" t="s">
        <v>78</v>
      </c>
      <c r="M700">
        <v>30759.95</v>
      </c>
      <c r="N700">
        <v>11078</v>
      </c>
      <c r="O700" t="s">
        <v>36</v>
      </c>
      <c r="P700" t="str">
        <f t="shared" si="90"/>
        <v>No</v>
      </c>
      <c r="Q700">
        <f t="shared" si="91"/>
        <v>81.489999999999995</v>
      </c>
      <c r="R700">
        <f t="shared" si="92"/>
        <v>6.62</v>
      </c>
      <c r="S700">
        <f t="shared" si="93"/>
        <v>2.78</v>
      </c>
      <c r="T700" t="str">
        <f t="shared" si="94"/>
        <v>On Time</v>
      </c>
      <c r="U700" t="str">
        <f t="shared" si="95"/>
        <v>Medium</v>
      </c>
      <c r="V700" t="str">
        <f t="shared" si="96"/>
        <v>Low Risk</v>
      </c>
      <c r="W700" t="str">
        <f t="shared" si="97"/>
        <v>Jan</v>
      </c>
      <c r="X700">
        <f t="shared" si="98"/>
        <v>2025</v>
      </c>
    </row>
    <row r="701" spans="1:24" x14ac:dyDescent="0.35">
      <c r="A701" s="3">
        <v>45876</v>
      </c>
      <c r="B701" t="s">
        <v>217</v>
      </c>
      <c r="C701" t="s">
        <v>109</v>
      </c>
      <c r="D701" t="s">
        <v>847</v>
      </c>
      <c r="E701" t="s">
        <v>63</v>
      </c>
      <c r="F701" t="s">
        <v>41</v>
      </c>
      <c r="G701" t="s">
        <v>35</v>
      </c>
      <c r="H701">
        <v>66.400000000000006</v>
      </c>
      <c r="I701">
        <v>4458</v>
      </c>
      <c r="J701">
        <v>21</v>
      </c>
      <c r="K701">
        <v>18</v>
      </c>
      <c r="L701" t="s">
        <v>78</v>
      </c>
      <c r="M701">
        <v>35585.32</v>
      </c>
      <c r="N701">
        <v>22943</v>
      </c>
      <c r="O701" t="s">
        <v>31</v>
      </c>
      <c r="P701" t="str">
        <f t="shared" si="90"/>
        <v>No</v>
      </c>
      <c r="Q701">
        <f t="shared" si="91"/>
        <v>67.14</v>
      </c>
      <c r="R701">
        <f t="shared" si="92"/>
        <v>7.98</v>
      </c>
      <c r="S701">
        <f t="shared" si="93"/>
        <v>1.55</v>
      </c>
      <c r="T701" t="str">
        <f t="shared" si="94"/>
        <v>On Time</v>
      </c>
      <c r="U701" t="str">
        <f t="shared" si="95"/>
        <v>High</v>
      </c>
      <c r="V701" t="str">
        <f t="shared" si="96"/>
        <v>Low Risk</v>
      </c>
      <c r="W701" t="str">
        <f t="shared" si="97"/>
        <v>Aug</v>
      </c>
      <c r="X701">
        <f t="shared" si="98"/>
        <v>2025</v>
      </c>
    </row>
    <row r="702" spans="1:24" x14ac:dyDescent="0.35">
      <c r="A702" s="3">
        <v>45896</v>
      </c>
      <c r="B702" t="s">
        <v>111</v>
      </c>
      <c r="C702" t="s">
        <v>52</v>
      </c>
      <c r="D702" t="s">
        <v>848</v>
      </c>
      <c r="E702" t="s">
        <v>28</v>
      </c>
      <c r="F702" t="s">
        <v>63</v>
      </c>
      <c r="G702" t="s">
        <v>35</v>
      </c>
      <c r="H702">
        <v>47.2</v>
      </c>
      <c r="I702">
        <v>4216</v>
      </c>
      <c r="J702">
        <v>42</v>
      </c>
      <c r="K702">
        <v>18.2</v>
      </c>
      <c r="L702" t="s">
        <v>30</v>
      </c>
      <c r="M702">
        <v>25974.83</v>
      </c>
      <c r="N702">
        <v>20315</v>
      </c>
      <c r="O702" t="s">
        <v>67</v>
      </c>
      <c r="P702" t="str">
        <f t="shared" si="90"/>
        <v>Yes</v>
      </c>
      <c r="Q702">
        <f t="shared" si="91"/>
        <v>89.32</v>
      </c>
      <c r="R702">
        <f t="shared" si="92"/>
        <v>6.16</v>
      </c>
      <c r="S702">
        <f t="shared" si="93"/>
        <v>1.28</v>
      </c>
      <c r="T702" t="str">
        <f t="shared" si="94"/>
        <v>Delayed</v>
      </c>
      <c r="U702" t="str">
        <f t="shared" si="95"/>
        <v>Medium</v>
      </c>
      <c r="V702" t="str">
        <f t="shared" si="96"/>
        <v>Medium Risk</v>
      </c>
      <c r="W702" t="str">
        <f t="shared" si="97"/>
        <v>Aug</v>
      </c>
      <c r="X702">
        <f t="shared" si="98"/>
        <v>2025</v>
      </c>
    </row>
    <row r="703" spans="1:24" x14ac:dyDescent="0.35">
      <c r="A703" s="3">
        <v>45762</v>
      </c>
      <c r="B703" t="s">
        <v>277</v>
      </c>
      <c r="C703" t="s">
        <v>57</v>
      </c>
      <c r="D703" t="s">
        <v>849</v>
      </c>
      <c r="E703" t="s">
        <v>54</v>
      </c>
      <c r="F703" t="s">
        <v>66</v>
      </c>
      <c r="G703" t="s">
        <v>42</v>
      </c>
      <c r="H703">
        <v>50.7</v>
      </c>
      <c r="I703">
        <v>2972</v>
      </c>
      <c r="J703">
        <v>120</v>
      </c>
      <c r="K703">
        <v>16.2</v>
      </c>
      <c r="L703" t="s">
        <v>43</v>
      </c>
      <c r="M703">
        <v>27950.66</v>
      </c>
      <c r="N703">
        <v>14153</v>
      </c>
      <c r="O703" t="s">
        <v>91</v>
      </c>
      <c r="P703" t="str">
        <f t="shared" si="90"/>
        <v>Yes</v>
      </c>
      <c r="Q703">
        <f t="shared" si="91"/>
        <v>58.62</v>
      </c>
      <c r="R703">
        <f t="shared" si="92"/>
        <v>9.4</v>
      </c>
      <c r="S703">
        <f t="shared" si="93"/>
        <v>1.97</v>
      </c>
      <c r="T703" t="str">
        <f t="shared" si="94"/>
        <v>Delayed</v>
      </c>
      <c r="U703" t="str">
        <f t="shared" si="95"/>
        <v>Medium</v>
      </c>
      <c r="V703" t="str">
        <f t="shared" si="96"/>
        <v>Low Risk</v>
      </c>
      <c r="W703" t="str">
        <f t="shared" si="97"/>
        <v>Apr</v>
      </c>
      <c r="X703">
        <f t="shared" si="98"/>
        <v>2025</v>
      </c>
    </row>
    <row r="704" spans="1:24" x14ac:dyDescent="0.35">
      <c r="A704" s="3">
        <v>45716</v>
      </c>
      <c r="B704" t="s">
        <v>366</v>
      </c>
      <c r="C704" t="s">
        <v>69</v>
      </c>
      <c r="D704" t="s">
        <v>850</v>
      </c>
      <c r="E704" t="s">
        <v>28</v>
      </c>
      <c r="F704" t="s">
        <v>55</v>
      </c>
      <c r="G704" t="s">
        <v>42</v>
      </c>
      <c r="H704">
        <v>63.4</v>
      </c>
      <c r="I704">
        <v>4425</v>
      </c>
      <c r="J704">
        <v>117</v>
      </c>
      <c r="K704">
        <v>19.7</v>
      </c>
      <c r="L704" t="s">
        <v>49</v>
      </c>
      <c r="M704">
        <v>38556.800000000003</v>
      </c>
      <c r="N704">
        <v>14439</v>
      </c>
      <c r="O704" t="s">
        <v>50</v>
      </c>
      <c r="P704" t="str">
        <f t="shared" si="90"/>
        <v>Yes</v>
      </c>
      <c r="Q704">
        <f t="shared" si="91"/>
        <v>69.790000000000006</v>
      </c>
      <c r="R704">
        <f t="shared" si="92"/>
        <v>8.7100000000000009</v>
      </c>
      <c r="S704">
        <f t="shared" si="93"/>
        <v>2.67</v>
      </c>
      <c r="T704" t="str">
        <f t="shared" si="94"/>
        <v>Delayed</v>
      </c>
      <c r="U704" t="str">
        <f t="shared" si="95"/>
        <v>High</v>
      </c>
      <c r="V704" t="str">
        <f t="shared" si="96"/>
        <v>High Risk</v>
      </c>
      <c r="W704" t="str">
        <f t="shared" si="97"/>
        <v>Feb</v>
      </c>
      <c r="X704">
        <f t="shared" si="98"/>
        <v>2025</v>
      </c>
    </row>
    <row r="705" spans="1:24" x14ac:dyDescent="0.35">
      <c r="A705" s="3">
        <v>45813</v>
      </c>
      <c r="B705" t="s">
        <v>104</v>
      </c>
      <c r="C705" t="s">
        <v>25</v>
      </c>
      <c r="D705" t="s">
        <v>851</v>
      </c>
      <c r="E705" t="s">
        <v>66</v>
      </c>
      <c r="F705" t="s">
        <v>41</v>
      </c>
      <c r="G705" t="s">
        <v>35</v>
      </c>
      <c r="H705">
        <v>28.4</v>
      </c>
      <c r="I705">
        <v>3383</v>
      </c>
      <c r="J705">
        <v>28</v>
      </c>
      <c r="K705">
        <v>15.1</v>
      </c>
      <c r="L705" t="s">
        <v>78</v>
      </c>
      <c r="M705">
        <v>14556.43</v>
      </c>
      <c r="N705">
        <v>29743</v>
      </c>
      <c r="O705" t="s">
        <v>50</v>
      </c>
      <c r="P705" t="str">
        <f t="shared" si="90"/>
        <v>No</v>
      </c>
      <c r="Q705">
        <f t="shared" si="91"/>
        <v>119.12</v>
      </c>
      <c r="R705">
        <f t="shared" si="92"/>
        <v>4.3</v>
      </c>
      <c r="S705">
        <f t="shared" si="93"/>
        <v>0.49</v>
      </c>
      <c r="T705" t="str">
        <f t="shared" si="94"/>
        <v>On Time</v>
      </c>
      <c r="U705" t="str">
        <f t="shared" si="95"/>
        <v>Low</v>
      </c>
      <c r="V705" t="str">
        <f t="shared" si="96"/>
        <v>Low Risk</v>
      </c>
      <c r="W705" t="str">
        <f t="shared" si="97"/>
        <v>Jun</v>
      </c>
      <c r="X705">
        <f t="shared" si="98"/>
        <v>2025</v>
      </c>
    </row>
    <row r="706" spans="1:24" x14ac:dyDescent="0.35">
      <c r="A706" s="3">
        <v>45873</v>
      </c>
      <c r="B706" t="s">
        <v>217</v>
      </c>
      <c r="C706" t="s">
        <v>109</v>
      </c>
      <c r="D706" t="s">
        <v>852</v>
      </c>
      <c r="E706" t="s">
        <v>41</v>
      </c>
      <c r="F706" t="s">
        <v>63</v>
      </c>
      <c r="G706" t="s">
        <v>71</v>
      </c>
      <c r="H706">
        <v>23.6</v>
      </c>
      <c r="I706">
        <v>2565</v>
      </c>
      <c r="J706">
        <v>118</v>
      </c>
      <c r="K706">
        <v>13.6</v>
      </c>
      <c r="L706" t="s">
        <v>78</v>
      </c>
      <c r="M706">
        <v>14311.93</v>
      </c>
      <c r="N706">
        <v>23341</v>
      </c>
      <c r="O706" t="s">
        <v>91</v>
      </c>
      <c r="P706" t="str">
        <f t="shared" ref="P706:P769" si="99">IF(OR(L706="Rain",L706="Fog",L706="Storm"),"Yes","No")</f>
        <v>No</v>
      </c>
      <c r="Q706">
        <f t="shared" ref="Q706:Q769" si="100">ROUND(I706/H706,2)</f>
        <v>108.69</v>
      </c>
      <c r="R706">
        <f t="shared" ref="R706:R769" si="101">ROUND(M706/I706,2)</f>
        <v>5.58</v>
      </c>
      <c r="S706">
        <f t="shared" ref="S706:S769" si="102">ROUND(M706/N706,2)</f>
        <v>0.61</v>
      </c>
      <c r="T706" t="str">
        <f t="shared" ref="T706:T769" si="103">IF(P706="Yes","Delayed","On Time")</f>
        <v>On Time</v>
      </c>
      <c r="U706" t="str">
        <f t="shared" ref="U706:U769" si="104">IF(H706&gt;=60,"High",IF(H706&gt;=40,"Medium","Low"))</f>
        <v>Low</v>
      </c>
      <c r="V706" t="str">
        <f t="shared" ref="V706:V769" si="105">IF(L706="Storm","High Risk",IF(L706="Rain","Medium Risk","Low Risk"))</f>
        <v>Low Risk</v>
      </c>
      <c r="W706" t="str">
        <f t="shared" ref="W706:W769" si="106">TEXT(A706,"mmm")</f>
        <v>Aug</v>
      </c>
      <c r="X706">
        <f t="shared" si="98"/>
        <v>2025</v>
      </c>
    </row>
    <row r="707" spans="1:24" x14ac:dyDescent="0.35">
      <c r="A707" s="3">
        <v>45963</v>
      </c>
      <c r="B707" t="s">
        <v>250</v>
      </c>
      <c r="C707" t="s">
        <v>52</v>
      </c>
      <c r="D707" t="s">
        <v>853</v>
      </c>
      <c r="E707" t="s">
        <v>55</v>
      </c>
      <c r="F707" t="s">
        <v>48</v>
      </c>
      <c r="G707" t="s">
        <v>71</v>
      </c>
      <c r="H707">
        <v>79.3</v>
      </c>
      <c r="I707">
        <v>2696</v>
      </c>
      <c r="J707">
        <v>55</v>
      </c>
      <c r="K707">
        <v>21.7</v>
      </c>
      <c r="L707" t="s">
        <v>78</v>
      </c>
      <c r="M707">
        <v>55147.82</v>
      </c>
      <c r="N707">
        <v>8735</v>
      </c>
      <c r="O707" t="s">
        <v>31</v>
      </c>
      <c r="P707" t="str">
        <f t="shared" si="99"/>
        <v>No</v>
      </c>
      <c r="Q707">
        <f t="shared" si="100"/>
        <v>34</v>
      </c>
      <c r="R707">
        <f t="shared" si="101"/>
        <v>20.46</v>
      </c>
      <c r="S707">
        <f t="shared" si="102"/>
        <v>6.31</v>
      </c>
      <c r="T707" t="str">
        <f t="shared" si="103"/>
        <v>On Time</v>
      </c>
      <c r="U707" t="str">
        <f t="shared" si="104"/>
        <v>High</v>
      </c>
      <c r="V707" t="str">
        <f t="shared" si="105"/>
        <v>Low Risk</v>
      </c>
      <c r="W707" t="str">
        <f t="shared" si="106"/>
        <v>Nov</v>
      </c>
      <c r="X707">
        <f t="shared" ref="X707:X770" si="107">YEAR(A707)</f>
        <v>2025</v>
      </c>
    </row>
    <row r="708" spans="1:24" x14ac:dyDescent="0.35">
      <c r="A708" s="3">
        <v>45904</v>
      </c>
      <c r="B708" t="s">
        <v>430</v>
      </c>
      <c r="C708" t="s">
        <v>69</v>
      </c>
      <c r="D708" t="s">
        <v>854</v>
      </c>
      <c r="E708" t="s">
        <v>28</v>
      </c>
      <c r="F708" t="s">
        <v>41</v>
      </c>
      <c r="G708" t="s">
        <v>35</v>
      </c>
      <c r="H708">
        <v>62.9</v>
      </c>
      <c r="I708">
        <v>3582</v>
      </c>
      <c r="J708">
        <v>77</v>
      </c>
      <c r="K708">
        <v>10.4</v>
      </c>
      <c r="L708" t="s">
        <v>78</v>
      </c>
      <c r="M708">
        <v>39280.07</v>
      </c>
      <c r="N708">
        <v>13564</v>
      </c>
      <c r="O708" t="s">
        <v>91</v>
      </c>
      <c r="P708" t="str">
        <f t="shared" si="99"/>
        <v>No</v>
      </c>
      <c r="Q708">
        <f t="shared" si="100"/>
        <v>56.95</v>
      </c>
      <c r="R708">
        <f t="shared" si="101"/>
        <v>10.97</v>
      </c>
      <c r="S708">
        <f t="shared" si="102"/>
        <v>2.9</v>
      </c>
      <c r="T708" t="str">
        <f t="shared" si="103"/>
        <v>On Time</v>
      </c>
      <c r="U708" t="str">
        <f t="shared" si="104"/>
        <v>High</v>
      </c>
      <c r="V708" t="str">
        <f t="shared" si="105"/>
        <v>Low Risk</v>
      </c>
      <c r="W708" t="str">
        <f t="shared" si="106"/>
        <v>Sep</v>
      </c>
      <c r="X708">
        <f t="shared" si="107"/>
        <v>2025</v>
      </c>
    </row>
    <row r="709" spans="1:24" x14ac:dyDescent="0.35">
      <c r="A709" s="3">
        <v>45679</v>
      </c>
      <c r="B709" t="s">
        <v>256</v>
      </c>
      <c r="C709" t="s">
        <v>130</v>
      </c>
      <c r="D709" t="s">
        <v>855</v>
      </c>
      <c r="E709" t="s">
        <v>63</v>
      </c>
      <c r="F709" t="s">
        <v>27</v>
      </c>
      <c r="G709" t="s">
        <v>71</v>
      </c>
      <c r="H709">
        <v>30.4</v>
      </c>
      <c r="I709">
        <v>1022</v>
      </c>
      <c r="J709">
        <v>41</v>
      </c>
      <c r="K709">
        <v>10.7</v>
      </c>
      <c r="L709" t="s">
        <v>30</v>
      </c>
      <c r="M709">
        <v>16854.46</v>
      </c>
      <c r="N709">
        <v>8934</v>
      </c>
      <c r="O709" t="s">
        <v>91</v>
      </c>
      <c r="P709" t="str">
        <f t="shared" si="99"/>
        <v>Yes</v>
      </c>
      <c r="Q709">
        <f t="shared" si="100"/>
        <v>33.619999999999997</v>
      </c>
      <c r="R709">
        <f t="shared" si="101"/>
        <v>16.489999999999998</v>
      </c>
      <c r="S709">
        <f t="shared" si="102"/>
        <v>1.89</v>
      </c>
      <c r="T709" t="str">
        <f t="shared" si="103"/>
        <v>Delayed</v>
      </c>
      <c r="U709" t="str">
        <f t="shared" si="104"/>
        <v>Low</v>
      </c>
      <c r="V709" t="str">
        <f t="shared" si="105"/>
        <v>Medium Risk</v>
      </c>
      <c r="W709" t="str">
        <f t="shared" si="106"/>
        <v>Jan</v>
      </c>
      <c r="X709">
        <f t="shared" si="107"/>
        <v>2025</v>
      </c>
    </row>
    <row r="710" spans="1:24" x14ac:dyDescent="0.35">
      <c r="A710" s="3">
        <v>45699</v>
      </c>
      <c r="B710" t="s">
        <v>185</v>
      </c>
      <c r="C710" t="s">
        <v>69</v>
      </c>
      <c r="D710" t="s">
        <v>856</v>
      </c>
      <c r="E710" t="s">
        <v>27</v>
      </c>
      <c r="F710" t="s">
        <v>66</v>
      </c>
      <c r="G710" t="s">
        <v>29</v>
      </c>
      <c r="H710">
        <v>24.4</v>
      </c>
      <c r="I710">
        <v>4893</v>
      </c>
      <c r="J710">
        <v>119</v>
      </c>
      <c r="K710">
        <v>20.8</v>
      </c>
      <c r="L710" t="s">
        <v>78</v>
      </c>
      <c r="M710">
        <v>13974.59</v>
      </c>
      <c r="N710">
        <v>5694</v>
      </c>
      <c r="O710" t="s">
        <v>84</v>
      </c>
      <c r="P710" t="str">
        <f t="shared" si="99"/>
        <v>No</v>
      </c>
      <c r="Q710">
        <f t="shared" si="100"/>
        <v>200.53</v>
      </c>
      <c r="R710">
        <f t="shared" si="101"/>
        <v>2.86</v>
      </c>
      <c r="S710">
        <f t="shared" si="102"/>
        <v>2.4500000000000002</v>
      </c>
      <c r="T710" t="str">
        <f t="shared" si="103"/>
        <v>On Time</v>
      </c>
      <c r="U710" t="str">
        <f t="shared" si="104"/>
        <v>Low</v>
      </c>
      <c r="V710" t="str">
        <f t="shared" si="105"/>
        <v>Low Risk</v>
      </c>
      <c r="W710" t="str">
        <f t="shared" si="106"/>
        <v>Feb</v>
      </c>
      <c r="X710">
        <f t="shared" si="107"/>
        <v>2025</v>
      </c>
    </row>
    <row r="711" spans="1:24" x14ac:dyDescent="0.35">
      <c r="A711" s="3">
        <v>45667</v>
      </c>
      <c r="B711" t="s">
        <v>148</v>
      </c>
      <c r="C711" t="s">
        <v>130</v>
      </c>
      <c r="D711" t="s">
        <v>857</v>
      </c>
      <c r="E711" t="s">
        <v>27</v>
      </c>
      <c r="F711" t="s">
        <v>54</v>
      </c>
      <c r="G711" t="s">
        <v>71</v>
      </c>
      <c r="H711">
        <v>73.8</v>
      </c>
      <c r="I711">
        <v>4519</v>
      </c>
      <c r="J711">
        <v>31</v>
      </c>
      <c r="K711">
        <v>10.6</v>
      </c>
      <c r="L711" t="s">
        <v>78</v>
      </c>
      <c r="M711">
        <v>47256.86</v>
      </c>
      <c r="N711">
        <v>14127</v>
      </c>
      <c r="O711" t="s">
        <v>67</v>
      </c>
      <c r="P711" t="str">
        <f t="shared" si="99"/>
        <v>No</v>
      </c>
      <c r="Q711">
        <f t="shared" si="100"/>
        <v>61.23</v>
      </c>
      <c r="R711">
        <f t="shared" si="101"/>
        <v>10.46</v>
      </c>
      <c r="S711">
        <f t="shared" si="102"/>
        <v>3.35</v>
      </c>
      <c r="T711" t="str">
        <f t="shared" si="103"/>
        <v>On Time</v>
      </c>
      <c r="U711" t="str">
        <f t="shared" si="104"/>
        <v>High</v>
      </c>
      <c r="V711" t="str">
        <f t="shared" si="105"/>
        <v>Low Risk</v>
      </c>
      <c r="W711" t="str">
        <f t="shared" si="106"/>
        <v>Jan</v>
      </c>
      <c r="X711">
        <f t="shared" si="107"/>
        <v>2025</v>
      </c>
    </row>
    <row r="712" spans="1:24" x14ac:dyDescent="0.35">
      <c r="A712" s="3">
        <v>45689</v>
      </c>
      <c r="B712" t="s">
        <v>64</v>
      </c>
      <c r="C712" t="s">
        <v>130</v>
      </c>
      <c r="D712" t="s">
        <v>858</v>
      </c>
      <c r="E712" t="s">
        <v>63</v>
      </c>
      <c r="F712" t="s">
        <v>54</v>
      </c>
      <c r="G712" t="s">
        <v>42</v>
      </c>
      <c r="H712">
        <v>32.200000000000003</v>
      </c>
      <c r="I712">
        <v>2569</v>
      </c>
      <c r="J712">
        <v>24</v>
      </c>
      <c r="K712">
        <v>15.3</v>
      </c>
      <c r="L712" t="s">
        <v>78</v>
      </c>
      <c r="M712">
        <v>17063.39</v>
      </c>
      <c r="N712">
        <v>25406</v>
      </c>
      <c r="O712" t="s">
        <v>50</v>
      </c>
      <c r="P712" t="str">
        <f t="shared" si="99"/>
        <v>No</v>
      </c>
      <c r="Q712">
        <f t="shared" si="100"/>
        <v>79.78</v>
      </c>
      <c r="R712">
        <f t="shared" si="101"/>
        <v>6.64</v>
      </c>
      <c r="S712">
        <f t="shared" si="102"/>
        <v>0.67</v>
      </c>
      <c r="T712" t="str">
        <f t="shared" si="103"/>
        <v>On Time</v>
      </c>
      <c r="U712" t="str">
        <f t="shared" si="104"/>
        <v>Low</v>
      </c>
      <c r="V712" t="str">
        <f t="shared" si="105"/>
        <v>Low Risk</v>
      </c>
      <c r="W712" t="str">
        <f t="shared" si="106"/>
        <v>Feb</v>
      </c>
      <c r="X712">
        <f t="shared" si="107"/>
        <v>2025</v>
      </c>
    </row>
    <row r="713" spans="1:24" x14ac:dyDescent="0.35">
      <c r="A713" s="3">
        <v>45911</v>
      </c>
      <c r="B713" t="s">
        <v>185</v>
      </c>
      <c r="C713" t="s">
        <v>130</v>
      </c>
      <c r="D713" t="s">
        <v>859</v>
      </c>
      <c r="E713" t="s">
        <v>27</v>
      </c>
      <c r="F713" t="s">
        <v>63</v>
      </c>
      <c r="G713" t="s">
        <v>42</v>
      </c>
      <c r="H713">
        <v>23.4</v>
      </c>
      <c r="I713">
        <v>1373</v>
      </c>
      <c r="J713">
        <v>106</v>
      </c>
      <c r="K713">
        <v>20.7</v>
      </c>
      <c r="L713" t="s">
        <v>43</v>
      </c>
      <c r="M713">
        <v>12709.4</v>
      </c>
      <c r="N713">
        <v>25125</v>
      </c>
      <c r="O713" t="s">
        <v>59</v>
      </c>
      <c r="P713" t="str">
        <f t="shared" si="99"/>
        <v>Yes</v>
      </c>
      <c r="Q713">
        <f t="shared" si="100"/>
        <v>58.68</v>
      </c>
      <c r="R713">
        <f t="shared" si="101"/>
        <v>9.26</v>
      </c>
      <c r="S713">
        <f t="shared" si="102"/>
        <v>0.51</v>
      </c>
      <c r="T713" t="str">
        <f t="shared" si="103"/>
        <v>Delayed</v>
      </c>
      <c r="U713" t="str">
        <f t="shared" si="104"/>
        <v>Low</v>
      </c>
      <c r="V713" t="str">
        <f t="shared" si="105"/>
        <v>Low Risk</v>
      </c>
      <c r="W713" t="str">
        <f t="shared" si="106"/>
        <v>Sep</v>
      </c>
      <c r="X713">
        <f t="shared" si="107"/>
        <v>2025</v>
      </c>
    </row>
    <row r="714" spans="1:24" x14ac:dyDescent="0.35">
      <c r="A714" s="3">
        <v>45887</v>
      </c>
      <c r="B714" t="s">
        <v>430</v>
      </c>
      <c r="C714" t="s">
        <v>69</v>
      </c>
      <c r="D714" t="s">
        <v>860</v>
      </c>
      <c r="E714" t="s">
        <v>55</v>
      </c>
      <c r="F714" t="s">
        <v>63</v>
      </c>
      <c r="G714" t="s">
        <v>35</v>
      </c>
      <c r="H714">
        <v>79.599999999999994</v>
      </c>
      <c r="I714">
        <v>1609</v>
      </c>
      <c r="J714">
        <v>24</v>
      </c>
      <c r="K714">
        <v>10.3</v>
      </c>
      <c r="L714" t="s">
        <v>30</v>
      </c>
      <c r="M714">
        <v>41279.410000000003</v>
      </c>
      <c r="N714">
        <v>7875</v>
      </c>
      <c r="O714" t="s">
        <v>31</v>
      </c>
      <c r="P714" t="str">
        <f t="shared" si="99"/>
        <v>Yes</v>
      </c>
      <c r="Q714">
        <f t="shared" si="100"/>
        <v>20.21</v>
      </c>
      <c r="R714">
        <f t="shared" si="101"/>
        <v>25.66</v>
      </c>
      <c r="S714">
        <f t="shared" si="102"/>
        <v>5.24</v>
      </c>
      <c r="T714" t="str">
        <f t="shared" si="103"/>
        <v>Delayed</v>
      </c>
      <c r="U714" t="str">
        <f t="shared" si="104"/>
        <v>High</v>
      </c>
      <c r="V714" t="str">
        <f t="shared" si="105"/>
        <v>Medium Risk</v>
      </c>
      <c r="W714" t="str">
        <f t="shared" si="106"/>
        <v>Aug</v>
      </c>
      <c r="X714">
        <f t="shared" si="107"/>
        <v>2025</v>
      </c>
    </row>
    <row r="715" spans="1:24" x14ac:dyDescent="0.35">
      <c r="A715" s="3">
        <v>45914</v>
      </c>
      <c r="B715" t="s">
        <v>217</v>
      </c>
      <c r="C715" t="s">
        <v>69</v>
      </c>
      <c r="D715" t="s">
        <v>861</v>
      </c>
      <c r="E715" t="s">
        <v>66</v>
      </c>
      <c r="F715" t="s">
        <v>41</v>
      </c>
      <c r="G715" t="s">
        <v>35</v>
      </c>
      <c r="H715">
        <v>74.2</v>
      </c>
      <c r="I715">
        <v>2578</v>
      </c>
      <c r="J715">
        <v>104</v>
      </c>
      <c r="K715">
        <v>10.3</v>
      </c>
      <c r="L715" t="s">
        <v>43</v>
      </c>
      <c r="M715">
        <v>33669.760000000002</v>
      </c>
      <c r="N715">
        <v>26951</v>
      </c>
      <c r="O715" t="s">
        <v>91</v>
      </c>
      <c r="P715" t="str">
        <f t="shared" si="99"/>
        <v>Yes</v>
      </c>
      <c r="Q715">
        <f t="shared" si="100"/>
        <v>34.74</v>
      </c>
      <c r="R715">
        <f t="shared" si="101"/>
        <v>13.06</v>
      </c>
      <c r="S715">
        <f t="shared" si="102"/>
        <v>1.25</v>
      </c>
      <c r="T715" t="str">
        <f t="shared" si="103"/>
        <v>Delayed</v>
      </c>
      <c r="U715" t="str">
        <f t="shared" si="104"/>
        <v>High</v>
      </c>
      <c r="V715" t="str">
        <f t="shared" si="105"/>
        <v>Low Risk</v>
      </c>
      <c r="W715" t="str">
        <f t="shared" si="106"/>
        <v>Sep</v>
      </c>
      <c r="X715">
        <f t="shared" si="107"/>
        <v>2025</v>
      </c>
    </row>
    <row r="716" spans="1:24" x14ac:dyDescent="0.35">
      <c r="A716" s="3">
        <v>45698</v>
      </c>
      <c r="B716" t="s">
        <v>76</v>
      </c>
      <c r="C716" t="s">
        <v>52</v>
      </c>
      <c r="D716" t="s">
        <v>862</v>
      </c>
      <c r="E716" t="s">
        <v>55</v>
      </c>
      <c r="F716" t="s">
        <v>63</v>
      </c>
      <c r="G716" t="s">
        <v>71</v>
      </c>
      <c r="H716">
        <v>28.4</v>
      </c>
      <c r="I716">
        <v>1071</v>
      </c>
      <c r="J716">
        <v>35</v>
      </c>
      <c r="K716">
        <v>10.199999999999999</v>
      </c>
      <c r="L716" t="s">
        <v>49</v>
      </c>
      <c r="M716">
        <v>16736.759999999998</v>
      </c>
      <c r="N716">
        <v>25861</v>
      </c>
      <c r="O716" t="s">
        <v>50</v>
      </c>
      <c r="P716" t="str">
        <f t="shared" si="99"/>
        <v>Yes</v>
      </c>
      <c r="Q716">
        <f t="shared" si="100"/>
        <v>37.71</v>
      </c>
      <c r="R716">
        <f t="shared" si="101"/>
        <v>15.63</v>
      </c>
      <c r="S716">
        <f t="shared" si="102"/>
        <v>0.65</v>
      </c>
      <c r="T716" t="str">
        <f t="shared" si="103"/>
        <v>Delayed</v>
      </c>
      <c r="U716" t="str">
        <f t="shared" si="104"/>
        <v>Low</v>
      </c>
      <c r="V716" t="str">
        <f t="shared" si="105"/>
        <v>High Risk</v>
      </c>
      <c r="W716" t="str">
        <f t="shared" si="106"/>
        <v>Feb</v>
      </c>
      <c r="X716">
        <f t="shared" si="107"/>
        <v>2025</v>
      </c>
    </row>
    <row r="717" spans="1:24" x14ac:dyDescent="0.35">
      <c r="A717" s="3">
        <v>45713</v>
      </c>
      <c r="B717" t="s">
        <v>250</v>
      </c>
      <c r="C717" t="s">
        <v>69</v>
      </c>
      <c r="D717" t="s">
        <v>863</v>
      </c>
      <c r="E717" t="s">
        <v>28</v>
      </c>
      <c r="F717" t="s">
        <v>55</v>
      </c>
      <c r="G717" t="s">
        <v>35</v>
      </c>
      <c r="H717">
        <v>46</v>
      </c>
      <c r="I717">
        <v>1901</v>
      </c>
      <c r="J717">
        <v>71</v>
      </c>
      <c r="K717">
        <v>14.5</v>
      </c>
      <c r="L717" t="s">
        <v>30</v>
      </c>
      <c r="M717">
        <v>25605.88</v>
      </c>
      <c r="N717">
        <v>21124</v>
      </c>
      <c r="O717" t="s">
        <v>84</v>
      </c>
      <c r="P717" t="str">
        <f t="shared" si="99"/>
        <v>Yes</v>
      </c>
      <c r="Q717">
        <f t="shared" si="100"/>
        <v>41.33</v>
      </c>
      <c r="R717">
        <f t="shared" si="101"/>
        <v>13.47</v>
      </c>
      <c r="S717">
        <f t="shared" si="102"/>
        <v>1.21</v>
      </c>
      <c r="T717" t="str">
        <f t="shared" si="103"/>
        <v>Delayed</v>
      </c>
      <c r="U717" t="str">
        <f t="shared" si="104"/>
        <v>Medium</v>
      </c>
      <c r="V717" t="str">
        <f t="shared" si="105"/>
        <v>Medium Risk</v>
      </c>
      <c r="W717" t="str">
        <f t="shared" si="106"/>
        <v>Feb</v>
      </c>
      <c r="X717">
        <f t="shared" si="107"/>
        <v>2025</v>
      </c>
    </row>
    <row r="718" spans="1:24" x14ac:dyDescent="0.35">
      <c r="A718" s="3">
        <v>45714</v>
      </c>
      <c r="B718" t="s">
        <v>24</v>
      </c>
      <c r="C718" t="s">
        <v>130</v>
      </c>
      <c r="D718" t="s">
        <v>864</v>
      </c>
      <c r="E718" t="s">
        <v>41</v>
      </c>
      <c r="F718" t="s">
        <v>54</v>
      </c>
      <c r="G718" t="s">
        <v>29</v>
      </c>
      <c r="H718">
        <v>76.599999999999994</v>
      </c>
      <c r="I718">
        <v>3944</v>
      </c>
      <c r="J718">
        <v>69</v>
      </c>
      <c r="K718">
        <v>17.5</v>
      </c>
      <c r="L718" t="s">
        <v>43</v>
      </c>
      <c r="M718">
        <v>45547.46</v>
      </c>
      <c r="N718">
        <v>26425</v>
      </c>
      <c r="O718" t="s">
        <v>44</v>
      </c>
      <c r="P718" t="str">
        <f t="shared" si="99"/>
        <v>Yes</v>
      </c>
      <c r="Q718">
        <f t="shared" si="100"/>
        <v>51.49</v>
      </c>
      <c r="R718">
        <f t="shared" si="101"/>
        <v>11.55</v>
      </c>
      <c r="S718">
        <f t="shared" si="102"/>
        <v>1.72</v>
      </c>
      <c r="T718" t="str">
        <f t="shared" si="103"/>
        <v>Delayed</v>
      </c>
      <c r="U718" t="str">
        <f t="shared" si="104"/>
        <v>High</v>
      </c>
      <c r="V718" t="str">
        <f t="shared" si="105"/>
        <v>Low Risk</v>
      </c>
      <c r="W718" t="str">
        <f t="shared" si="106"/>
        <v>Feb</v>
      </c>
      <c r="X718">
        <f t="shared" si="107"/>
        <v>2025</v>
      </c>
    </row>
    <row r="719" spans="1:24" x14ac:dyDescent="0.35">
      <c r="A719" s="3">
        <v>45990</v>
      </c>
      <c r="B719" t="s">
        <v>256</v>
      </c>
      <c r="C719" t="s">
        <v>130</v>
      </c>
      <c r="D719" t="s">
        <v>865</v>
      </c>
      <c r="E719" t="s">
        <v>55</v>
      </c>
      <c r="F719" t="s">
        <v>28</v>
      </c>
      <c r="G719" t="s">
        <v>71</v>
      </c>
      <c r="H719">
        <v>61.3</v>
      </c>
      <c r="I719">
        <v>4888</v>
      </c>
      <c r="J719">
        <v>101</v>
      </c>
      <c r="K719">
        <v>10.199999999999999</v>
      </c>
      <c r="L719" t="s">
        <v>78</v>
      </c>
      <c r="M719">
        <v>39841.82</v>
      </c>
      <c r="N719">
        <v>7120</v>
      </c>
      <c r="O719" t="s">
        <v>50</v>
      </c>
      <c r="P719" t="str">
        <f t="shared" si="99"/>
        <v>No</v>
      </c>
      <c r="Q719">
        <f t="shared" si="100"/>
        <v>79.739999999999995</v>
      </c>
      <c r="R719">
        <f t="shared" si="101"/>
        <v>8.15</v>
      </c>
      <c r="S719">
        <f t="shared" si="102"/>
        <v>5.6</v>
      </c>
      <c r="T719" t="str">
        <f t="shared" si="103"/>
        <v>On Time</v>
      </c>
      <c r="U719" t="str">
        <f t="shared" si="104"/>
        <v>High</v>
      </c>
      <c r="V719" t="str">
        <f t="shared" si="105"/>
        <v>Low Risk</v>
      </c>
      <c r="W719" t="str">
        <f t="shared" si="106"/>
        <v>Nov</v>
      </c>
      <c r="X719">
        <f t="shared" si="107"/>
        <v>2025</v>
      </c>
    </row>
    <row r="720" spans="1:24" x14ac:dyDescent="0.35">
      <c r="A720" s="3">
        <v>45753</v>
      </c>
      <c r="B720" t="s">
        <v>108</v>
      </c>
      <c r="C720" t="s">
        <v>109</v>
      </c>
      <c r="D720" t="s">
        <v>866</v>
      </c>
      <c r="E720" t="s">
        <v>55</v>
      </c>
      <c r="F720" t="s">
        <v>28</v>
      </c>
      <c r="G720" t="s">
        <v>35</v>
      </c>
      <c r="H720">
        <v>71.3</v>
      </c>
      <c r="I720">
        <v>4182</v>
      </c>
      <c r="J720">
        <v>120</v>
      </c>
      <c r="K720">
        <v>19.600000000000001</v>
      </c>
      <c r="L720" t="s">
        <v>43</v>
      </c>
      <c r="M720">
        <v>43189.13</v>
      </c>
      <c r="N720">
        <v>12685</v>
      </c>
      <c r="O720" t="s">
        <v>44</v>
      </c>
      <c r="P720" t="str">
        <f t="shared" si="99"/>
        <v>Yes</v>
      </c>
      <c r="Q720">
        <f t="shared" si="100"/>
        <v>58.65</v>
      </c>
      <c r="R720">
        <f t="shared" si="101"/>
        <v>10.33</v>
      </c>
      <c r="S720">
        <f t="shared" si="102"/>
        <v>3.4</v>
      </c>
      <c r="T720" t="str">
        <f t="shared" si="103"/>
        <v>Delayed</v>
      </c>
      <c r="U720" t="str">
        <f t="shared" si="104"/>
        <v>High</v>
      </c>
      <c r="V720" t="str">
        <f t="shared" si="105"/>
        <v>Low Risk</v>
      </c>
      <c r="W720" t="str">
        <f t="shared" si="106"/>
        <v>Apr</v>
      </c>
      <c r="X720">
        <f t="shared" si="107"/>
        <v>2025</v>
      </c>
    </row>
    <row r="721" spans="1:24" x14ac:dyDescent="0.35">
      <c r="A721" s="3">
        <v>45735</v>
      </c>
      <c r="B721" t="s">
        <v>24</v>
      </c>
      <c r="C721" t="s">
        <v>130</v>
      </c>
      <c r="D721" t="s">
        <v>867</v>
      </c>
      <c r="E721" t="s">
        <v>66</v>
      </c>
      <c r="F721" t="s">
        <v>27</v>
      </c>
      <c r="G721" t="s">
        <v>42</v>
      </c>
      <c r="H721">
        <v>78.400000000000006</v>
      </c>
      <c r="I721">
        <v>3568</v>
      </c>
      <c r="J721">
        <v>95</v>
      </c>
      <c r="K721">
        <v>20.7</v>
      </c>
      <c r="L721" t="s">
        <v>49</v>
      </c>
      <c r="M721">
        <v>48583.83</v>
      </c>
      <c r="N721">
        <v>28084</v>
      </c>
      <c r="O721" t="s">
        <v>50</v>
      </c>
      <c r="P721" t="str">
        <f t="shared" si="99"/>
        <v>Yes</v>
      </c>
      <c r="Q721">
        <f t="shared" si="100"/>
        <v>45.51</v>
      </c>
      <c r="R721">
        <f t="shared" si="101"/>
        <v>13.62</v>
      </c>
      <c r="S721">
        <f t="shared" si="102"/>
        <v>1.73</v>
      </c>
      <c r="T721" t="str">
        <f t="shared" si="103"/>
        <v>Delayed</v>
      </c>
      <c r="U721" t="str">
        <f t="shared" si="104"/>
        <v>High</v>
      </c>
      <c r="V721" t="str">
        <f t="shared" si="105"/>
        <v>High Risk</v>
      </c>
      <c r="W721" t="str">
        <f t="shared" si="106"/>
        <v>Mar</v>
      </c>
      <c r="X721">
        <f t="shared" si="107"/>
        <v>2025</v>
      </c>
    </row>
    <row r="722" spans="1:24" x14ac:dyDescent="0.35">
      <c r="A722" s="3">
        <v>45955</v>
      </c>
      <c r="B722" t="s">
        <v>64</v>
      </c>
      <c r="C722" t="s">
        <v>69</v>
      </c>
      <c r="D722" t="s">
        <v>868</v>
      </c>
      <c r="E722" t="s">
        <v>27</v>
      </c>
      <c r="F722" t="s">
        <v>55</v>
      </c>
      <c r="G722" t="s">
        <v>29</v>
      </c>
      <c r="H722">
        <v>78.3</v>
      </c>
      <c r="I722">
        <v>1807</v>
      </c>
      <c r="J722">
        <v>108</v>
      </c>
      <c r="K722">
        <v>19.600000000000001</v>
      </c>
      <c r="L722" t="s">
        <v>78</v>
      </c>
      <c r="M722">
        <v>47008.17</v>
      </c>
      <c r="N722">
        <v>19293</v>
      </c>
      <c r="O722" t="s">
        <v>44</v>
      </c>
      <c r="P722" t="str">
        <f t="shared" si="99"/>
        <v>No</v>
      </c>
      <c r="Q722">
        <f t="shared" si="100"/>
        <v>23.08</v>
      </c>
      <c r="R722">
        <f t="shared" si="101"/>
        <v>26.01</v>
      </c>
      <c r="S722">
        <f t="shared" si="102"/>
        <v>2.44</v>
      </c>
      <c r="T722" t="str">
        <f t="shared" si="103"/>
        <v>On Time</v>
      </c>
      <c r="U722" t="str">
        <f t="shared" si="104"/>
        <v>High</v>
      </c>
      <c r="V722" t="str">
        <f t="shared" si="105"/>
        <v>Low Risk</v>
      </c>
      <c r="W722" t="str">
        <f t="shared" si="106"/>
        <v>Oct</v>
      </c>
      <c r="X722">
        <f t="shared" si="107"/>
        <v>2025</v>
      </c>
    </row>
    <row r="723" spans="1:24" x14ac:dyDescent="0.35">
      <c r="A723" s="3">
        <v>45815</v>
      </c>
      <c r="B723" t="s">
        <v>417</v>
      </c>
      <c r="C723" t="s">
        <v>69</v>
      </c>
      <c r="D723" t="s">
        <v>869</v>
      </c>
      <c r="E723" t="s">
        <v>54</v>
      </c>
      <c r="F723" t="s">
        <v>27</v>
      </c>
      <c r="G723" t="s">
        <v>71</v>
      </c>
      <c r="H723">
        <v>23.1</v>
      </c>
      <c r="I723">
        <v>1288</v>
      </c>
      <c r="J723">
        <v>46</v>
      </c>
      <c r="K723">
        <v>17.600000000000001</v>
      </c>
      <c r="L723" t="s">
        <v>78</v>
      </c>
      <c r="M723">
        <v>12614.28</v>
      </c>
      <c r="N723">
        <v>19657</v>
      </c>
      <c r="O723" t="s">
        <v>50</v>
      </c>
      <c r="P723" t="str">
        <f t="shared" si="99"/>
        <v>No</v>
      </c>
      <c r="Q723">
        <f t="shared" si="100"/>
        <v>55.76</v>
      </c>
      <c r="R723">
        <f t="shared" si="101"/>
        <v>9.7899999999999991</v>
      </c>
      <c r="S723">
        <f t="shared" si="102"/>
        <v>0.64</v>
      </c>
      <c r="T723" t="str">
        <f t="shared" si="103"/>
        <v>On Time</v>
      </c>
      <c r="U723" t="str">
        <f t="shared" si="104"/>
        <v>Low</v>
      </c>
      <c r="V723" t="str">
        <f t="shared" si="105"/>
        <v>Low Risk</v>
      </c>
      <c r="W723" t="str">
        <f t="shared" si="106"/>
        <v>Jun</v>
      </c>
      <c r="X723">
        <f t="shared" si="107"/>
        <v>2025</v>
      </c>
    </row>
    <row r="724" spans="1:24" x14ac:dyDescent="0.35">
      <c r="A724" s="3">
        <v>46017</v>
      </c>
      <c r="B724" t="s">
        <v>46</v>
      </c>
      <c r="C724" t="s">
        <v>130</v>
      </c>
      <c r="D724" t="s">
        <v>870</v>
      </c>
      <c r="E724" t="s">
        <v>54</v>
      </c>
      <c r="F724" t="s">
        <v>55</v>
      </c>
      <c r="G724" t="s">
        <v>35</v>
      </c>
      <c r="H724">
        <v>27.6</v>
      </c>
      <c r="I724">
        <v>1214</v>
      </c>
      <c r="J724">
        <v>29</v>
      </c>
      <c r="K724">
        <v>11.7</v>
      </c>
      <c r="L724" t="s">
        <v>30</v>
      </c>
      <c r="M724">
        <v>17640.96</v>
      </c>
      <c r="N724">
        <v>16074</v>
      </c>
      <c r="O724" t="s">
        <v>67</v>
      </c>
      <c r="P724" t="str">
        <f t="shared" si="99"/>
        <v>Yes</v>
      </c>
      <c r="Q724">
        <f t="shared" si="100"/>
        <v>43.99</v>
      </c>
      <c r="R724">
        <f t="shared" si="101"/>
        <v>14.53</v>
      </c>
      <c r="S724">
        <f t="shared" si="102"/>
        <v>1.1000000000000001</v>
      </c>
      <c r="T724" t="str">
        <f t="shared" si="103"/>
        <v>Delayed</v>
      </c>
      <c r="U724" t="str">
        <f t="shared" si="104"/>
        <v>Low</v>
      </c>
      <c r="V724" t="str">
        <f t="shared" si="105"/>
        <v>Medium Risk</v>
      </c>
      <c r="W724" t="str">
        <f t="shared" si="106"/>
        <v>Dec</v>
      </c>
      <c r="X724">
        <f t="shared" si="107"/>
        <v>2025</v>
      </c>
    </row>
    <row r="725" spans="1:24" x14ac:dyDescent="0.35">
      <c r="A725" s="3">
        <v>45908</v>
      </c>
      <c r="B725" t="s">
        <v>125</v>
      </c>
      <c r="C725" t="s">
        <v>39</v>
      </c>
      <c r="D725" t="s">
        <v>871</v>
      </c>
      <c r="E725" t="s">
        <v>66</v>
      </c>
      <c r="F725" t="s">
        <v>63</v>
      </c>
      <c r="G725" t="s">
        <v>29</v>
      </c>
      <c r="H725">
        <v>33.9</v>
      </c>
      <c r="I725">
        <v>2720</v>
      </c>
      <c r="J725">
        <v>113</v>
      </c>
      <c r="K725">
        <v>15.6</v>
      </c>
      <c r="L725" t="s">
        <v>78</v>
      </c>
      <c r="M725">
        <v>21519.72</v>
      </c>
      <c r="N725">
        <v>11005</v>
      </c>
      <c r="O725" t="s">
        <v>31</v>
      </c>
      <c r="P725" t="str">
        <f t="shared" si="99"/>
        <v>No</v>
      </c>
      <c r="Q725">
        <f t="shared" si="100"/>
        <v>80.239999999999995</v>
      </c>
      <c r="R725">
        <f t="shared" si="101"/>
        <v>7.91</v>
      </c>
      <c r="S725">
        <f t="shared" si="102"/>
        <v>1.96</v>
      </c>
      <c r="T725" t="str">
        <f t="shared" si="103"/>
        <v>On Time</v>
      </c>
      <c r="U725" t="str">
        <f t="shared" si="104"/>
        <v>Low</v>
      </c>
      <c r="V725" t="str">
        <f t="shared" si="105"/>
        <v>Low Risk</v>
      </c>
      <c r="W725" t="str">
        <f t="shared" si="106"/>
        <v>Sep</v>
      </c>
      <c r="X725">
        <f t="shared" si="107"/>
        <v>2025</v>
      </c>
    </row>
    <row r="726" spans="1:24" x14ac:dyDescent="0.35">
      <c r="A726" s="3">
        <v>45857</v>
      </c>
      <c r="B726" t="s">
        <v>195</v>
      </c>
      <c r="C726" t="s">
        <v>52</v>
      </c>
      <c r="D726" t="s">
        <v>872</v>
      </c>
      <c r="E726" t="s">
        <v>41</v>
      </c>
      <c r="F726" t="s">
        <v>66</v>
      </c>
      <c r="G726" t="s">
        <v>29</v>
      </c>
      <c r="H726">
        <v>65.7</v>
      </c>
      <c r="I726">
        <v>724</v>
      </c>
      <c r="J726">
        <v>48</v>
      </c>
      <c r="K726">
        <v>19.8</v>
      </c>
      <c r="L726" t="s">
        <v>30</v>
      </c>
      <c r="M726">
        <v>44841.02</v>
      </c>
      <c r="N726">
        <v>13533</v>
      </c>
      <c r="O726" t="s">
        <v>84</v>
      </c>
      <c r="P726" t="str">
        <f t="shared" si="99"/>
        <v>Yes</v>
      </c>
      <c r="Q726">
        <f t="shared" si="100"/>
        <v>11.02</v>
      </c>
      <c r="R726">
        <f t="shared" si="101"/>
        <v>61.94</v>
      </c>
      <c r="S726">
        <f t="shared" si="102"/>
        <v>3.31</v>
      </c>
      <c r="T726" t="str">
        <f t="shared" si="103"/>
        <v>Delayed</v>
      </c>
      <c r="U726" t="str">
        <f t="shared" si="104"/>
        <v>High</v>
      </c>
      <c r="V726" t="str">
        <f t="shared" si="105"/>
        <v>Medium Risk</v>
      </c>
      <c r="W726" t="str">
        <f t="shared" si="106"/>
        <v>Jul</v>
      </c>
      <c r="X726">
        <f t="shared" si="107"/>
        <v>2025</v>
      </c>
    </row>
    <row r="727" spans="1:24" x14ac:dyDescent="0.35">
      <c r="A727" s="3">
        <v>45664</v>
      </c>
      <c r="B727" t="s">
        <v>430</v>
      </c>
      <c r="C727" t="s">
        <v>25</v>
      </c>
      <c r="D727" t="s">
        <v>873</v>
      </c>
      <c r="E727" t="s">
        <v>41</v>
      </c>
      <c r="F727" t="s">
        <v>66</v>
      </c>
      <c r="G727" t="s">
        <v>29</v>
      </c>
      <c r="H727">
        <v>61.2</v>
      </c>
      <c r="I727">
        <v>1163</v>
      </c>
      <c r="J727">
        <v>115</v>
      </c>
      <c r="K727">
        <v>14.2</v>
      </c>
      <c r="L727" t="s">
        <v>30</v>
      </c>
      <c r="M727">
        <v>32493.040000000001</v>
      </c>
      <c r="N727">
        <v>10929</v>
      </c>
      <c r="O727" t="s">
        <v>91</v>
      </c>
      <c r="P727" t="str">
        <f t="shared" si="99"/>
        <v>Yes</v>
      </c>
      <c r="Q727">
        <f t="shared" si="100"/>
        <v>19</v>
      </c>
      <c r="R727">
        <f t="shared" si="101"/>
        <v>27.94</v>
      </c>
      <c r="S727">
        <f t="shared" si="102"/>
        <v>2.97</v>
      </c>
      <c r="T727" t="str">
        <f t="shared" si="103"/>
        <v>Delayed</v>
      </c>
      <c r="U727" t="str">
        <f t="shared" si="104"/>
        <v>High</v>
      </c>
      <c r="V727" t="str">
        <f t="shared" si="105"/>
        <v>Medium Risk</v>
      </c>
      <c r="W727" t="str">
        <f t="shared" si="106"/>
        <v>Jan</v>
      </c>
      <c r="X727">
        <f t="shared" si="107"/>
        <v>2025</v>
      </c>
    </row>
    <row r="728" spans="1:24" x14ac:dyDescent="0.35">
      <c r="A728" s="3">
        <v>45821</v>
      </c>
      <c r="B728" t="s">
        <v>309</v>
      </c>
      <c r="C728" t="s">
        <v>52</v>
      </c>
      <c r="D728" t="s">
        <v>874</v>
      </c>
      <c r="E728" t="s">
        <v>28</v>
      </c>
      <c r="F728" t="s">
        <v>63</v>
      </c>
      <c r="G728" t="s">
        <v>71</v>
      </c>
      <c r="H728">
        <v>77.2</v>
      </c>
      <c r="I728">
        <v>1054</v>
      </c>
      <c r="J728">
        <v>41</v>
      </c>
      <c r="K728">
        <v>13.2</v>
      </c>
      <c r="L728" t="s">
        <v>49</v>
      </c>
      <c r="M728">
        <v>41665.589999999997</v>
      </c>
      <c r="N728">
        <v>21478</v>
      </c>
      <c r="O728" t="s">
        <v>91</v>
      </c>
      <c r="P728" t="str">
        <f t="shared" si="99"/>
        <v>Yes</v>
      </c>
      <c r="Q728">
        <f t="shared" si="100"/>
        <v>13.65</v>
      </c>
      <c r="R728">
        <f t="shared" si="101"/>
        <v>39.53</v>
      </c>
      <c r="S728">
        <f t="shared" si="102"/>
        <v>1.94</v>
      </c>
      <c r="T728" t="str">
        <f t="shared" si="103"/>
        <v>Delayed</v>
      </c>
      <c r="U728" t="str">
        <f t="shared" si="104"/>
        <v>High</v>
      </c>
      <c r="V728" t="str">
        <f t="shared" si="105"/>
        <v>High Risk</v>
      </c>
      <c r="W728" t="str">
        <f t="shared" si="106"/>
        <v>Jun</v>
      </c>
      <c r="X728">
        <f t="shared" si="107"/>
        <v>2025</v>
      </c>
    </row>
    <row r="729" spans="1:24" x14ac:dyDescent="0.35">
      <c r="A729" s="3">
        <v>45825</v>
      </c>
      <c r="B729" t="s">
        <v>236</v>
      </c>
      <c r="C729" t="s">
        <v>25</v>
      </c>
      <c r="D729" t="s">
        <v>875</v>
      </c>
      <c r="E729" t="s">
        <v>27</v>
      </c>
      <c r="F729" t="s">
        <v>55</v>
      </c>
      <c r="G729" t="s">
        <v>29</v>
      </c>
      <c r="H729">
        <v>20.8</v>
      </c>
      <c r="I729">
        <v>3677</v>
      </c>
      <c r="J729">
        <v>52</v>
      </c>
      <c r="K729">
        <v>18</v>
      </c>
      <c r="L729" t="s">
        <v>43</v>
      </c>
      <c r="M729">
        <v>11946.11</v>
      </c>
      <c r="N729">
        <v>13752</v>
      </c>
      <c r="O729" t="s">
        <v>44</v>
      </c>
      <c r="P729" t="str">
        <f t="shared" si="99"/>
        <v>Yes</v>
      </c>
      <c r="Q729">
        <f t="shared" si="100"/>
        <v>176.78</v>
      </c>
      <c r="R729">
        <f t="shared" si="101"/>
        <v>3.25</v>
      </c>
      <c r="S729">
        <f t="shared" si="102"/>
        <v>0.87</v>
      </c>
      <c r="T729" t="str">
        <f t="shared" si="103"/>
        <v>Delayed</v>
      </c>
      <c r="U729" t="str">
        <f t="shared" si="104"/>
        <v>Low</v>
      </c>
      <c r="V729" t="str">
        <f t="shared" si="105"/>
        <v>Low Risk</v>
      </c>
      <c r="W729" t="str">
        <f t="shared" si="106"/>
        <v>Jun</v>
      </c>
      <c r="X729">
        <f t="shared" si="107"/>
        <v>2025</v>
      </c>
    </row>
    <row r="730" spans="1:24" x14ac:dyDescent="0.35">
      <c r="A730" s="3">
        <v>46021</v>
      </c>
      <c r="B730" t="s">
        <v>223</v>
      </c>
      <c r="C730" t="s">
        <v>95</v>
      </c>
      <c r="D730" t="s">
        <v>876</v>
      </c>
      <c r="E730" t="s">
        <v>66</v>
      </c>
      <c r="F730" t="s">
        <v>27</v>
      </c>
      <c r="G730" t="s">
        <v>35</v>
      </c>
      <c r="H730">
        <v>70.900000000000006</v>
      </c>
      <c r="I730">
        <v>4863</v>
      </c>
      <c r="J730">
        <v>61</v>
      </c>
      <c r="K730">
        <v>11.4</v>
      </c>
      <c r="L730" t="s">
        <v>43</v>
      </c>
      <c r="M730">
        <v>48270.62</v>
      </c>
      <c r="N730">
        <v>21149</v>
      </c>
      <c r="O730" t="s">
        <v>67</v>
      </c>
      <c r="P730" t="str">
        <f t="shared" si="99"/>
        <v>Yes</v>
      </c>
      <c r="Q730">
        <f t="shared" si="100"/>
        <v>68.59</v>
      </c>
      <c r="R730">
        <f t="shared" si="101"/>
        <v>9.93</v>
      </c>
      <c r="S730">
        <f t="shared" si="102"/>
        <v>2.2799999999999998</v>
      </c>
      <c r="T730" t="str">
        <f t="shared" si="103"/>
        <v>Delayed</v>
      </c>
      <c r="U730" t="str">
        <f t="shared" si="104"/>
        <v>High</v>
      </c>
      <c r="V730" t="str">
        <f t="shared" si="105"/>
        <v>Low Risk</v>
      </c>
      <c r="W730" t="str">
        <f t="shared" si="106"/>
        <v>Dec</v>
      </c>
      <c r="X730">
        <f t="shared" si="107"/>
        <v>2025</v>
      </c>
    </row>
    <row r="731" spans="1:24" x14ac:dyDescent="0.35">
      <c r="A731" s="3">
        <v>45870</v>
      </c>
      <c r="B731" t="s">
        <v>368</v>
      </c>
      <c r="C731" t="s">
        <v>109</v>
      </c>
      <c r="D731" t="s">
        <v>877</v>
      </c>
      <c r="E731" t="s">
        <v>27</v>
      </c>
      <c r="F731" t="s">
        <v>48</v>
      </c>
      <c r="G731" t="s">
        <v>71</v>
      </c>
      <c r="H731">
        <v>69.8</v>
      </c>
      <c r="I731">
        <v>4338</v>
      </c>
      <c r="J731">
        <v>20</v>
      </c>
      <c r="K731">
        <v>14.7</v>
      </c>
      <c r="L731" t="s">
        <v>78</v>
      </c>
      <c r="M731">
        <v>37462.11</v>
      </c>
      <c r="N731">
        <v>29454</v>
      </c>
      <c r="O731" t="s">
        <v>59</v>
      </c>
      <c r="P731" t="str">
        <f t="shared" si="99"/>
        <v>No</v>
      </c>
      <c r="Q731">
        <f t="shared" si="100"/>
        <v>62.15</v>
      </c>
      <c r="R731">
        <f t="shared" si="101"/>
        <v>8.64</v>
      </c>
      <c r="S731">
        <f t="shared" si="102"/>
        <v>1.27</v>
      </c>
      <c r="T731" t="str">
        <f t="shared" si="103"/>
        <v>On Time</v>
      </c>
      <c r="U731" t="str">
        <f t="shared" si="104"/>
        <v>High</v>
      </c>
      <c r="V731" t="str">
        <f t="shared" si="105"/>
        <v>Low Risk</v>
      </c>
      <c r="W731" t="str">
        <f t="shared" si="106"/>
        <v>Aug</v>
      </c>
      <c r="X731">
        <f t="shared" si="107"/>
        <v>2025</v>
      </c>
    </row>
    <row r="732" spans="1:24" x14ac:dyDescent="0.35">
      <c r="A732" s="3">
        <v>45740</v>
      </c>
      <c r="B732" t="s">
        <v>277</v>
      </c>
      <c r="C732" t="s">
        <v>130</v>
      </c>
      <c r="D732" t="s">
        <v>878</v>
      </c>
      <c r="E732" t="s">
        <v>48</v>
      </c>
      <c r="F732" t="s">
        <v>27</v>
      </c>
      <c r="G732" t="s">
        <v>29</v>
      </c>
      <c r="H732">
        <v>57.3</v>
      </c>
      <c r="I732">
        <v>2604</v>
      </c>
      <c r="J732">
        <v>76</v>
      </c>
      <c r="K732">
        <v>16.600000000000001</v>
      </c>
      <c r="L732" t="s">
        <v>49</v>
      </c>
      <c r="M732">
        <v>36958.53</v>
      </c>
      <c r="N732">
        <v>10624</v>
      </c>
      <c r="O732" t="s">
        <v>50</v>
      </c>
      <c r="P732" t="str">
        <f t="shared" si="99"/>
        <v>Yes</v>
      </c>
      <c r="Q732">
        <f t="shared" si="100"/>
        <v>45.45</v>
      </c>
      <c r="R732">
        <f t="shared" si="101"/>
        <v>14.19</v>
      </c>
      <c r="S732">
        <f t="shared" si="102"/>
        <v>3.48</v>
      </c>
      <c r="T732" t="str">
        <f t="shared" si="103"/>
        <v>Delayed</v>
      </c>
      <c r="U732" t="str">
        <f t="shared" si="104"/>
        <v>Medium</v>
      </c>
      <c r="V732" t="str">
        <f t="shared" si="105"/>
        <v>High Risk</v>
      </c>
      <c r="W732" t="str">
        <f t="shared" si="106"/>
        <v>Mar</v>
      </c>
      <c r="X732">
        <f t="shared" si="107"/>
        <v>2025</v>
      </c>
    </row>
    <row r="733" spans="1:24" x14ac:dyDescent="0.35">
      <c r="A733" s="3">
        <v>45915</v>
      </c>
      <c r="B733" t="s">
        <v>100</v>
      </c>
      <c r="C733" t="s">
        <v>130</v>
      </c>
      <c r="D733" t="s">
        <v>879</v>
      </c>
      <c r="E733" t="s">
        <v>28</v>
      </c>
      <c r="F733" t="s">
        <v>55</v>
      </c>
      <c r="G733" t="s">
        <v>71</v>
      </c>
      <c r="H733">
        <v>67.599999999999994</v>
      </c>
      <c r="I733">
        <v>2616</v>
      </c>
      <c r="J733">
        <v>79</v>
      </c>
      <c r="K733">
        <v>11.9</v>
      </c>
      <c r="L733" t="s">
        <v>78</v>
      </c>
      <c r="M733">
        <v>41122.019999999997</v>
      </c>
      <c r="N733">
        <v>19320</v>
      </c>
      <c r="O733" t="s">
        <v>59</v>
      </c>
      <c r="P733" t="str">
        <f t="shared" si="99"/>
        <v>No</v>
      </c>
      <c r="Q733">
        <f t="shared" si="100"/>
        <v>38.700000000000003</v>
      </c>
      <c r="R733">
        <f t="shared" si="101"/>
        <v>15.72</v>
      </c>
      <c r="S733">
        <f t="shared" si="102"/>
        <v>2.13</v>
      </c>
      <c r="T733" t="str">
        <f t="shared" si="103"/>
        <v>On Time</v>
      </c>
      <c r="U733" t="str">
        <f t="shared" si="104"/>
        <v>High</v>
      </c>
      <c r="V733" t="str">
        <f t="shared" si="105"/>
        <v>Low Risk</v>
      </c>
      <c r="W733" t="str">
        <f t="shared" si="106"/>
        <v>Sep</v>
      </c>
      <c r="X733">
        <f t="shared" si="107"/>
        <v>2025</v>
      </c>
    </row>
    <row r="734" spans="1:24" x14ac:dyDescent="0.35">
      <c r="A734" s="3">
        <v>45985</v>
      </c>
      <c r="B734" t="s">
        <v>106</v>
      </c>
      <c r="C734" t="s">
        <v>69</v>
      </c>
      <c r="D734" t="s">
        <v>880</v>
      </c>
      <c r="E734" t="s">
        <v>48</v>
      </c>
      <c r="F734" t="s">
        <v>41</v>
      </c>
      <c r="G734" t="s">
        <v>29</v>
      </c>
      <c r="H734">
        <v>50.3</v>
      </c>
      <c r="I734">
        <v>3029</v>
      </c>
      <c r="J734">
        <v>33</v>
      </c>
      <c r="K734">
        <v>19.7</v>
      </c>
      <c r="L734" t="s">
        <v>43</v>
      </c>
      <c r="M734">
        <v>34840.699999999997</v>
      </c>
      <c r="N734">
        <v>19165</v>
      </c>
      <c r="O734" t="s">
        <v>59</v>
      </c>
      <c r="P734" t="str">
        <f t="shared" si="99"/>
        <v>Yes</v>
      </c>
      <c r="Q734">
        <f t="shared" si="100"/>
        <v>60.22</v>
      </c>
      <c r="R734">
        <f t="shared" si="101"/>
        <v>11.5</v>
      </c>
      <c r="S734">
        <f t="shared" si="102"/>
        <v>1.82</v>
      </c>
      <c r="T734" t="str">
        <f t="shared" si="103"/>
        <v>Delayed</v>
      </c>
      <c r="U734" t="str">
        <f t="shared" si="104"/>
        <v>Medium</v>
      </c>
      <c r="V734" t="str">
        <f t="shared" si="105"/>
        <v>Low Risk</v>
      </c>
      <c r="W734" t="str">
        <f t="shared" si="106"/>
        <v>Nov</v>
      </c>
      <c r="X734">
        <f t="shared" si="107"/>
        <v>2025</v>
      </c>
    </row>
    <row r="735" spans="1:24" x14ac:dyDescent="0.35">
      <c r="A735" s="3">
        <v>45987</v>
      </c>
      <c r="B735" t="s">
        <v>61</v>
      </c>
      <c r="C735" t="s">
        <v>69</v>
      </c>
      <c r="D735" t="s">
        <v>881</v>
      </c>
      <c r="E735" t="s">
        <v>27</v>
      </c>
      <c r="F735" t="s">
        <v>41</v>
      </c>
      <c r="G735" t="s">
        <v>42</v>
      </c>
      <c r="H735">
        <v>65.099999999999994</v>
      </c>
      <c r="I735">
        <v>2646</v>
      </c>
      <c r="J735">
        <v>110</v>
      </c>
      <c r="K735">
        <v>10.7</v>
      </c>
      <c r="L735" t="s">
        <v>43</v>
      </c>
      <c r="M735">
        <v>34286.339999999997</v>
      </c>
      <c r="N735">
        <v>29942</v>
      </c>
      <c r="O735" t="s">
        <v>84</v>
      </c>
      <c r="P735" t="str">
        <f t="shared" si="99"/>
        <v>Yes</v>
      </c>
      <c r="Q735">
        <f t="shared" si="100"/>
        <v>40.65</v>
      </c>
      <c r="R735">
        <f t="shared" si="101"/>
        <v>12.96</v>
      </c>
      <c r="S735">
        <f t="shared" si="102"/>
        <v>1.1499999999999999</v>
      </c>
      <c r="T735" t="str">
        <f t="shared" si="103"/>
        <v>Delayed</v>
      </c>
      <c r="U735" t="str">
        <f t="shared" si="104"/>
        <v>High</v>
      </c>
      <c r="V735" t="str">
        <f t="shared" si="105"/>
        <v>Low Risk</v>
      </c>
      <c r="W735" t="str">
        <f t="shared" si="106"/>
        <v>Nov</v>
      </c>
      <c r="X735">
        <f t="shared" si="107"/>
        <v>2025</v>
      </c>
    </row>
    <row r="736" spans="1:24" x14ac:dyDescent="0.35">
      <c r="A736" s="3">
        <v>45964</v>
      </c>
      <c r="B736" t="s">
        <v>210</v>
      </c>
      <c r="C736" t="s">
        <v>130</v>
      </c>
      <c r="D736" t="s">
        <v>882</v>
      </c>
      <c r="E736" t="s">
        <v>27</v>
      </c>
      <c r="F736" t="s">
        <v>41</v>
      </c>
      <c r="G736" t="s">
        <v>35</v>
      </c>
      <c r="H736">
        <v>50.8</v>
      </c>
      <c r="I736">
        <v>620</v>
      </c>
      <c r="J736">
        <v>110</v>
      </c>
      <c r="K736">
        <v>15.7</v>
      </c>
      <c r="L736" t="s">
        <v>49</v>
      </c>
      <c r="M736">
        <v>31824.2</v>
      </c>
      <c r="N736">
        <v>27572</v>
      </c>
      <c r="O736" t="s">
        <v>67</v>
      </c>
      <c r="P736" t="str">
        <f t="shared" si="99"/>
        <v>Yes</v>
      </c>
      <c r="Q736">
        <f t="shared" si="100"/>
        <v>12.2</v>
      </c>
      <c r="R736">
        <f t="shared" si="101"/>
        <v>51.33</v>
      </c>
      <c r="S736">
        <f t="shared" si="102"/>
        <v>1.1499999999999999</v>
      </c>
      <c r="T736" t="str">
        <f t="shared" si="103"/>
        <v>Delayed</v>
      </c>
      <c r="U736" t="str">
        <f t="shared" si="104"/>
        <v>Medium</v>
      </c>
      <c r="V736" t="str">
        <f t="shared" si="105"/>
        <v>High Risk</v>
      </c>
      <c r="W736" t="str">
        <f t="shared" si="106"/>
        <v>Nov</v>
      </c>
      <c r="X736">
        <f t="shared" si="107"/>
        <v>2025</v>
      </c>
    </row>
    <row r="737" spans="1:24" x14ac:dyDescent="0.35">
      <c r="A737" s="3">
        <v>45714</v>
      </c>
      <c r="B737" t="s">
        <v>199</v>
      </c>
      <c r="C737" t="s">
        <v>57</v>
      </c>
      <c r="D737" t="s">
        <v>883</v>
      </c>
      <c r="E737" t="s">
        <v>41</v>
      </c>
      <c r="F737" t="s">
        <v>55</v>
      </c>
      <c r="G737" t="s">
        <v>29</v>
      </c>
      <c r="H737">
        <v>67</v>
      </c>
      <c r="I737">
        <v>758</v>
      </c>
      <c r="J737">
        <v>58</v>
      </c>
      <c r="K737">
        <v>18.600000000000001</v>
      </c>
      <c r="L737" t="s">
        <v>49</v>
      </c>
      <c r="M737">
        <v>45920.15</v>
      </c>
      <c r="N737">
        <v>8196</v>
      </c>
      <c r="O737" t="s">
        <v>84</v>
      </c>
      <c r="P737" t="str">
        <f t="shared" si="99"/>
        <v>Yes</v>
      </c>
      <c r="Q737">
        <f t="shared" si="100"/>
        <v>11.31</v>
      </c>
      <c r="R737">
        <f t="shared" si="101"/>
        <v>60.58</v>
      </c>
      <c r="S737">
        <f t="shared" si="102"/>
        <v>5.6</v>
      </c>
      <c r="T737" t="str">
        <f t="shared" si="103"/>
        <v>Delayed</v>
      </c>
      <c r="U737" t="str">
        <f t="shared" si="104"/>
        <v>High</v>
      </c>
      <c r="V737" t="str">
        <f t="shared" si="105"/>
        <v>High Risk</v>
      </c>
      <c r="W737" t="str">
        <f t="shared" si="106"/>
        <v>Feb</v>
      </c>
      <c r="X737">
        <f t="shared" si="107"/>
        <v>2025</v>
      </c>
    </row>
    <row r="738" spans="1:24" x14ac:dyDescent="0.35">
      <c r="A738" s="3">
        <v>45884</v>
      </c>
      <c r="B738" t="s">
        <v>125</v>
      </c>
      <c r="C738" t="s">
        <v>69</v>
      </c>
      <c r="D738" t="s">
        <v>884</v>
      </c>
      <c r="E738" t="s">
        <v>63</v>
      </c>
      <c r="F738" t="s">
        <v>66</v>
      </c>
      <c r="G738" t="s">
        <v>29</v>
      </c>
      <c r="H738">
        <v>41.2</v>
      </c>
      <c r="I738">
        <v>4808</v>
      </c>
      <c r="J738">
        <v>72</v>
      </c>
      <c r="K738">
        <v>13.3</v>
      </c>
      <c r="L738" t="s">
        <v>43</v>
      </c>
      <c r="M738">
        <v>23261.599999999999</v>
      </c>
      <c r="N738">
        <v>6257</v>
      </c>
      <c r="O738" t="s">
        <v>84</v>
      </c>
      <c r="P738" t="str">
        <f t="shared" si="99"/>
        <v>Yes</v>
      </c>
      <c r="Q738">
        <f t="shared" si="100"/>
        <v>116.7</v>
      </c>
      <c r="R738">
        <f t="shared" si="101"/>
        <v>4.84</v>
      </c>
      <c r="S738">
        <f t="shared" si="102"/>
        <v>3.72</v>
      </c>
      <c r="T738" t="str">
        <f t="shared" si="103"/>
        <v>Delayed</v>
      </c>
      <c r="U738" t="str">
        <f t="shared" si="104"/>
        <v>Medium</v>
      </c>
      <c r="V738" t="str">
        <f t="shared" si="105"/>
        <v>Low Risk</v>
      </c>
      <c r="W738" t="str">
        <f t="shared" si="106"/>
        <v>Aug</v>
      </c>
      <c r="X738">
        <f t="shared" si="107"/>
        <v>2025</v>
      </c>
    </row>
    <row r="739" spans="1:24" x14ac:dyDescent="0.35">
      <c r="A739" s="3">
        <v>45705</v>
      </c>
      <c r="B739" t="s">
        <v>185</v>
      </c>
      <c r="C739" t="s">
        <v>25</v>
      </c>
      <c r="D739" t="s">
        <v>885</v>
      </c>
      <c r="E739" t="s">
        <v>27</v>
      </c>
      <c r="F739" t="s">
        <v>66</v>
      </c>
      <c r="G739" t="s">
        <v>29</v>
      </c>
      <c r="H739">
        <v>78.900000000000006</v>
      </c>
      <c r="I739">
        <v>4222</v>
      </c>
      <c r="J739">
        <v>50</v>
      </c>
      <c r="K739">
        <v>17.5</v>
      </c>
      <c r="L739" t="s">
        <v>30</v>
      </c>
      <c r="M739">
        <v>52285.97</v>
      </c>
      <c r="N739">
        <v>21998</v>
      </c>
      <c r="O739" t="s">
        <v>91</v>
      </c>
      <c r="P739" t="str">
        <f t="shared" si="99"/>
        <v>Yes</v>
      </c>
      <c r="Q739">
        <f t="shared" si="100"/>
        <v>53.51</v>
      </c>
      <c r="R739">
        <f t="shared" si="101"/>
        <v>12.38</v>
      </c>
      <c r="S739">
        <f t="shared" si="102"/>
        <v>2.38</v>
      </c>
      <c r="T739" t="str">
        <f t="shared" si="103"/>
        <v>Delayed</v>
      </c>
      <c r="U739" t="str">
        <f t="shared" si="104"/>
        <v>High</v>
      </c>
      <c r="V739" t="str">
        <f t="shared" si="105"/>
        <v>Medium Risk</v>
      </c>
      <c r="W739" t="str">
        <f t="shared" si="106"/>
        <v>Feb</v>
      </c>
      <c r="X739">
        <f t="shared" si="107"/>
        <v>2025</v>
      </c>
    </row>
    <row r="740" spans="1:24" x14ac:dyDescent="0.35">
      <c r="A740" s="3">
        <v>45882</v>
      </c>
      <c r="B740" t="s">
        <v>150</v>
      </c>
      <c r="C740" t="s">
        <v>52</v>
      </c>
      <c r="D740" t="s">
        <v>886</v>
      </c>
      <c r="E740" t="s">
        <v>55</v>
      </c>
      <c r="F740" t="s">
        <v>41</v>
      </c>
      <c r="G740" t="s">
        <v>35</v>
      </c>
      <c r="H740">
        <v>28.9</v>
      </c>
      <c r="I740">
        <v>2830</v>
      </c>
      <c r="J740">
        <v>68</v>
      </c>
      <c r="K740">
        <v>20.6</v>
      </c>
      <c r="L740" t="s">
        <v>30</v>
      </c>
      <c r="M740">
        <v>18645.669999999998</v>
      </c>
      <c r="N740">
        <v>11654</v>
      </c>
      <c r="O740" t="s">
        <v>44</v>
      </c>
      <c r="P740" t="str">
        <f t="shared" si="99"/>
        <v>Yes</v>
      </c>
      <c r="Q740">
        <f t="shared" si="100"/>
        <v>97.92</v>
      </c>
      <c r="R740">
        <f t="shared" si="101"/>
        <v>6.59</v>
      </c>
      <c r="S740">
        <f t="shared" si="102"/>
        <v>1.6</v>
      </c>
      <c r="T740" t="str">
        <f t="shared" si="103"/>
        <v>Delayed</v>
      </c>
      <c r="U740" t="str">
        <f t="shared" si="104"/>
        <v>Low</v>
      </c>
      <c r="V740" t="str">
        <f t="shared" si="105"/>
        <v>Medium Risk</v>
      </c>
      <c r="W740" t="str">
        <f t="shared" si="106"/>
        <v>Aug</v>
      </c>
      <c r="X740">
        <f t="shared" si="107"/>
        <v>2025</v>
      </c>
    </row>
    <row r="741" spans="1:24" x14ac:dyDescent="0.35">
      <c r="A741" s="3">
        <v>45922</v>
      </c>
      <c r="B741" t="s">
        <v>173</v>
      </c>
      <c r="C741" t="s">
        <v>57</v>
      </c>
      <c r="D741" t="s">
        <v>887</v>
      </c>
      <c r="E741" t="s">
        <v>41</v>
      </c>
      <c r="F741" t="s">
        <v>28</v>
      </c>
      <c r="G741" t="s">
        <v>42</v>
      </c>
      <c r="H741">
        <v>44.5</v>
      </c>
      <c r="I741">
        <v>969</v>
      </c>
      <c r="J741">
        <v>58</v>
      </c>
      <c r="K741">
        <v>17.899999999999999</v>
      </c>
      <c r="L741" t="s">
        <v>78</v>
      </c>
      <c r="M741">
        <v>29775.83</v>
      </c>
      <c r="N741">
        <v>21697</v>
      </c>
      <c r="O741" t="s">
        <v>59</v>
      </c>
      <c r="P741" t="str">
        <f t="shared" si="99"/>
        <v>No</v>
      </c>
      <c r="Q741">
        <f t="shared" si="100"/>
        <v>21.78</v>
      </c>
      <c r="R741">
        <f t="shared" si="101"/>
        <v>30.73</v>
      </c>
      <c r="S741">
        <f t="shared" si="102"/>
        <v>1.37</v>
      </c>
      <c r="T741" t="str">
        <f t="shared" si="103"/>
        <v>On Time</v>
      </c>
      <c r="U741" t="str">
        <f t="shared" si="104"/>
        <v>Medium</v>
      </c>
      <c r="V741" t="str">
        <f t="shared" si="105"/>
        <v>Low Risk</v>
      </c>
      <c r="W741" t="str">
        <f t="shared" si="106"/>
        <v>Sep</v>
      </c>
      <c r="X741">
        <f t="shared" si="107"/>
        <v>2025</v>
      </c>
    </row>
    <row r="742" spans="1:24" x14ac:dyDescent="0.35">
      <c r="A742" s="3">
        <v>45856</v>
      </c>
      <c r="B742" t="s">
        <v>111</v>
      </c>
      <c r="C742" t="s">
        <v>130</v>
      </c>
      <c r="D742" t="s">
        <v>888</v>
      </c>
      <c r="E742" t="s">
        <v>48</v>
      </c>
      <c r="F742" t="s">
        <v>41</v>
      </c>
      <c r="G742" t="s">
        <v>42</v>
      </c>
      <c r="H742">
        <v>60.5</v>
      </c>
      <c r="I742">
        <v>653</v>
      </c>
      <c r="J742">
        <v>44</v>
      </c>
      <c r="K742">
        <v>17.899999999999999</v>
      </c>
      <c r="L742" t="s">
        <v>43</v>
      </c>
      <c r="M742">
        <v>28440.52</v>
      </c>
      <c r="N742">
        <v>6354</v>
      </c>
      <c r="O742" t="s">
        <v>44</v>
      </c>
      <c r="P742" t="str">
        <f t="shared" si="99"/>
        <v>Yes</v>
      </c>
      <c r="Q742">
        <f t="shared" si="100"/>
        <v>10.79</v>
      </c>
      <c r="R742">
        <f t="shared" si="101"/>
        <v>43.55</v>
      </c>
      <c r="S742">
        <f t="shared" si="102"/>
        <v>4.4800000000000004</v>
      </c>
      <c r="T742" t="str">
        <f t="shared" si="103"/>
        <v>Delayed</v>
      </c>
      <c r="U742" t="str">
        <f t="shared" si="104"/>
        <v>High</v>
      </c>
      <c r="V742" t="str">
        <f t="shared" si="105"/>
        <v>Low Risk</v>
      </c>
      <c r="W742" t="str">
        <f t="shared" si="106"/>
        <v>Jul</v>
      </c>
      <c r="X742">
        <f t="shared" si="107"/>
        <v>2025</v>
      </c>
    </row>
    <row r="743" spans="1:24" x14ac:dyDescent="0.35">
      <c r="A743" s="3">
        <v>45725</v>
      </c>
      <c r="B743" t="s">
        <v>221</v>
      </c>
      <c r="C743" t="s">
        <v>25</v>
      </c>
      <c r="D743" t="s">
        <v>889</v>
      </c>
      <c r="E743" t="s">
        <v>48</v>
      </c>
      <c r="F743" t="s">
        <v>66</v>
      </c>
      <c r="G743" t="s">
        <v>35</v>
      </c>
      <c r="H743">
        <v>49</v>
      </c>
      <c r="I743">
        <v>3665</v>
      </c>
      <c r="J743">
        <v>56</v>
      </c>
      <c r="K743">
        <v>14.5</v>
      </c>
      <c r="L743" t="s">
        <v>30</v>
      </c>
      <c r="M743">
        <v>28071.25</v>
      </c>
      <c r="N743">
        <v>15394</v>
      </c>
      <c r="O743" t="s">
        <v>36</v>
      </c>
      <c r="P743" t="str">
        <f t="shared" si="99"/>
        <v>Yes</v>
      </c>
      <c r="Q743">
        <f t="shared" si="100"/>
        <v>74.8</v>
      </c>
      <c r="R743">
        <f t="shared" si="101"/>
        <v>7.66</v>
      </c>
      <c r="S743">
        <f t="shared" si="102"/>
        <v>1.82</v>
      </c>
      <c r="T743" t="str">
        <f t="shared" si="103"/>
        <v>Delayed</v>
      </c>
      <c r="U743" t="str">
        <f t="shared" si="104"/>
        <v>Medium</v>
      </c>
      <c r="V743" t="str">
        <f t="shared" si="105"/>
        <v>Medium Risk</v>
      </c>
      <c r="W743" t="str">
        <f t="shared" si="106"/>
        <v>Mar</v>
      </c>
      <c r="X743">
        <f t="shared" si="107"/>
        <v>2025</v>
      </c>
    </row>
    <row r="744" spans="1:24" x14ac:dyDescent="0.35">
      <c r="A744" s="3">
        <v>45907</v>
      </c>
      <c r="B744" t="s">
        <v>250</v>
      </c>
      <c r="C744" t="s">
        <v>130</v>
      </c>
      <c r="D744" t="s">
        <v>890</v>
      </c>
      <c r="E744" t="s">
        <v>55</v>
      </c>
      <c r="F744" t="s">
        <v>66</v>
      </c>
      <c r="G744" t="s">
        <v>42</v>
      </c>
      <c r="H744">
        <v>23</v>
      </c>
      <c r="I744">
        <v>2707</v>
      </c>
      <c r="J744">
        <v>119</v>
      </c>
      <c r="K744">
        <v>19.399999999999999</v>
      </c>
      <c r="L744" t="s">
        <v>78</v>
      </c>
      <c r="M744">
        <v>15728.58</v>
      </c>
      <c r="N744">
        <v>10195</v>
      </c>
      <c r="O744" t="s">
        <v>31</v>
      </c>
      <c r="P744" t="str">
        <f t="shared" si="99"/>
        <v>No</v>
      </c>
      <c r="Q744">
        <f t="shared" si="100"/>
        <v>117.7</v>
      </c>
      <c r="R744">
        <f t="shared" si="101"/>
        <v>5.81</v>
      </c>
      <c r="S744">
        <f t="shared" si="102"/>
        <v>1.54</v>
      </c>
      <c r="T744" t="str">
        <f t="shared" si="103"/>
        <v>On Time</v>
      </c>
      <c r="U744" t="str">
        <f t="shared" si="104"/>
        <v>Low</v>
      </c>
      <c r="V744" t="str">
        <f t="shared" si="105"/>
        <v>Low Risk</v>
      </c>
      <c r="W744" t="str">
        <f t="shared" si="106"/>
        <v>Sep</v>
      </c>
      <c r="X744">
        <f t="shared" si="107"/>
        <v>2025</v>
      </c>
    </row>
    <row r="745" spans="1:24" x14ac:dyDescent="0.35">
      <c r="A745" s="3">
        <v>45877</v>
      </c>
      <c r="B745" t="s">
        <v>148</v>
      </c>
      <c r="C745" t="s">
        <v>69</v>
      </c>
      <c r="D745" t="s">
        <v>891</v>
      </c>
      <c r="E745" t="s">
        <v>27</v>
      </c>
      <c r="F745" t="s">
        <v>41</v>
      </c>
      <c r="G745" t="s">
        <v>71</v>
      </c>
      <c r="H745">
        <v>72.400000000000006</v>
      </c>
      <c r="I745">
        <v>1957</v>
      </c>
      <c r="J745">
        <v>44</v>
      </c>
      <c r="K745">
        <v>11.6</v>
      </c>
      <c r="L745" t="s">
        <v>49</v>
      </c>
      <c r="M745">
        <v>43127.98</v>
      </c>
      <c r="N745">
        <v>24879</v>
      </c>
      <c r="O745" t="s">
        <v>31</v>
      </c>
      <c r="P745" t="str">
        <f t="shared" si="99"/>
        <v>Yes</v>
      </c>
      <c r="Q745">
        <f t="shared" si="100"/>
        <v>27.03</v>
      </c>
      <c r="R745">
        <f t="shared" si="101"/>
        <v>22.04</v>
      </c>
      <c r="S745">
        <f t="shared" si="102"/>
        <v>1.73</v>
      </c>
      <c r="T745" t="str">
        <f t="shared" si="103"/>
        <v>Delayed</v>
      </c>
      <c r="U745" t="str">
        <f t="shared" si="104"/>
        <v>High</v>
      </c>
      <c r="V745" t="str">
        <f t="shared" si="105"/>
        <v>High Risk</v>
      </c>
      <c r="W745" t="str">
        <f t="shared" si="106"/>
        <v>Aug</v>
      </c>
      <c r="X745">
        <f t="shared" si="107"/>
        <v>2025</v>
      </c>
    </row>
    <row r="746" spans="1:24" x14ac:dyDescent="0.35">
      <c r="A746" s="3">
        <v>45685</v>
      </c>
      <c r="B746" t="s">
        <v>223</v>
      </c>
      <c r="C746" t="s">
        <v>25</v>
      </c>
      <c r="D746" t="s">
        <v>892</v>
      </c>
      <c r="E746" t="s">
        <v>66</v>
      </c>
      <c r="F746" t="s">
        <v>48</v>
      </c>
      <c r="G746" t="s">
        <v>71</v>
      </c>
      <c r="H746">
        <v>51.5</v>
      </c>
      <c r="I746">
        <v>1271</v>
      </c>
      <c r="J746">
        <v>28</v>
      </c>
      <c r="K746">
        <v>14.9</v>
      </c>
      <c r="L746" t="s">
        <v>30</v>
      </c>
      <c r="M746">
        <v>28837.37</v>
      </c>
      <c r="N746">
        <v>14666</v>
      </c>
      <c r="O746" t="s">
        <v>84</v>
      </c>
      <c r="P746" t="str">
        <f t="shared" si="99"/>
        <v>Yes</v>
      </c>
      <c r="Q746">
        <f t="shared" si="100"/>
        <v>24.68</v>
      </c>
      <c r="R746">
        <f t="shared" si="101"/>
        <v>22.69</v>
      </c>
      <c r="S746">
        <f t="shared" si="102"/>
        <v>1.97</v>
      </c>
      <c r="T746" t="str">
        <f t="shared" si="103"/>
        <v>Delayed</v>
      </c>
      <c r="U746" t="str">
        <f t="shared" si="104"/>
        <v>Medium</v>
      </c>
      <c r="V746" t="str">
        <f t="shared" si="105"/>
        <v>Medium Risk</v>
      </c>
      <c r="W746" t="str">
        <f t="shared" si="106"/>
        <v>Jan</v>
      </c>
      <c r="X746">
        <f t="shared" si="107"/>
        <v>2025</v>
      </c>
    </row>
    <row r="747" spans="1:24" x14ac:dyDescent="0.35">
      <c r="A747" s="3">
        <v>45980</v>
      </c>
      <c r="B747" t="s">
        <v>108</v>
      </c>
      <c r="C747" t="s">
        <v>52</v>
      </c>
      <c r="D747" t="s">
        <v>893</v>
      </c>
      <c r="E747" t="s">
        <v>63</v>
      </c>
      <c r="F747" t="s">
        <v>54</v>
      </c>
      <c r="G747" t="s">
        <v>35</v>
      </c>
      <c r="H747">
        <v>22.7</v>
      </c>
      <c r="I747">
        <v>2934</v>
      </c>
      <c r="J747">
        <v>28</v>
      </c>
      <c r="K747">
        <v>12.3</v>
      </c>
      <c r="L747" t="s">
        <v>30</v>
      </c>
      <c r="M747">
        <v>14993.36</v>
      </c>
      <c r="N747">
        <v>8870</v>
      </c>
      <c r="O747" t="s">
        <v>84</v>
      </c>
      <c r="P747" t="str">
        <f t="shared" si="99"/>
        <v>Yes</v>
      </c>
      <c r="Q747">
        <f t="shared" si="100"/>
        <v>129.25</v>
      </c>
      <c r="R747">
        <f t="shared" si="101"/>
        <v>5.1100000000000003</v>
      </c>
      <c r="S747">
        <f t="shared" si="102"/>
        <v>1.69</v>
      </c>
      <c r="T747" t="str">
        <f t="shared" si="103"/>
        <v>Delayed</v>
      </c>
      <c r="U747" t="str">
        <f t="shared" si="104"/>
        <v>Low</v>
      </c>
      <c r="V747" t="str">
        <f t="shared" si="105"/>
        <v>Medium Risk</v>
      </c>
      <c r="W747" t="str">
        <f t="shared" si="106"/>
        <v>Nov</v>
      </c>
      <c r="X747">
        <f t="shared" si="107"/>
        <v>2025</v>
      </c>
    </row>
    <row r="748" spans="1:24" x14ac:dyDescent="0.35">
      <c r="A748" s="3">
        <v>45853</v>
      </c>
      <c r="B748" t="s">
        <v>136</v>
      </c>
      <c r="C748" t="s">
        <v>52</v>
      </c>
      <c r="D748" t="s">
        <v>894</v>
      </c>
      <c r="E748" t="s">
        <v>48</v>
      </c>
      <c r="F748" t="s">
        <v>54</v>
      </c>
      <c r="G748" t="s">
        <v>29</v>
      </c>
      <c r="H748">
        <v>55.8</v>
      </c>
      <c r="I748">
        <v>1370</v>
      </c>
      <c r="J748">
        <v>60</v>
      </c>
      <c r="K748">
        <v>15.8</v>
      </c>
      <c r="L748" t="s">
        <v>43</v>
      </c>
      <c r="M748">
        <v>31882.99</v>
      </c>
      <c r="N748">
        <v>23263</v>
      </c>
      <c r="O748" t="s">
        <v>44</v>
      </c>
      <c r="P748" t="str">
        <f t="shared" si="99"/>
        <v>Yes</v>
      </c>
      <c r="Q748">
        <f t="shared" si="100"/>
        <v>24.55</v>
      </c>
      <c r="R748">
        <f t="shared" si="101"/>
        <v>23.27</v>
      </c>
      <c r="S748">
        <f t="shared" si="102"/>
        <v>1.37</v>
      </c>
      <c r="T748" t="str">
        <f t="shared" si="103"/>
        <v>Delayed</v>
      </c>
      <c r="U748" t="str">
        <f t="shared" si="104"/>
        <v>Medium</v>
      </c>
      <c r="V748" t="str">
        <f t="shared" si="105"/>
        <v>Low Risk</v>
      </c>
      <c r="W748" t="str">
        <f t="shared" si="106"/>
        <v>Jul</v>
      </c>
      <c r="X748">
        <f t="shared" si="107"/>
        <v>2025</v>
      </c>
    </row>
    <row r="749" spans="1:24" x14ac:dyDescent="0.35">
      <c r="A749" s="3">
        <v>45896</v>
      </c>
      <c r="B749" t="s">
        <v>113</v>
      </c>
      <c r="C749" t="s">
        <v>69</v>
      </c>
      <c r="D749" t="s">
        <v>895</v>
      </c>
      <c r="E749" t="s">
        <v>63</v>
      </c>
      <c r="F749" t="s">
        <v>48</v>
      </c>
      <c r="G749" t="s">
        <v>29</v>
      </c>
      <c r="H749">
        <v>25.5</v>
      </c>
      <c r="I749">
        <v>1021</v>
      </c>
      <c r="J749">
        <v>58</v>
      </c>
      <c r="K749">
        <v>17</v>
      </c>
      <c r="L749" t="s">
        <v>78</v>
      </c>
      <c r="M749">
        <v>13078.45</v>
      </c>
      <c r="N749">
        <v>12178</v>
      </c>
      <c r="O749" t="s">
        <v>84</v>
      </c>
      <c r="P749" t="str">
        <f t="shared" si="99"/>
        <v>No</v>
      </c>
      <c r="Q749">
        <f t="shared" si="100"/>
        <v>40.04</v>
      </c>
      <c r="R749">
        <f t="shared" si="101"/>
        <v>12.81</v>
      </c>
      <c r="S749">
        <f t="shared" si="102"/>
        <v>1.07</v>
      </c>
      <c r="T749" t="str">
        <f t="shared" si="103"/>
        <v>On Time</v>
      </c>
      <c r="U749" t="str">
        <f t="shared" si="104"/>
        <v>Low</v>
      </c>
      <c r="V749" t="str">
        <f t="shared" si="105"/>
        <v>Low Risk</v>
      </c>
      <c r="W749" t="str">
        <f t="shared" si="106"/>
        <v>Aug</v>
      </c>
      <c r="X749">
        <f t="shared" si="107"/>
        <v>2025</v>
      </c>
    </row>
    <row r="750" spans="1:24" x14ac:dyDescent="0.35">
      <c r="A750" s="3">
        <v>45769</v>
      </c>
      <c r="B750" t="s">
        <v>167</v>
      </c>
      <c r="C750" t="s">
        <v>95</v>
      </c>
      <c r="D750" t="s">
        <v>896</v>
      </c>
      <c r="E750" t="s">
        <v>66</v>
      </c>
      <c r="F750" t="s">
        <v>48</v>
      </c>
      <c r="G750" t="s">
        <v>29</v>
      </c>
      <c r="H750">
        <v>37.4</v>
      </c>
      <c r="I750">
        <v>1609</v>
      </c>
      <c r="J750">
        <v>31</v>
      </c>
      <c r="K750">
        <v>17.5</v>
      </c>
      <c r="L750" t="s">
        <v>49</v>
      </c>
      <c r="M750">
        <v>22620.06</v>
      </c>
      <c r="N750">
        <v>29637</v>
      </c>
      <c r="O750" t="s">
        <v>50</v>
      </c>
      <c r="P750" t="str">
        <f t="shared" si="99"/>
        <v>Yes</v>
      </c>
      <c r="Q750">
        <f t="shared" si="100"/>
        <v>43.02</v>
      </c>
      <c r="R750">
        <f t="shared" si="101"/>
        <v>14.06</v>
      </c>
      <c r="S750">
        <f t="shared" si="102"/>
        <v>0.76</v>
      </c>
      <c r="T750" t="str">
        <f t="shared" si="103"/>
        <v>Delayed</v>
      </c>
      <c r="U750" t="str">
        <f t="shared" si="104"/>
        <v>Low</v>
      </c>
      <c r="V750" t="str">
        <f t="shared" si="105"/>
        <v>High Risk</v>
      </c>
      <c r="W750" t="str">
        <f t="shared" si="106"/>
        <v>Apr</v>
      </c>
      <c r="X750">
        <f t="shared" si="107"/>
        <v>2025</v>
      </c>
    </row>
    <row r="751" spans="1:24" x14ac:dyDescent="0.35">
      <c r="A751" s="3">
        <v>45777</v>
      </c>
      <c r="B751" t="s">
        <v>300</v>
      </c>
      <c r="C751" t="s">
        <v>57</v>
      </c>
      <c r="D751" t="s">
        <v>897</v>
      </c>
      <c r="E751" t="s">
        <v>55</v>
      </c>
      <c r="F751" t="s">
        <v>41</v>
      </c>
      <c r="G751" t="s">
        <v>35</v>
      </c>
      <c r="H751">
        <v>28.4</v>
      </c>
      <c r="I751">
        <v>4691</v>
      </c>
      <c r="J751">
        <v>112</v>
      </c>
      <c r="K751">
        <v>12.2</v>
      </c>
      <c r="L751" t="s">
        <v>30</v>
      </c>
      <c r="M751">
        <v>18189.580000000002</v>
      </c>
      <c r="N751">
        <v>29617</v>
      </c>
      <c r="O751" t="s">
        <v>84</v>
      </c>
      <c r="P751" t="str">
        <f t="shared" si="99"/>
        <v>Yes</v>
      </c>
      <c r="Q751">
        <f t="shared" si="100"/>
        <v>165.18</v>
      </c>
      <c r="R751">
        <f t="shared" si="101"/>
        <v>3.88</v>
      </c>
      <c r="S751">
        <f t="shared" si="102"/>
        <v>0.61</v>
      </c>
      <c r="T751" t="str">
        <f t="shared" si="103"/>
        <v>Delayed</v>
      </c>
      <c r="U751" t="str">
        <f t="shared" si="104"/>
        <v>Low</v>
      </c>
      <c r="V751" t="str">
        <f t="shared" si="105"/>
        <v>Medium Risk</v>
      </c>
      <c r="W751" t="str">
        <f t="shared" si="106"/>
        <v>Apr</v>
      </c>
      <c r="X751">
        <f t="shared" si="107"/>
        <v>2025</v>
      </c>
    </row>
    <row r="752" spans="1:24" x14ac:dyDescent="0.35">
      <c r="A752" s="3">
        <v>45829</v>
      </c>
      <c r="B752" t="s">
        <v>150</v>
      </c>
      <c r="C752" t="s">
        <v>69</v>
      </c>
      <c r="D752" t="s">
        <v>898</v>
      </c>
      <c r="E752" t="s">
        <v>63</v>
      </c>
      <c r="F752" t="s">
        <v>55</v>
      </c>
      <c r="G752" t="s">
        <v>29</v>
      </c>
      <c r="H752">
        <v>45.7</v>
      </c>
      <c r="I752">
        <v>2274</v>
      </c>
      <c r="J752">
        <v>81</v>
      </c>
      <c r="K752">
        <v>14.6</v>
      </c>
      <c r="L752" t="s">
        <v>78</v>
      </c>
      <c r="M752">
        <v>22908.35</v>
      </c>
      <c r="N752">
        <v>20518</v>
      </c>
      <c r="O752" t="s">
        <v>50</v>
      </c>
      <c r="P752" t="str">
        <f t="shared" si="99"/>
        <v>No</v>
      </c>
      <c r="Q752">
        <f t="shared" si="100"/>
        <v>49.76</v>
      </c>
      <c r="R752">
        <f t="shared" si="101"/>
        <v>10.07</v>
      </c>
      <c r="S752">
        <f t="shared" si="102"/>
        <v>1.1200000000000001</v>
      </c>
      <c r="T752" t="str">
        <f t="shared" si="103"/>
        <v>On Time</v>
      </c>
      <c r="U752" t="str">
        <f t="shared" si="104"/>
        <v>Medium</v>
      </c>
      <c r="V752" t="str">
        <f t="shared" si="105"/>
        <v>Low Risk</v>
      </c>
      <c r="W752" t="str">
        <f t="shared" si="106"/>
        <v>Jun</v>
      </c>
      <c r="X752">
        <f t="shared" si="107"/>
        <v>2025</v>
      </c>
    </row>
    <row r="753" spans="1:24" x14ac:dyDescent="0.35">
      <c r="A753" s="3">
        <v>45681</v>
      </c>
      <c r="B753" t="s">
        <v>73</v>
      </c>
      <c r="C753" t="s">
        <v>57</v>
      </c>
      <c r="D753" t="s">
        <v>899</v>
      </c>
      <c r="E753" t="s">
        <v>66</v>
      </c>
      <c r="F753" t="s">
        <v>54</v>
      </c>
      <c r="G753" t="s">
        <v>71</v>
      </c>
      <c r="H753">
        <v>62.9</v>
      </c>
      <c r="I753">
        <v>3595</v>
      </c>
      <c r="J753">
        <v>44</v>
      </c>
      <c r="K753">
        <v>11</v>
      </c>
      <c r="L753" t="s">
        <v>49</v>
      </c>
      <c r="M753">
        <v>30971.31</v>
      </c>
      <c r="N753">
        <v>14442</v>
      </c>
      <c r="O753" t="s">
        <v>50</v>
      </c>
      <c r="P753" t="str">
        <f t="shared" si="99"/>
        <v>Yes</v>
      </c>
      <c r="Q753">
        <f t="shared" si="100"/>
        <v>57.15</v>
      </c>
      <c r="R753">
        <f t="shared" si="101"/>
        <v>8.6199999999999992</v>
      </c>
      <c r="S753">
        <f t="shared" si="102"/>
        <v>2.14</v>
      </c>
      <c r="T753" t="str">
        <f t="shared" si="103"/>
        <v>Delayed</v>
      </c>
      <c r="U753" t="str">
        <f t="shared" si="104"/>
        <v>High</v>
      </c>
      <c r="V753" t="str">
        <f t="shared" si="105"/>
        <v>High Risk</v>
      </c>
      <c r="W753" t="str">
        <f t="shared" si="106"/>
        <v>Jan</v>
      </c>
      <c r="X753">
        <f t="shared" si="107"/>
        <v>2025</v>
      </c>
    </row>
    <row r="754" spans="1:24" x14ac:dyDescent="0.35">
      <c r="A754" s="3">
        <v>45751</v>
      </c>
      <c r="B754" t="s">
        <v>463</v>
      </c>
      <c r="C754" t="s">
        <v>95</v>
      </c>
      <c r="D754" t="s">
        <v>900</v>
      </c>
      <c r="E754" t="s">
        <v>41</v>
      </c>
      <c r="F754" t="s">
        <v>27</v>
      </c>
      <c r="G754" t="s">
        <v>42</v>
      </c>
      <c r="H754">
        <v>22.7</v>
      </c>
      <c r="I754">
        <v>3463</v>
      </c>
      <c r="J754">
        <v>92</v>
      </c>
      <c r="K754">
        <v>11.2</v>
      </c>
      <c r="L754" t="s">
        <v>78</v>
      </c>
      <c r="M754">
        <v>14990.53</v>
      </c>
      <c r="N754">
        <v>6015</v>
      </c>
      <c r="O754" t="s">
        <v>44</v>
      </c>
      <c r="P754" t="str">
        <f t="shared" si="99"/>
        <v>No</v>
      </c>
      <c r="Q754">
        <f t="shared" si="100"/>
        <v>152.56</v>
      </c>
      <c r="R754">
        <f t="shared" si="101"/>
        <v>4.33</v>
      </c>
      <c r="S754">
        <f t="shared" si="102"/>
        <v>2.4900000000000002</v>
      </c>
      <c r="T754" t="str">
        <f t="shared" si="103"/>
        <v>On Time</v>
      </c>
      <c r="U754" t="str">
        <f t="shared" si="104"/>
        <v>Low</v>
      </c>
      <c r="V754" t="str">
        <f t="shared" si="105"/>
        <v>Low Risk</v>
      </c>
      <c r="W754" t="str">
        <f t="shared" si="106"/>
        <v>Apr</v>
      </c>
      <c r="X754">
        <f t="shared" si="107"/>
        <v>2025</v>
      </c>
    </row>
    <row r="755" spans="1:24" x14ac:dyDescent="0.35">
      <c r="A755" s="3">
        <v>45845</v>
      </c>
      <c r="B755" t="s">
        <v>190</v>
      </c>
      <c r="C755" t="s">
        <v>57</v>
      </c>
      <c r="D755" t="s">
        <v>901</v>
      </c>
      <c r="E755" t="s">
        <v>54</v>
      </c>
      <c r="F755" t="s">
        <v>28</v>
      </c>
      <c r="G755" t="s">
        <v>42</v>
      </c>
      <c r="H755">
        <v>66.2</v>
      </c>
      <c r="I755">
        <v>2341</v>
      </c>
      <c r="J755">
        <v>61</v>
      </c>
      <c r="K755">
        <v>14.6</v>
      </c>
      <c r="L755" t="s">
        <v>30</v>
      </c>
      <c r="M755">
        <v>36767.51</v>
      </c>
      <c r="N755">
        <v>15162</v>
      </c>
      <c r="O755" t="s">
        <v>59</v>
      </c>
      <c r="P755" t="str">
        <f t="shared" si="99"/>
        <v>Yes</v>
      </c>
      <c r="Q755">
        <f t="shared" si="100"/>
        <v>35.36</v>
      </c>
      <c r="R755">
        <f t="shared" si="101"/>
        <v>15.71</v>
      </c>
      <c r="S755">
        <f t="shared" si="102"/>
        <v>2.42</v>
      </c>
      <c r="T755" t="str">
        <f t="shared" si="103"/>
        <v>Delayed</v>
      </c>
      <c r="U755" t="str">
        <f t="shared" si="104"/>
        <v>High</v>
      </c>
      <c r="V755" t="str">
        <f t="shared" si="105"/>
        <v>Medium Risk</v>
      </c>
      <c r="W755" t="str">
        <f t="shared" si="106"/>
        <v>Jul</v>
      </c>
      <c r="X755">
        <f t="shared" si="107"/>
        <v>2025</v>
      </c>
    </row>
    <row r="756" spans="1:24" x14ac:dyDescent="0.35">
      <c r="A756" s="3">
        <v>45987</v>
      </c>
      <c r="B756" t="s">
        <v>89</v>
      </c>
      <c r="C756" t="s">
        <v>25</v>
      </c>
      <c r="D756" t="s">
        <v>902</v>
      </c>
      <c r="E756" t="s">
        <v>48</v>
      </c>
      <c r="F756" t="s">
        <v>41</v>
      </c>
      <c r="G756" t="s">
        <v>71</v>
      </c>
      <c r="H756">
        <v>35.5</v>
      </c>
      <c r="I756">
        <v>4115</v>
      </c>
      <c r="J756">
        <v>95</v>
      </c>
      <c r="K756">
        <v>19.7</v>
      </c>
      <c r="L756" t="s">
        <v>49</v>
      </c>
      <c r="M756">
        <v>18197.34</v>
      </c>
      <c r="N756">
        <v>15047</v>
      </c>
      <c r="O756" t="s">
        <v>50</v>
      </c>
      <c r="P756" t="str">
        <f t="shared" si="99"/>
        <v>Yes</v>
      </c>
      <c r="Q756">
        <f t="shared" si="100"/>
        <v>115.92</v>
      </c>
      <c r="R756">
        <f t="shared" si="101"/>
        <v>4.42</v>
      </c>
      <c r="S756">
        <f t="shared" si="102"/>
        <v>1.21</v>
      </c>
      <c r="T756" t="str">
        <f t="shared" si="103"/>
        <v>Delayed</v>
      </c>
      <c r="U756" t="str">
        <f t="shared" si="104"/>
        <v>Low</v>
      </c>
      <c r="V756" t="str">
        <f t="shared" si="105"/>
        <v>High Risk</v>
      </c>
      <c r="W756" t="str">
        <f t="shared" si="106"/>
        <v>Nov</v>
      </c>
      <c r="X756">
        <f t="shared" si="107"/>
        <v>2025</v>
      </c>
    </row>
    <row r="757" spans="1:24" x14ac:dyDescent="0.35">
      <c r="A757" s="3">
        <v>45784</v>
      </c>
      <c r="B757" t="s">
        <v>309</v>
      </c>
      <c r="C757" t="s">
        <v>57</v>
      </c>
      <c r="D757" t="s">
        <v>903</v>
      </c>
      <c r="E757" t="s">
        <v>55</v>
      </c>
      <c r="F757" t="s">
        <v>66</v>
      </c>
      <c r="G757" t="s">
        <v>29</v>
      </c>
      <c r="H757">
        <v>26.8</v>
      </c>
      <c r="I757">
        <v>4914</v>
      </c>
      <c r="J757">
        <v>32</v>
      </c>
      <c r="K757">
        <v>11.1</v>
      </c>
      <c r="L757" t="s">
        <v>43</v>
      </c>
      <c r="M757">
        <v>14118.29</v>
      </c>
      <c r="N757">
        <v>5301</v>
      </c>
      <c r="O757" t="s">
        <v>59</v>
      </c>
      <c r="P757" t="str">
        <f t="shared" si="99"/>
        <v>Yes</v>
      </c>
      <c r="Q757">
        <f t="shared" si="100"/>
        <v>183.36</v>
      </c>
      <c r="R757">
        <f t="shared" si="101"/>
        <v>2.87</v>
      </c>
      <c r="S757">
        <f t="shared" si="102"/>
        <v>2.66</v>
      </c>
      <c r="T757" t="str">
        <f t="shared" si="103"/>
        <v>Delayed</v>
      </c>
      <c r="U757" t="str">
        <f t="shared" si="104"/>
        <v>Low</v>
      </c>
      <c r="V757" t="str">
        <f t="shared" si="105"/>
        <v>Low Risk</v>
      </c>
      <c r="W757" t="str">
        <f t="shared" si="106"/>
        <v>May</v>
      </c>
      <c r="X757">
        <f t="shared" si="107"/>
        <v>2025</v>
      </c>
    </row>
    <row r="758" spans="1:24" x14ac:dyDescent="0.35">
      <c r="A758" s="3">
        <v>45972</v>
      </c>
      <c r="B758" t="s">
        <v>129</v>
      </c>
      <c r="C758" t="s">
        <v>39</v>
      </c>
      <c r="D758" t="s">
        <v>904</v>
      </c>
      <c r="E758" t="s">
        <v>55</v>
      </c>
      <c r="F758" t="s">
        <v>66</v>
      </c>
      <c r="G758" t="s">
        <v>42</v>
      </c>
      <c r="H758">
        <v>56.9</v>
      </c>
      <c r="I758">
        <v>2471</v>
      </c>
      <c r="J758">
        <v>39</v>
      </c>
      <c r="K758">
        <v>20.6</v>
      </c>
      <c r="L758" t="s">
        <v>43</v>
      </c>
      <c r="M758">
        <v>27017.48</v>
      </c>
      <c r="N758">
        <v>20830</v>
      </c>
      <c r="O758" t="s">
        <v>59</v>
      </c>
      <c r="P758" t="str">
        <f t="shared" si="99"/>
        <v>Yes</v>
      </c>
      <c r="Q758">
        <f t="shared" si="100"/>
        <v>43.43</v>
      </c>
      <c r="R758">
        <f t="shared" si="101"/>
        <v>10.93</v>
      </c>
      <c r="S758">
        <f t="shared" si="102"/>
        <v>1.3</v>
      </c>
      <c r="T758" t="str">
        <f t="shared" si="103"/>
        <v>Delayed</v>
      </c>
      <c r="U758" t="str">
        <f t="shared" si="104"/>
        <v>Medium</v>
      </c>
      <c r="V758" t="str">
        <f t="shared" si="105"/>
        <v>Low Risk</v>
      </c>
      <c r="W758" t="str">
        <f t="shared" si="106"/>
        <v>Nov</v>
      </c>
      <c r="X758">
        <f t="shared" si="107"/>
        <v>2025</v>
      </c>
    </row>
    <row r="759" spans="1:24" x14ac:dyDescent="0.35">
      <c r="A759" s="3">
        <v>45819</v>
      </c>
      <c r="B759" t="s">
        <v>56</v>
      </c>
      <c r="C759" t="s">
        <v>69</v>
      </c>
      <c r="D759" t="s">
        <v>905</v>
      </c>
      <c r="E759" t="s">
        <v>28</v>
      </c>
      <c r="F759" t="s">
        <v>27</v>
      </c>
      <c r="G759" t="s">
        <v>71</v>
      </c>
      <c r="H759">
        <v>74.599999999999994</v>
      </c>
      <c r="I759">
        <v>4685</v>
      </c>
      <c r="J759">
        <v>58</v>
      </c>
      <c r="K759">
        <v>19.899999999999999</v>
      </c>
      <c r="L759" t="s">
        <v>49</v>
      </c>
      <c r="M759">
        <v>36333.85</v>
      </c>
      <c r="N759">
        <v>17389</v>
      </c>
      <c r="O759" t="s">
        <v>31</v>
      </c>
      <c r="P759" t="str">
        <f t="shared" si="99"/>
        <v>Yes</v>
      </c>
      <c r="Q759">
        <f t="shared" si="100"/>
        <v>62.8</v>
      </c>
      <c r="R759">
        <f t="shared" si="101"/>
        <v>7.76</v>
      </c>
      <c r="S759">
        <f t="shared" si="102"/>
        <v>2.09</v>
      </c>
      <c r="T759" t="str">
        <f t="shared" si="103"/>
        <v>Delayed</v>
      </c>
      <c r="U759" t="str">
        <f t="shared" si="104"/>
        <v>High</v>
      </c>
      <c r="V759" t="str">
        <f t="shared" si="105"/>
        <v>High Risk</v>
      </c>
      <c r="W759" t="str">
        <f t="shared" si="106"/>
        <v>Jun</v>
      </c>
      <c r="X759">
        <f t="shared" si="107"/>
        <v>2025</v>
      </c>
    </row>
    <row r="760" spans="1:24" x14ac:dyDescent="0.35">
      <c r="A760" s="3">
        <v>45944</v>
      </c>
      <c r="B760" t="s">
        <v>146</v>
      </c>
      <c r="C760" t="s">
        <v>130</v>
      </c>
      <c r="D760" t="s">
        <v>906</v>
      </c>
      <c r="E760" t="s">
        <v>63</v>
      </c>
      <c r="F760" t="s">
        <v>55</v>
      </c>
      <c r="G760" t="s">
        <v>35</v>
      </c>
      <c r="H760">
        <v>39.4</v>
      </c>
      <c r="I760">
        <v>2162</v>
      </c>
      <c r="J760">
        <v>50</v>
      </c>
      <c r="K760">
        <v>15.7</v>
      </c>
      <c r="L760" t="s">
        <v>30</v>
      </c>
      <c r="M760">
        <v>27053.82</v>
      </c>
      <c r="N760">
        <v>20575</v>
      </c>
      <c r="O760" t="s">
        <v>91</v>
      </c>
      <c r="P760" t="str">
        <f t="shared" si="99"/>
        <v>Yes</v>
      </c>
      <c r="Q760">
        <f t="shared" si="100"/>
        <v>54.87</v>
      </c>
      <c r="R760">
        <f t="shared" si="101"/>
        <v>12.51</v>
      </c>
      <c r="S760">
        <f t="shared" si="102"/>
        <v>1.31</v>
      </c>
      <c r="T760" t="str">
        <f t="shared" si="103"/>
        <v>Delayed</v>
      </c>
      <c r="U760" t="str">
        <f t="shared" si="104"/>
        <v>Low</v>
      </c>
      <c r="V760" t="str">
        <f t="shared" si="105"/>
        <v>Medium Risk</v>
      </c>
      <c r="W760" t="str">
        <f t="shared" si="106"/>
        <v>Oct</v>
      </c>
      <c r="X760">
        <f t="shared" si="107"/>
        <v>2025</v>
      </c>
    </row>
    <row r="761" spans="1:24" x14ac:dyDescent="0.35">
      <c r="A761" s="3">
        <v>45817</v>
      </c>
      <c r="B761" t="s">
        <v>246</v>
      </c>
      <c r="C761" t="s">
        <v>39</v>
      </c>
      <c r="D761" t="s">
        <v>907</v>
      </c>
      <c r="E761" t="s">
        <v>27</v>
      </c>
      <c r="F761" t="s">
        <v>55</v>
      </c>
      <c r="G761" t="s">
        <v>35</v>
      </c>
      <c r="H761">
        <v>30.8</v>
      </c>
      <c r="I761">
        <v>1687</v>
      </c>
      <c r="J761">
        <v>69</v>
      </c>
      <c r="K761">
        <v>16.600000000000001</v>
      </c>
      <c r="L761" t="s">
        <v>30</v>
      </c>
      <c r="M761">
        <v>19601.12</v>
      </c>
      <c r="N761">
        <v>18663</v>
      </c>
      <c r="O761" t="s">
        <v>84</v>
      </c>
      <c r="P761" t="str">
        <f t="shared" si="99"/>
        <v>Yes</v>
      </c>
      <c r="Q761">
        <f t="shared" si="100"/>
        <v>54.77</v>
      </c>
      <c r="R761">
        <f t="shared" si="101"/>
        <v>11.62</v>
      </c>
      <c r="S761">
        <f t="shared" si="102"/>
        <v>1.05</v>
      </c>
      <c r="T761" t="str">
        <f t="shared" si="103"/>
        <v>Delayed</v>
      </c>
      <c r="U761" t="str">
        <f t="shared" si="104"/>
        <v>Low</v>
      </c>
      <c r="V761" t="str">
        <f t="shared" si="105"/>
        <v>Medium Risk</v>
      </c>
      <c r="W761" t="str">
        <f t="shared" si="106"/>
        <v>Jun</v>
      </c>
      <c r="X761">
        <f t="shared" si="107"/>
        <v>2025</v>
      </c>
    </row>
    <row r="762" spans="1:24" x14ac:dyDescent="0.35">
      <c r="A762" s="3">
        <v>45739</v>
      </c>
      <c r="B762" t="s">
        <v>80</v>
      </c>
      <c r="C762" t="s">
        <v>69</v>
      </c>
      <c r="D762" t="s">
        <v>908</v>
      </c>
      <c r="E762" t="s">
        <v>41</v>
      </c>
      <c r="F762" t="s">
        <v>48</v>
      </c>
      <c r="G762" t="s">
        <v>29</v>
      </c>
      <c r="H762">
        <v>76.400000000000006</v>
      </c>
      <c r="I762">
        <v>1139</v>
      </c>
      <c r="J762">
        <v>20</v>
      </c>
      <c r="K762">
        <v>20</v>
      </c>
      <c r="L762" t="s">
        <v>43</v>
      </c>
      <c r="M762">
        <v>50349.32</v>
      </c>
      <c r="N762">
        <v>23934</v>
      </c>
      <c r="O762" t="s">
        <v>50</v>
      </c>
      <c r="P762" t="str">
        <f t="shared" si="99"/>
        <v>Yes</v>
      </c>
      <c r="Q762">
        <f t="shared" si="100"/>
        <v>14.91</v>
      </c>
      <c r="R762">
        <f t="shared" si="101"/>
        <v>44.2</v>
      </c>
      <c r="S762">
        <f t="shared" si="102"/>
        <v>2.1</v>
      </c>
      <c r="T762" t="str">
        <f t="shared" si="103"/>
        <v>Delayed</v>
      </c>
      <c r="U762" t="str">
        <f t="shared" si="104"/>
        <v>High</v>
      </c>
      <c r="V762" t="str">
        <f t="shared" si="105"/>
        <v>Low Risk</v>
      </c>
      <c r="W762" t="str">
        <f t="shared" si="106"/>
        <v>Mar</v>
      </c>
      <c r="X762">
        <f t="shared" si="107"/>
        <v>2025</v>
      </c>
    </row>
    <row r="763" spans="1:24" x14ac:dyDescent="0.35">
      <c r="A763" s="3">
        <v>45938</v>
      </c>
      <c r="B763" t="s">
        <v>430</v>
      </c>
      <c r="C763" t="s">
        <v>39</v>
      </c>
      <c r="D763" t="s">
        <v>909</v>
      </c>
      <c r="E763" t="s">
        <v>41</v>
      </c>
      <c r="F763" t="s">
        <v>28</v>
      </c>
      <c r="G763" t="s">
        <v>35</v>
      </c>
      <c r="H763">
        <v>76.8</v>
      </c>
      <c r="I763">
        <v>3889</v>
      </c>
      <c r="J763">
        <v>34</v>
      </c>
      <c r="K763">
        <v>10.4</v>
      </c>
      <c r="L763" t="s">
        <v>43</v>
      </c>
      <c r="M763">
        <v>43067.41</v>
      </c>
      <c r="N763">
        <v>29224</v>
      </c>
      <c r="O763" t="s">
        <v>59</v>
      </c>
      <c r="P763" t="str">
        <f t="shared" si="99"/>
        <v>Yes</v>
      </c>
      <c r="Q763">
        <f t="shared" si="100"/>
        <v>50.64</v>
      </c>
      <c r="R763">
        <f t="shared" si="101"/>
        <v>11.07</v>
      </c>
      <c r="S763">
        <f t="shared" si="102"/>
        <v>1.47</v>
      </c>
      <c r="T763" t="str">
        <f t="shared" si="103"/>
        <v>Delayed</v>
      </c>
      <c r="U763" t="str">
        <f t="shared" si="104"/>
        <v>High</v>
      </c>
      <c r="V763" t="str">
        <f t="shared" si="105"/>
        <v>Low Risk</v>
      </c>
      <c r="W763" t="str">
        <f t="shared" si="106"/>
        <v>Oct</v>
      </c>
      <c r="X763">
        <f t="shared" si="107"/>
        <v>2025</v>
      </c>
    </row>
    <row r="764" spans="1:24" x14ac:dyDescent="0.35">
      <c r="A764" s="3">
        <v>45975</v>
      </c>
      <c r="B764" t="s">
        <v>188</v>
      </c>
      <c r="C764" t="s">
        <v>39</v>
      </c>
      <c r="D764" t="s">
        <v>910</v>
      </c>
      <c r="E764" t="s">
        <v>66</v>
      </c>
      <c r="F764" t="s">
        <v>48</v>
      </c>
      <c r="G764" t="s">
        <v>29</v>
      </c>
      <c r="H764">
        <v>34</v>
      </c>
      <c r="I764">
        <v>1184</v>
      </c>
      <c r="J764">
        <v>36</v>
      </c>
      <c r="K764">
        <v>20.9</v>
      </c>
      <c r="L764" t="s">
        <v>43</v>
      </c>
      <c r="M764">
        <v>18280.87</v>
      </c>
      <c r="N764">
        <v>11556</v>
      </c>
      <c r="O764" t="s">
        <v>50</v>
      </c>
      <c r="P764" t="str">
        <f t="shared" si="99"/>
        <v>Yes</v>
      </c>
      <c r="Q764">
        <f t="shared" si="100"/>
        <v>34.82</v>
      </c>
      <c r="R764">
        <f t="shared" si="101"/>
        <v>15.44</v>
      </c>
      <c r="S764">
        <f t="shared" si="102"/>
        <v>1.58</v>
      </c>
      <c r="T764" t="str">
        <f t="shared" si="103"/>
        <v>Delayed</v>
      </c>
      <c r="U764" t="str">
        <f t="shared" si="104"/>
        <v>Low</v>
      </c>
      <c r="V764" t="str">
        <f t="shared" si="105"/>
        <v>Low Risk</v>
      </c>
      <c r="W764" t="str">
        <f t="shared" si="106"/>
        <v>Nov</v>
      </c>
      <c r="X764">
        <f t="shared" si="107"/>
        <v>2025</v>
      </c>
    </row>
    <row r="765" spans="1:24" x14ac:dyDescent="0.35">
      <c r="A765" s="3">
        <v>45887</v>
      </c>
      <c r="B765" t="s">
        <v>199</v>
      </c>
      <c r="C765" t="s">
        <v>69</v>
      </c>
      <c r="D765" t="s">
        <v>911</v>
      </c>
      <c r="E765" t="s">
        <v>41</v>
      </c>
      <c r="F765" t="s">
        <v>54</v>
      </c>
      <c r="G765" t="s">
        <v>71</v>
      </c>
      <c r="H765">
        <v>48.3</v>
      </c>
      <c r="I765">
        <v>1133</v>
      </c>
      <c r="J765">
        <v>51</v>
      </c>
      <c r="K765">
        <v>17.899999999999999</v>
      </c>
      <c r="L765" t="s">
        <v>78</v>
      </c>
      <c r="M765">
        <v>29109.14</v>
      </c>
      <c r="N765">
        <v>20845</v>
      </c>
      <c r="O765" t="s">
        <v>91</v>
      </c>
      <c r="P765" t="str">
        <f t="shared" si="99"/>
        <v>No</v>
      </c>
      <c r="Q765">
        <f t="shared" si="100"/>
        <v>23.46</v>
      </c>
      <c r="R765">
        <f t="shared" si="101"/>
        <v>25.69</v>
      </c>
      <c r="S765">
        <f t="shared" si="102"/>
        <v>1.4</v>
      </c>
      <c r="T765" t="str">
        <f t="shared" si="103"/>
        <v>On Time</v>
      </c>
      <c r="U765" t="str">
        <f t="shared" si="104"/>
        <v>Medium</v>
      </c>
      <c r="V765" t="str">
        <f t="shared" si="105"/>
        <v>Low Risk</v>
      </c>
      <c r="W765" t="str">
        <f t="shared" si="106"/>
        <v>Aug</v>
      </c>
      <c r="X765">
        <f t="shared" si="107"/>
        <v>2025</v>
      </c>
    </row>
    <row r="766" spans="1:24" x14ac:dyDescent="0.35">
      <c r="A766" s="3">
        <v>45688</v>
      </c>
      <c r="B766" t="s">
        <v>366</v>
      </c>
      <c r="C766" t="s">
        <v>39</v>
      </c>
      <c r="D766" t="s">
        <v>912</v>
      </c>
      <c r="E766" t="s">
        <v>54</v>
      </c>
      <c r="F766" t="s">
        <v>63</v>
      </c>
      <c r="G766" t="s">
        <v>71</v>
      </c>
      <c r="H766">
        <v>31.1</v>
      </c>
      <c r="I766">
        <v>1284</v>
      </c>
      <c r="J766">
        <v>117</v>
      </c>
      <c r="K766">
        <v>20.399999999999999</v>
      </c>
      <c r="L766" t="s">
        <v>78</v>
      </c>
      <c r="M766">
        <v>19748.86</v>
      </c>
      <c r="N766">
        <v>14997</v>
      </c>
      <c r="O766" t="s">
        <v>50</v>
      </c>
      <c r="P766" t="str">
        <f t="shared" si="99"/>
        <v>No</v>
      </c>
      <c r="Q766">
        <f t="shared" si="100"/>
        <v>41.29</v>
      </c>
      <c r="R766">
        <f t="shared" si="101"/>
        <v>15.38</v>
      </c>
      <c r="S766">
        <f t="shared" si="102"/>
        <v>1.32</v>
      </c>
      <c r="T766" t="str">
        <f t="shared" si="103"/>
        <v>On Time</v>
      </c>
      <c r="U766" t="str">
        <f t="shared" si="104"/>
        <v>Low</v>
      </c>
      <c r="V766" t="str">
        <f t="shared" si="105"/>
        <v>Low Risk</v>
      </c>
      <c r="W766" t="str">
        <f t="shared" si="106"/>
        <v>Jan</v>
      </c>
      <c r="X766">
        <f t="shared" si="107"/>
        <v>2025</v>
      </c>
    </row>
    <row r="767" spans="1:24" x14ac:dyDescent="0.35">
      <c r="A767" s="3">
        <v>45782</v>
      </c>
      <c r="B767" t="s">
        <v>136</v>
      </c>
      <c r="C767" t="s">
        <v>130</v>
      </c>
      <c r="D767" t="s">
        <v>913</v>
      </c>
      <c r="E767" t="s">
        <v>41</v>
      </c>
      <c r="F767" t="s">
        <v>55</v>
      </c>
      <c r="G767" t="s">
        <v>35</v>
      </c>
      <c r="H767">
        <v>70.2</v>
      </c>
      <c r="I767">
        <v>4365</v>
      </c>
      <c r="J767">
        <v>96</v>
      </c>
      <c r="K767">
        <v>12.9</v>
      </c>
      <c r="L767" t="s">
        <v>30</v>
      </c>
      <c r="M767">
        <v>38324.199999999997</v>
      </c>
      <c r="N767">
        <v>23293</v>
      </c>
      <c r="O767" t="s">
        <v>59</v>
      </c>
      <c r="P767" t="str">
        <f t="shared" si="99"/>
        <v>Yes</v>
      </c>
      <c r="Q767">
        <f t="shared" si="100"/>
        <v>62.18</v>
      </c>
      <c r="R767">
        <f t="shared" si="101"/>
        <v>8.7799999999999994</v>
      </c>
      <c r="S767">
        <f t="shared" si="102"/>
        <v>1.65</v>
      </c>
      <c r="T767" t="str">
        <f t="shared" si="103"/>
        <v>Delayed</v>
      </c>
      <c r="U767" t="str">
        <f t="shared" si="104"/>
        <v>High</v>
      </c>
      <c r="V767" t="str">
        <f t="shared" si="105"/>
        <v>Medium Risk</v>
      </c>
      <c r="W767" t="str">
        <f t="shared" si="106"/>
        <v>May</v>
      </c>
      <c r="X767">
        <f t="shared" si="107"/>
        <v>2025</v>
      </c>
    </row>
    <row r="768" spans="1:24" x14ac:dyDescent="0.35">
      <c r="A768" s="3">
        <v>45824</v>
      </c>
      <c r="B768" t="s">
        <v>162</v>
      </c>
      <c r="C768" t="s">
        <v>130</v>
      </c>
      <c r="D768" t="s">
        <v>914</v>
      </c>
      <c r="E768" t="s">
        <v>41</v>
      </c>
      <c r="F768" t="s">
        <v>63</v>
      </c>
      <c r="G768" t="s">
        <v>42</v>
      </c>
      <c r="H768">
        <v>25.5</v>
      </c>
      <c r="I768">
        <v>2460</v>
      </c>
      <c r="J768">
        <v>34</v>
      </c>
      <c r="K768">
        <v>17.2</v>
      </c>
      <c r="L768" t="s">
        <v>30</v>
      </c>
      <c r="M768">
        <v>14661.79</v>
      </c>
      <c r="N768">
        <v>20749</v>
      </c>
      <c r="O768" t="s">
        <v>59</v>
      </c>
      <c r="P768" t="str">
        <f t="shared" si="99"/>
        <v>Yes</v>
      </c>
      <c r="Q768">
        <f t="shared" si="100"/>
        <v>96.47</v>
      </c>
      <c r="R768">
        <f t="shared" si="101"/>
        <v>5.96</v>
      </c>
      <c r="S768">
        <f t="shared" si="102"/>
        <v>0.71</v>
      </c>
      <c r="T768" t="str">
        <f t="shared" si="103"/>
        <v>Delayed</v>
      </c>
      <c r="U768" t="str">
        <f t="shared" si="104"/>
        <v>Low</v>
      </c>
      <c r="V768" t="str">
        <f t="shared" si="105"/>
        <v>Medium Risk</v>
      </c>
      <c r="W768" t="str">
        <f t="shared" si="106"/>
        <v>Jun</v>
      </c>
      <c r="X768">
        <f t="shared" si="107"/>
        <v>2025</v>
      </c>
    </row>
    <row r="769" spans="1:24" x14ac:dyDescent="0.35">
      <c r="A769" s="3">
        <v>45797</v>
      </c>
      <c r="B769" t="s">
        <v>193</v>
      </c>
      <c r="C769" t="s">
        <v>25</v>
      </c>
      <c r="D769" t="s">
        <v>915</v>
      </c>
      <c r="E769" t="s">
        <v>48</v>
      </c>
      <c r="F769" t="s">
        <v>55</v>
      </c>
      <c r="G769" t="s">
        <v>42</v>
      </c>
      <c r="H769">
        <v>55.3</v>
      </c>
      <c r="I769">
        <v>4566</v>
      </c>
      <c r="J769">
        <v>20</v>
      </c>
      <c r="K769">
        <v>17.2</v>
      </c>
      <c r="L769" t="s">
        <v>49</v>
      </c>
      <c r="M769">
        <v>32906.31</v>
      </c>
      <c r="N769">
        <v>24572</v>
      </c>
      <c r="O769" t="s">
        <v>91</v>
      </c>
      <c r="P769" t="str">
        <f t="shared" si="99"/>
        <v>Yes</v>
      </c>
      <c r="Q769">
        <f t="shared" si="100"/>
        <v>82.57</v>
      </c>
      <c r="R769">
        <f t="shared" si="101"/>
        <v>7.21</v>
      </c>
      <c r="S769">
        <f t="shared" si="102"/>
        <v>1.34</v>
      </c>
      <c r="T769" t="str">
        <f t="shared" si="103"/>
        <v>Delayed</v>
      </c>
      <c r="U769" t="str">
        <f t="shared" si="104"/>
        <v>Medium</v>
      </c>
      <c r="V769" t="str">
        <f t="shared" si="105"/>
        <v>High Risk</v>
      </c>
      <c r="W769" t="str">
        <f t="shared" si="106"/>
        <v>May</v>
      </c>
      <c r="X769">
        <f t="shared" si="107"/>
        <v>2025</v>
      </c>
    </row>
    <row r="770" spans="1:24" x14ac:dyDescent="0.35">
      <c r="A770" s="3">
        <v>45963</v>
      </c>
      <c r="B770" t="s">
        <v>127</v>
      </c>
      <c r="C770" t="s">
        <v>57</v>
      </c>
      <c r="D770" t="s">
        <v>916</v>
      </c>
      <c r="E770" t="s">
        <v>48</v>
      </c>
      <c r="F770" t="s">
        <v>66</v>
      </c>
      <c r="G770" t="s">
        <v>71</v>
      </c>
      <c r="H770">
        <v>36.9</v>
      </c>
      <c r="I770">
        <v>1368</v>
      </c>
      <c r="J770">
        <v>45</v>
      </c>
      <c r="K770">
        <v>18.899999999999999</v>
      </c>
      <c r="L770" t="s">
        <v>49</v>
      </c>
      <c r="M770">
        <v>19489.68</v>
      </c>
      <c r="N770">
        <v>10260</v>
      </c>
      <c r="O770" t="s">
        <v>31</v>
      </c>
      <c r="P770" t="str">
        <f t="shared" ref="P770:P833" si="108">IF(OR(L770="Rain",L770="Fog",L770="Storm"),"Yes","No")</f>
        <v>Yes</v>
      </c>
      <c r="Q770">
        <f t="shared" ref="Q770:Q833" si="109">ROUND(I770/H770,2)</f>
        <v>37.07</v>
      </c>
      <c r="R770">
        <f t="shared" ref="R770:R833" si="110">ROUND(M770/I770,2)</f>
        <v>14.25</v>
      </c>
      <c r="S770">
        <f t="shared" ref="S770:S833" si="111">ROUND(M770/N770,2)</f>
        <v>1.9</v>
      </c>
      <c r="T770" t="str">
        <f t="shared" ref="T770:T833" si="112">IF(P770="Yes","Delayed","On Time")</f>
        <v>Delayed</v>
      </c>
      <c r="U770" t="str">
        <f t="shared" ref="U770:U833" si="113">IF(H770&gt;=60,"High",IF(H770&gt;=40,"Medium","Low"))</f>
        <v>Low</v>
      </c>
      <c r="V770" t="str">
        <f t="shared" ref="V770:V833" si="114">IF(L770="Storm","High Risk",IF(L770="Rain","Medium Risk","Low Risk"))</f>
        <v>High Risk</v>
      </c>
      <c r="W770" t="str">
        <f t="shared" ref="W770:W833" si="115">TEXT(A770,"mmm")</f>
        <v>Nov</v>
      </c>
      <c r="X770">
        <f t="shared" si="107"/>
        <v>2025</v>
      </c>
    </row>
    <row r="771" spans="1:24" x14ac:dyDescent="0.35">
      <c r="A771" s="3">
        <v>45750</v>
      </c>
      <c r="B771" t="s">
        <v>113</v>
      </c>
      <c r="C771" t="s">
        <v>95</v>
      </c>
      <c r="D771" t="s">
        <v>917</v>
      </c>
      <c r="E771" t="s">
        <v>28</v>
      </c>
      <c r="F771" t="s">
        <v>55</v>
      </c>
      <c r="G771" t="s">
        <v>35</v>
      </c>
      <c r="H771">
        <v>24.1</v>
      </c>
      <c r="I771">
        <v>3057</v>
      </c>
      <c r="J771">
        <v>22</v>
      </c>
      <c r="K771">
        <v>13.7</v>
      </c>
      <c r="L771" t="s">
        <v>78</v>
      </c>
      <c r="M771">
        <v>14032.95</v>
      </c>
      <c r="N771">
        <v>9244</v>
      </c>
      <c r="O771" t="s">
        <v>50</v>
      </c>
      <c r="P771" t="str">
        <f t="shared" si="108"/>
        <v>No</v>
      </c>
      <c r="Q771">
        <f t="shared" si="109"/>
        <v>126.85</v>
      </c>
      <c r="R771">
        <f t="shared" si="110"/>
        <v>4.59</v>
      </c>
      <c r="S771">
        <f t="shared" si="111"/>
        <v>1.52</v>
      </c>
      <c r="T771" t="str">
        <f t="shared" si="112"/>
        <v>On Time</v>
      </c>
      <c r="U771" t="str">
        <f t="shared" si="113"/>
        <v>Low</v>
      </c>
      <c r="V771" t="str">
        <f t="shared" si="114"/>
        <v>Low Risk</v>
      </c>
      <c r="W771" t="str">
        <f t="shared" si="115"/>
        <v>Apr</v>
      </c>
      <c r="X771">
        <f t="shared" ref="X771:X834" si="116">YEAR(A771)</f>
        <v>2025</v>
      </c>
    </row>
    <row r="772" spans="1:24" x14ac:dyDescent="0.35">
      <c r="A772" s="3">
        <v>45873</v>
      </c>
      <c r="B772" t="s">
        <v>125</v>
      </c>
      <c r="C772" t="s">
        <v>39</v>
      </c>
      <c r="D772" t="s">
        <v>918</v>
      </c>
      <c r="E772" t="s">
        <v>55</v>
      </c>
      <c r="F772" t="s">
        <v>27</v>
      </c>
      <c r="G772" t="s">
        <v>35</v>
      </c>
      <c r="H772">
        <v>47</v>
      </c>
      <c r="I772">
        <v>3357</v>
      </c>
      <c r="J772">
        <v>95</v>
      </c>
      <c r="K772">
        <v>16.600000000000001</v>
      </c>
      <c r="L772" t="s">
        <v>49</v>
      </c>
      <c r="M772">
        <v>21158.59</v>
      </c>
      <c r="N772">
        <v>12257</v>
      </c>
      <c r="O772" t="s">
        <v>50</v>
      </c>
      <c r="P772" t="str">
        <f t="shared" si="108"/>
        <v>Yes</v>
      </c>
      <c r="Q772">
        <f t="shared" si="109"/>
        <v>71.430000000000007</v>
      </c>
      <c r="R772">
        <f t="shared" si="110"/>
        <v>6.3</v>
      </c>
      <c r="S772">
        <f t="shared" si="111"/>
        <v>1.73</v>
      </c>
      <c r="T772" t="str">
        <f t="shared" si="112"/>
        <v>Delayed</v>
      </c>
      <c r="U772" t="str">
        <f t="shared" si="113"/>
        <v>Medium</v>
      </c>
      <c r="V772" t="str">
        <f t="shared" si="114"/>
        <v>High Risk</v>
      </c>
      <c r="W772" t="str">
        <f t="shared" si="115"/>
        <v>Aug</v>
      </c>
      <c r="X772">
        <f t="shared" si="116"/>
        <v>2025</v>
      </c>
    </row>
    <row r="773" spans="1:24" x14ac:dyDescent="0.35">
      <c r="A773" s="3">
        <v>45963</v>
      </c>
      <c r="B773" t="s">
        <v>207</v>
      </c>
      <c r="C773" t="s">
        <v>25</v>
      </c>
      <c r="D773" t="s">
        <v>919</v>
      </c>
      <c r="E773" t="s">
        <v>54</v>
      </c>
      <c r="F773" t="s">
        <v>55</v>
      </c>
      <c r="G773" t="s">
        <v>71</v>
      </c>
      <c r="H773">
        <v>20.399999999999999</v>
      </c>
      <c r="I773">
        <v>4683</v>
      </c>
      <c r="J773">
        <v>36</v>
      </c>
      <c r="K773">
        <v>18.7</v>
      </c>
      <c r="L773" t="s">
        <v>78</v>
      </c>
      <c r="M773">
        <v>12865</v>
      </c>
      <c r="N773">
        <v>23649</v>
      </c>
      <c r="O773" t="s">
        <v>91</v>
      </c>
      <c r="P773" t="str">
        <f t="shared" si="108"/>
        <v>No</v>
      </c>
      <c r="Q773">
        <f t="shared" si="109"/>
        <v>229.56</v>
      </c>
      <c r="R773">
        <f t="shared" si="110"/>
        <v>2.75</v>
      </c>
      <c r="S773">
        <f t="shared" si="111"/>
        <v>0.54</v>
      </c>
      <c r="T773" t="str">
        <f t="shared" si="112"/>
        <v>On Time</v>
      </c>
      <c r="U773" t="str">
        <f t="shared" si="113"/>
        <v>Low</v>
      </c>
      <c r="V773" t="str">
        <f t="shared" si="114"/>
        <v>Low Risk</v>
      </c>
      <c r="W773" t="str">
        <f t="shared" si="115"/>
        <v>Nov</v>
      </c>
      <c r="X773">
        <f t="shared" si="116"/>
        <v>2025</v>
      </c>
    </row>
    <row r="774" spans="1:24" x14ac:dyDescent="0.35">
      <c r="A774" s="3">
        <v>45732</v>
      </c>
      <c r="B774" t="s">
        <v>173</v>
      </c>
      <c r="C774" t="s">
        <v>109</v>
      </c>
      <c r="D774" t="s">
        <v>920</v>
      </c>
      <c r="E774" t="s">
        <v>48</v>
      </c>
      <c r="F774" t="s">
        <v>55</v>
      </c>
      <c r="G774" t="s">
        <v>71</v>
      </c>
      <c r="H774">
        <v>37.700000000000003</v>
      </c>
      <c r="I774">
        <v>4653</v>
      </c>
      <c r="J774">
        <v>114</v>
      </c>
      <c r="K774">
        <v>20.9</v>
      </c>
      <c r="L774" t="s">
        <v>78</v>
      </c>
      <c r="M774">
        <v>24007.26</v>
      </c>
      <c r="N774">
        <v>5971</v>
      </c>
      <c r="O774" t="s">
        <v>84</v>
      </c>
      <c r="P774" t="str">
        <f t="shared" si="108"/>
        <v>No</v>
      </c>
      <c r="Q774">
        <f t="shared" si="109"/>
        <v>123.42</v>
      </c>
      <c r="R774">
        <f t="shared" si="110"/>
        <v>5.16</v>
      </c>
      <c r="S774">
        <f t="shared" si="111"/>
        <v>4.0199999999999996</v>
      </c>
      <c r="T774" t="str">
        <f t="shared" si="112"/>
        <v>On Time</v>
      </c>
      <c r="U774" t="str">
        <f t="shared" si="113"/>
        <v>Low</v>
      </c>
      <c r="V774" t="str">
        <f t="shared" si="114"/>
        <v>Low Risk</v>
      </c>
      <c r="W774" t="str">
        <f t="shared" si="115"/>
        <v>Mar</v>
      </c>
      <c r="X774">
        <f t="shared" si="116"/>
        <v>2025</v>
      </c>
    </row>
    <row r="775" spans="1:24" x14ac:dyDescent="0.35">
      <c r="A775" s="3">
        <v>45842</v>
      </c>
      <c r="B775" t="s">
        <v>309</v>
      </c>
      <c r="C775" t="s">
        <v>57</v>
      </c>
      <c r="D775" t="s">
        <v>921</v>
      </c>
      <c r="E775" t="s">
        <v>28</v>
      </c>
      <c r="F775" t="s">
        <v>63</v>
      </c>
      <c r="G775" t="s">
        <v>71</v>
      </c>
      <c r="H775">
        <v>27.7</v>
      </c>
      <c r="I775">
        <v>3710</v>
      </c>
      <c r="J775">
        <v>90</v>
      </c>
      <c r="K775">
        <v>11.1</v>
      </c>
      <c r="L775" t="s">
        <v>49</v>
      </c>
      <c r="M775">
        <v>14904.55</v>
      </c>
      <c r="N775">
        <v>28128</v>
      </c>
      <c r="O775" t="s">
        <v>44</v>
      </c>
      <c r="P775" t="str">
        <f t="shared" si="108"/>
        <v>Yes</v>
      </c>
      <c r="Q775">
        <f t="shared" si="109"/>
        <v>133.94</v>
      </c>
      <c r="R775">
        <f t="shared" si="110"/>
        <v>4.0199999999999996</v>
      </c>
      <c r="S775">
        <f t="shared" si="111"/>
        <v>0.53</v>
      </c>
      <c r="T775" t="str">
        <f t="shared" si="112"/>
        <v>Delayed</v>
      </c>
      <c r="U775" t="str">
        <f t="shared" si="113"/>
        <v>Low</v>
      </c>
      <c r="V775" t="str">
        <f t="shared" si="114"/>
        <v>High Risk</v>
      </c>
      <c r="W775" t="str">
        <f t="shared" si="115"/>
        <v>Jul</v>
      </c>
      <c r="X775">
        <f t="shared" si="116"/>
        <v>2025</v>
      </c>
    </row>
    <row r="776" spans="1:24" x14ac:dyDescent="0.35">
      <c r="A776" s="3">
        <v>45788</v>
      </c>
      <c r="B776" t="s">
        <v>146</v>
      </c>
      <c r="C776" t="s">
        <v>57</v>
      </c>
      <c r="D776" t="s">
        <v>922</v>
      </c>
      <c r="E776" t="s">
        <v>55</v>
      </c>
      <c r="F776" t="s">
        <v>48</v>
      </c>
      <c r="G776" t="s">
        <v>42</v>
      </c>
      <c r="H776">
        <v>59.6</v>
      </c>
      <c r="I776">
        <v>4986</v>
      </c>
      <c r="J776">
        <v>59</v>
      </c>
      <c r="K776">
        <v>12.5</v>
      </c>
      <c r="L776" t="s">
        <v>49</v>
      </c>
      <c r="M776">
        <v>29109.09</v>
      </c>
      <c r="N776">
        <v>19729</v>
      </c>
      <c r="O776" t="s">
        <v>31</v>
      </c>
      <c r="P776" t="str">
        <f t="shared" si="108"/>
        <v>Yes</v>
      </c>
      <c r="Q776">
        <f t="shared" si="109"/>
        <v>83.66</v>
      </c>
      <c r="R776">
        <f t="shared" si="110"/>
        <v>5.84</v>
      </c>
      <c r="S776">
        <f t="shared" si="111"/>
        <v>1.48</v>
      </c>
      <c r="T776" t="str">
        <f t="shared" si="112"/>
        <v>Delayed</v>
      </c>
      <c r="U776" t="str">
        <f t="shared" si="113"/>
        <v>Medium</v>
      </c>
      <c r="V776" t="str">
        <f t="shared" si="114"/>
        <v>High Risk</v>
      </c>
      <c r="W776" t="str">
        <f t="shared" si="115"/>
        <v>May</v>
      </c>
      <c r="X776">
        <f t="shared" si="116"/>
        <v>2025</v>
      </c>
    </row>
    <row r="777" spans="1:24" x14ac:dyDescent="0.35">
      <c r="A777" s="3">
        <v>45883</v>
      </c>
      <c r="B777" t="s">
        <v>123</v>
      </c>
      <c r="C777" t="s">
        <v>39</v>
      </c>
      <c r="D777" t="s">
        <v>923</v>
      </c>
      <c r="E777" t="s">
        <v>55</v>
      </c>
      <c r="F777" t="s">
        <v>48</v>
      </c>
      <c r="G777" t="s">
        <v>71</v>
      </c>
      <c r="H777">
        <v>64.3</v>
      </c>
      <c r="I777">
        <v>1051</v>
      </c>
      <c r="J777">
        <v>74</v>
      </c>
      <c r="K777">
        <v>11.6</v>
      </c>
      <c r="L777" t="s">
        <v>49</v>
      </c>
      <c r="M777">
        <v>42502.06</v>
      </c>
      <c r="N777">
        <v>16398</v>
      </c>
      <c r="O777" t="s">
        <v>50</v>
      </c>
      <c r="P777" t="str">
        <f t="shared" si="108"/>
        <v>Yes</v>
      </c>
      <c r="Q777">
        <f t="shared" si="109"/>
        <v>16.350000000000001</v>
      </c>
      <c r="R777">
        <f t="shared" si="110"/>
        <v>40.44</v>
      </c>
      <c r="S777">
        <f t="shared" si="111"/>
        <v>2.59</v>
      </c>
      <c r="T777" t="str">
        <f t="shared" si="112"/>
        <v>Delayed</v>
      </c>
      <c r="U777" t="str">
        <f t="shared" si="113"/>
        <v>High</v>
      </c>
      <c r="V777" t="str">
        <f t="shared" si="114"/>
        <v>High Risk</v>
      </c>
      <c r="W777" t="str">
        <f t="shared" si="115"/>
        <v>Aug</v>
      </c>
      <c r="X777">
        <f t="shared" si="116"/>
        <v>2025</v>
      </c>
    </row>
    <row r="778" spans="1:24" x14ac:dyDescent="0.35">
      <c r="A778" s="3">
        <v>45966</v>
      </c>
      <c r="B778" t="s">
        <v>188</v>
      </c>
      <c r="C778" t="s">
        <v>39</v>
      </c>
      <c r="D778" t="s">
        <v>924</v>
      </c>
      <c r="E778" t="s">
        <v>55</v>
      </c>
      <c r="F778" t="s">
        <v>66</v>
      </c>
      <c r="G778" t="s">
        <v>71</v>
      </c>
      <c r="H778">
        <v>26</v>
      </c>
      <c r="I778">
        <v>2721</v>
      </c>
      <c r="J778">
        <v>96</v>
      </c>
      <c r="K778">
        <v>10.3</v>
      </c>
      <c r="L778" t="s">
        <v>49</v>
      </c>
      <c r="M778">
        <v>14297.02</v>
      </c>
      <c r="N778">
        <v>9665</v>
      </c>
      <c r="O778" t="s">
        <v>36</v>
      </c>
      <c r="P778" t="str">
        <f t="shared" si="108"/>
        <v>Yes</v>
      </c>
      <c r="Q778">
        <f t="shared" si="109"/>
        <v>104.65</v>
      </c>
      <c r="R778">
        <f t="shared" si="110"/>
        <v>5.25</v>
      </c>
      <c r="S778">
        <f t="shared" si="111"/>
        <v>1.48</v>
      </c>
      <c r="T778" t="str">
        <f t="shared" si="112"/>
        <v>Delayed</v>
      </c>
      <c r="U778" t="str">
        <f t="shared" si="113"/>
        <v>Low</v>
      </c>
      <c r="V778" t="str">
        <f t="shared" si="114"/>
        <v>High Risk</v>
      </c>
      <c r="W778" t="str">
        <f t="shared" si="115"/>
        <v>Nov</v>
      </c>
      <c r="X778">
        <f t="shared" si="116"/>
        <v>2025</v>
      </c>
    </row>
    <row r="779" spans="1:24" x14ac:dyDescent="0.35">
      <c r="A779" s="3">
        <v>45723</v>
      </c>
      <c r="B779" t="s">
        <v>173</v>
      </c>
      <c r="C779" t="s">
        <v>57</v>
      </c>
      <c r="D779" t="s">
        <v>925</v>
      </c>
      <c r="E779" t="s">
        <v>28</v>
      </c>
      <c r="F779" t="s">
        <v>66</v>
      </c>
      <c r="G779" t="s">
        <v>29</v>
      </c>
      <c r="H779">
        <v>28.9</v>
      </c>
      <c r="I779">
        <v>3207</v>
      </c>
      <c r="J779">
        <v>120</v>
      </c>
      <c r="K779">
        <v>18.8</v>
      </c>
      <c r="L779" t="s">
        <v>49</v>
      </c>
      <c r="M779">
        <v>17817.37</v>
      </c>
      <c r="N779">
        <v>25584</v>
      </c>
      <c r="O779" t="s">
        <v>36</v>
      </c>
      <c r="P779" t="str">
        <f t="shared" si="108"/>
        <v>Yes</v>
      </c>
      <c r="Q779">
        <f t="shared" si="109"/>
        <v>110.97</v>
      </c>
      <c r="R779">
        <f t="shared" si="110"/>
        <v>5.56</v>
      </c>
      <c r="S779">
        <f t="shared" si="111"/>
        <v>0.7</v>
      </c>
      <c r="T779" t="str">
        <f t="shared" si="112"/>
        <v>Delayed</v>
      </c>
      <c r="U779" t="str">
        <f t="shared" si="113"/>
        <v>Low</v>
      </c>
      <c r="V779" t="str">
        <f t="shared" si="114"/>
        <v>High Risk</v>
      </c>
      <c r="W779" t="str">
        <f t="shared" si="115"/>
        <v>Mar</v>
      </c>
      <c r="X779">
        <f t="shared" si="116"/>
        <v>2025</v>
      </c>
    </row>
    <row r="780" spans="1:24" x14ac:dyDescent="0.35">
      <c r="A780" s="3">
        <v>45946</v>
      </c>
      <c r="B780" t="s">
        <v>430</v>
      </c>
      <c r="C780" t="s">
        <v>52</v>
      </c>
      <c r="D780" t="s">
        <v>926</v>
      </c>
      <c r="E780" t="s">
        <v>63</v>
      </c>
      <c r="F780" t="s">
        <v>48</v>
      </c>
      <c r="G780" t="s">
        <v>71</v>
      </c>
      <c r="H780">
        <v>25.3</v>
      </c>
      <c r="I780">
        <v>2304</v>
      </c>
      <c r="J780">
        <v>37</v>
      </c>
      <c r="K780">
        <v>10.199999999999999</v>
      </c>
      <c r="L780" t="s">
        <v>30</v>
      </c>
      <c r="M780">
        <v>11660.21</v>
      </c>
      <c r="N780">
        <v>28662</v>
      </c>
      <c r="O780" t="s">
        <v>91</v>
      </c>
      <c r="P780" t="str">
        <f t="shared" si="108"/>
        <v>Yes</v>
      </c>
      <c r="Q780">
        <f t="shared" si="109"/>
        <v>91.07</v>
      </c>
      <c r="R780">
        <f t="shared" si="110"/>
        <v>5.0599999999999996</v>
      </c>
      <c r="S780">
        <f t="shared" si="111"/>
        <v>0.41</v>
      </c>
      <c r="T780" t="str">
        <f t="shared" si="112"/>
        <v>Delayed</v>
      </c>
      <c r="U780" t="str">
        <f t="shared" si="113"/>
        <v>Low</v>
      </c>
      <c r="V780" t="str">
        <f t="shared" si="114"/>
        <v>Medium Risk</v>
      </c>
      <c r="W780" t="str">
        <f t="shared" si="115"/>
        <v>Oct</v>
      </c>
      <c r="X780">
        <f t="shared" si="116"/>
        <v>2025</v>
      </c>
    </row>
    <row r="781" spans="1:24" x14ac:dyDescent="0.35">
      <c r="A781" s="3">
        <v>46014</v>
      </c>
      <c r="B781" t="s">
        <v>366</v>
      </c>
      <c r="C781" t="s">
        <v>95</v>
      </c>
      <c r="D781" t="s">
        <v>927</v>
      </c>
      <c r="E781" t="s">
        <v>41</v>
      </c>
      <c r="F781" t="s">
        <v>55</v>
      </c>
      <c r="G781" t="s">
        <v>71</v>
      </c>
      <c r="H781">
        <v>66.5</v>
      </c>
      <c r="I781">
        <v>4547</v>
      </c>
      <c r="J781">
        <v>92</v>
      </c>
      <c r="K781">
        <v>14.3</v>
      </c>
      <c r="L781" t="s">
        <v>49</v>
      </c>
      <c r="M781">
        <v>37883.47</v>
      </c>
      <c r="N781">
        <v>27486</v>
      </c>
      <c r="O781" t="s">
        <v>50</v>
      </c>
      <c r="P781" t="str">
        <f t="shared" si="108"/>
        <v>Yes</v>
      </c>
      <c r="Q781">
        <f t="shared" si="109"/>
        <v>68.38</v>
      </c>
      <c r="R781">
        <f t="shared" si="110"/>
        <v>8.33</v>
      </c>
      <c r="S781">
        <f t="shared" si="111"/>
        <v>1.38</v>
      </c>
      <c r="T781" t="str">
        <f t="shared" si="112"/>
        <v>Delayed</v>
      </c>
      <c r="U781" t="str">
        <f t="shared" si="113"/>
        <v>High</v>
      </c>
      <c r="V781" t="str">
        <f t="shared" si="114"/>
        <v>High Risk</v>
      </c>
      <c r="W781" t="str">
        <f t="shared" si="115"/>
        <v>Dec</v>
      </c>
      <c r="X781">
        <f t="shared" si="116"/>
        <v>2025</v>
      </c>
    </row>
    <row r="782" spans="1:24" x14ac:dyDescent="0.35">
      <c r="A782" s="3">
        <v>45708</v>
      </c>
      <c r="B782" t="s">
        <v>136</v>
      </c>
      <c r="C782" t="s">
        <v>25</v>
      </c>
      <c r="D782" t="s">
        <v>928</v>
      </c>
      <c r="E782" t="s">
        <v>28</v>
      </c>
      <c r="F782" t="s">
        <v>27</v>
      </c>
      <c r="G782" t="s">
        <v>29</v>
      </c>
      <c r="H782">
        <v>36.9</v>
      </c>
      <c r="I782">
        <v>2874</v>
      </c>
      <c r="J782">
        <v>26</v>
      </c>
      <c r="K782">
        <v>12</v>
      </c>
      <c r="L782" t="s">
        <v>78</v>
      </c>
      <c r="M782">
        <v>24357.35</v>
      </c>
      <c r="N782">
        <v>29211</v>
      </c>
      <c r="O782" t="s">
        <v>36</v>
      </c>
      <c r="P782" t="str">
        <f t="shared" si="108"/>
        <v>No</v>
      </c>
      <c r="Q782">
        <f t="shared" si="109"/>
        <v>77.89</v>
      </c>
      <c r="R782">
        <f t="shared" si="110"/>
        <v>8.48</v>
      </c>
      <c r="S782">
        <f t="shared" si="111"/>
        <v>0.83</v>
      </c>
      <c r="T782" t="str">
        <f t="shared" si="112"/>
        <v>On Time</v>
      </c>
      <c r="U782" t="str">
        <f t="shared" si="113"/>
        <v>Low</v>
      </c>
      <c r="V782" t="str">
        <f t="shared" si="114"/>
        <v>Low Risk</v>
      </c>
      <c r="W782" t="str">
        <f t="shared" si="115"/>
        <v>Feb</v>
      </c>
      <c r="X782">
        <f t="shared" si="116"/>
        <v>2025</v>
      </c>
    </row>
    <row r="783" spans="1:24" x14ac:dyDescent="0.35">
      <c r="A783" s="3">
        <v>45805</v>
      </c>
      <c r="B783" t="s">
        <v>167</v>
      </c>
      <c r="C783" t="s">
        <v>57</v>
      </c>
      <c r="D783" t="s">
        <v>929</v>
      </c>
      <c r="E783" t="s">
        <v>66</v>
      </c>
      <c r="F783" t="s">
        <v>63</v>
      </c>
      <c r="G783" t="s">
        <v>29</v>
      </c>
      <c r="H783">
        <v>34.799999999999997</v>
      </c>
      <c r="I783">
        <v>560</v>
      </c>
      <c r="J783">
        <v>116</v>
      </c>
      <c r="K783">
        <v>17.899999999999999</v>
      </c>
      <c r="L783" t="s">
        <v>78</v>
      </c>
      <c r="M783">
        <v>22407.41</v>
      </c>
      <c r="N783">
        <v>20822</v>
      </c>
      <c r="O783" t="s">
        <v>31</v>
      </c>
      <c r="P783" t="str">
        <f t="shared" si="108"/>
        <v>No</v>
      </c>
      <c r="Q783">
        <f t="shared" si="109"/>
        <v>16.09</v>
      </c>
      <c r="R783">
        <f t="shared" si="110"/>
        <v>40.01</v>
      </c>
      <c r="S783">
        <f t="shared" si="111"/>
        <v>1.08</v>
      </c>
      <c r="T783" t="str">
        <f t="shared" si="112"/>
        <v>On Time</v>
      </c>
      <c r="U783" t="str">
        <f t="shared" si="113"/>
        <v>Low</v>
      </c>
      <c r="V783" t="str">
        <f t="shared" si="114"/>
        <v>Low Risk</v>
      </c>
      <c r="W783" t="str">
        <f t="shared" si="115"/>
        <v>May</v>
      </c>
      <c r="X783">
        <f t="shared" si="116"/>
        <v>2025</v>
      </c>
    </row>
    <row r="784" spans="1:24" x14ac:dyDescent="0.35">
      <c r="A784" s="3">
        <v>45958</v>
      </c>
      <c r="B784" t="s">
        <v>193</v>
      </c>
      <c r="C784" t="s">
        <v>109</v>
      </c>
      <c r="D784" t="s">
        <v>930</v>
      </c>
      <c r="E784" t="s">
        <v>48</v>
      </c>
      <c r="F784" t="s">
        <v>54</v>
      </c>
      <c r="G784" t="s">
        <v>71</v>
      </c>
      <c r="H784">
        <v>54.6</v>
      </c>
      <c r="I784">
        <v>1553</v>
      </c>
      <c r="J784">
        <v>68</v>
      </c>
      <c r="K784">
        <v>19.2</v>
      </c>
      <c r="L784" t="s">
        <v>43</v>
      </c>
      <c r="M784">
        <v>27610.28</v>
      </c>
      <c r="N784">
        <v>13178</v>
      </c>
      <c r="O784" t="s">
        <v>67</v>
      </c>
      <c r="P784" t="str">
        <f t="shared" si="108"/>
        <v>Yes</v>
      </c>
      <c r="Q784">
        <f t="shared" si="109"/>
        <v>28.44</v>
      </c>
      <c r="R784">
        <f t="shared" si="110"/>
        <v>17.78</v>
      </c>
      <c r="S784">
        <f t="shared" si="111"/>
        <v>2.1</v>
      </c>
      <c r="T784" t="str">
        <f t="shared" si="112"/>
        <v>Delayed</v>
      </c>
      <c r="U784" t="str">
        <f t="shared" si="113"/>
        <v>Medium</v>
      </c>
      <c r="V784" t="str">
        <f t="shared" si="114"/>
        <v>Low Risk</v>
      </c>
      <c r="W784" t="str">
        <f t="shared" si="115"/>
        <v>Oct</v>
      </c>
      <c r="X784">
        <f t="shared" si="116"/>
        <v>2025</v>
      </c>
    </row>
    <row r="785" spans="1:24" x14ac:dyDescent="0.35">
      <c r="A785" s="3">
        <v>46001</v>
      </c>
      <c r="B785" t="s">
        <v>133</v>
      </c>
      <c r="C785" t="s">
        <v>57</v>
      </c>
      <c r="D785" t="s">
        <v>931</v>
      </c>
      <c r="E785" t="s">
        <v>55</v>
      </c>
      <c r="F785" t="s">
        <v>63</v>
      </c>
      <c r="G785" t="s">
        <v>71</v>
      </c>
      <c r="H785">
        <v>33.200000000000003</v>
      </c>
      <c r="I785">
        <v>2756</v>
      </c>
      <c r="J785">
        <v>59</v>
      </c>
      <c r="K785">
        <v>14.2</v>
      </c>
      <c r="L785" t="s">
        <v>30</v>
      </c>
      <c r="M785">
        <v>15780.16</v>
      </c>
      <c r="N785">
        <v>10788</v>
      </c>
      <c r="O785" t="s">
        <v>44</v>
      </c>
      <c r="P785" t="str">
        <f t="shared" si="108"/>
        <v>Yes</v>
      </c>
      <c r="Q785">
        <f t="shared" si="109"/>
        <v>83.01</v>
      </c>
      <c r="R785">
        <f t="shared" si="110"/>
        <v>5.73</v>
      </c>
      <c r="S785">
        <f t="shared" si="111"/>
        <v>1.46</v>
      </c>
      <c r="T785" t="str">
        <f t="shared" si="112"/>
        <v>Delayed</v>
      </c>
      <c r="U785" t="str">
        <f t="shared" si="113"/>
        <v>Low</v>
      </c>
      <c r="V785" t="str">
        <f t="shared" si="114"/>
        <v>Medium Risk</v>
      </c>
      <c r="W785" t="str">
        <f t="shared" si="115"/>
        <v>Dec</v>
      </c>
      <c r="X785">
        <f t="shared" si="116"/>
        <v>2025</v>
      </c>
    </row>
    <row r="786" spans="1:24" x14ac:dyDescent="0.35">
      <c r="A786" s="3">
        <v>46014</v>
      </c>
      <c r="B786" t="s">
        <v>291</v>
      </c>
      <c r="C786" t="s">
        <v>25</v>
      </c>
      <c r="D786" t="s">
        <v>932</v>
      </c>
      <c r="E786" t="s">
        <v>48</v>
      </c>
      <c r="F786" t="s">
        <v>55</v>
      </c>
      <c r="G786" t="s">
        <v>29</v>
      </c>
      <c r="H786">
        <v>39.799999999999997</v>
      </c>
      <c r="I786">
        <v>1422</v>
      </c>
      <c r="J786">
        <v>99</v>
      </c>
      <c r="K786">
        <v>16.100000000000001</v>
      </c>
      <c r="L786" t="s">
        <v>30</v>
      </c>
      <c r="M786">
        <v>27507.43</v>
      </c>
      <c r="N786">
        <v>19973</v>
      </c>
      <c r="O786" t="s">
        <v>44</v>
      </c>
      <c r="P786" t="str">
        <f t="shared" si="108"/>
        <v>Yes</v>
      </c>
      <c r="Q786">
        <f t="shared" si="109"/>
        <v>35.729999999999997</v>
      </c>
      <c r="R786">
        <f t="shared" si="110"/>
        <v>19.34</v>
      </c>
      <c r="S786">
        <f t="shared" si="111"/>
        <v>1.38</v>
      </c>
      <c r="T786" t="str">
        <f t="shared" si="112"/>
        <v>Delayed</v>
      </c>
      <c r="U786" t="str">
        <f t="shared" si="113"/>
        <v>Low</v>
      </c>
      <c r="V786" t="str">
        <f t="shared" si="114"/>
        <v>Medium Risk</v>
      </c>
      <c r="W786" t="str">
        <f t="shared" si="115"/>
        <v>Dec</v>
      </c>
      <c r="X786">
        <f t="shared" si="116"/>
        <v>2025</v>
      </c>
    </row>
    <row r="787" spans="1:24" x14ac:dyDescent="0.35">
      <c r="A787" s="3">
        <v>45815</v>
      </c>
      <c r="B787" t="s">
        <v>98</v>
      </c>
      <c r="C787" t="s">
        <v>69</v>
      </c>
      <c r="D787" t="s">
        <v>933</v>
      </c>
      <c r="E787" t="s">
        <v>66</v>
      </c>
      <c r="F787" t="s">
        <v>48</v>
      </c>
      <c r="G787" t="s">
        <v>71</v>
      </c>
      <c r="H787">
        <v>61</v>
      </c>
      <c r="I787">
        <v>4125</v>
      </c>
      <c r="J787">
        <v>24</v>
      </c>
      <c r="K787">
        <v>20.100000000000001</v>
      </c>
      <c r="L787" t="s">
        <v>43</v>
      </c>
      <c r="M787">
        <v>38686.589999999997</v>
      </c>
      <c r="N787">
        <v>5385</v>
      </c>
      <c r="O787" t="s">
        <v>91</v>
      </c>
      <c r="P787" t="str">
        <f t="shared" si="108"/>
        <v>Yes</v>
      </c>
      <c r="Q787">
        <f t="shared" si="109"/>
        <v>67.62</v>
      </c>
      <c r="R787">
        <f t="shared" si="110"/>
        <v>9.3800000000000008</v>
      </c>
      <c r="S787">
        <f t="shared" si="111"/>
        <v>7.18</v>
      </c>
      <c r="T787" t="str">
        <f t="shared" si="112"/>
        <v>Delayed</v>
      </c>
      <c r="U787" t="str">
        <f t="shared" si="113"/>
        <v>High</v>
      </c>
      <c r="V787" t="str">
        <f t="shared" si="114"/>
        <v>Low Risk</v>
      </c>
      <c r="W787" t="str">
        <f t="shared" si="115"/>
        <v>Jun</v>
      </c>
      <c r="X787">
        <f t="shared" si="116"/>
        <v>2025</v>
      </c>
    </row>
    <row r="788" spans="1:24" x14ac:dyDescent="0.35">
      <c r="A788" s="3">
        <v>46021</v>
      </c>
      <c r="B788" t="s">
        <v>188</v>
      </c>
      <c r="C788" t="s">
        <v>130</v>
      </c>
      <c r="D788" t="s">
        <v>934</v>
      </c>
      <c r="E788" t="s">
        <v>63</v>
      </c>
      <c r="F788" t="s">
        <v>27</v>
      </c>
      <c r="G788" t="s">
        <v>29</v>
      </c>
      <c r="H788">
        <v>29</v>
      </c>
      <c r="I788">
        <v>3651</v>
      </c>
      <c r="J788">
        <v>87</v>
      </c>
      <c r="K788">
        <v>11.4</v>
      </c>
      <c r="L788" t="s">
        <v>43</v>
      </c>
      <c r="M788">
        <v>15836.77</v>
      </c>
      <c r="N788">
        <v>10702</v>
      </c>
      <c r="O788" t="s">
        <v>36</v>
      </c>
      <c r="P788" t="str">
        <f t="shared" si="108"/>
        <v>Yes</v>
      </c>
      <c r="Q788">
        <f t="shared" si="109"/>
        <v>125.9</v>
      </c>
      <c r="R788">
        <f t="shared" si="110"/>
        <v>4.34</v>
      </c>
      <c r="S788">
        <f t="shared" si="111"/>
        <v>1.48</v>
      </c>
      <c r="T788" t="str">
        <f t="shared" si="112"/>
        <v>Delayed</v>
      </c>
      <c r="U788" t="str">
        <f t="shared" si="113"/>
        <v>Low</v>
      </c>
      <c r="V788" t="str">
        <f t="shared" si="114"/>
        <v>Low Risk</v>
      </c>
      <c r="W788" t="str">
        <f t="shared" si="115"/>
        <v>Dec</v>
      </c>
      <c r="X788">
        <f t="shared" si="116"/>
        <v>2025</v>
      </c>
    </row>
    <row r="789" spans="1:24" x14ac:dyDescent="0.35">
      <c r="A789" s="3">
        <v>46016</v>
      </c>
      <c r="B789" t="s">
        <v>123</v>
      </c>
      <c r="C789" t="s">
        <v>25</v>
      </c>
      <c r="D789" t="s">
        <v>935</v>
      </c>
      <c r="E789" t="s">
        <v>54</v>
      </c>
      <c r="F789" t="s">
        <v>28</v>
      </c>
      <c r="G789" t="s">
        <v>29</v>
      </c>
      <c r="H789">
        <v>58.9</v>
      </c>
      <c r="I789">
        <v>4151</v>
      </c>
      <c r="J789">
        <v>99</v>
      </c>
      <c r="K789">
        <v>13.2</v>
      </c>
      <c r="L789" t="s">
        <v>49</v>
      </c>
      <c r="M789">
        <v>34805.43</v>
      </c>
      <c r="N789">
        <v>18082</v>
      </c>
      <c r="O789" t="s">
        <v>31</v>
      </c>
      <c r="P789" t="str">
        <f t="shared" si="108"/>
        <v>Yes</v>
      </c>
      <c r="Q789">
        <f t="shared" si="109"/>
        <v>70.48</v>
      </c>
      <c r="R789">
        <f t="shared" si="110"/>
        <v>8.3800000000000008</v>
      </c>
      <c r="S789">
        <f t="shared" si="111"/>
        <v>1.92</v>
      </c>
      <c r="T789" t="str">
        <f t="shared" si="112"/>
        <v>Delayed</v>
      </c>
      <c r="U789" t="str">
        <f t="shared" si="113"/>
        <v>Medium</v>
      </c>
      <c r="V789" t="str">
        <f t="shared" si="114"/>
        <v>High Risk</v>
      </c>
      <c r="W789" t="str">
        <f t="shared" si="115"/>
        <v>Dec</v>
      </c>
      <c r="X789">
        <f t="shared" si="116"/>
        <v>2025</v>
      </c>
    </row>
    <row r="790" spans="1:24" x14ac:dyDescent="0.35">
      <c r="A790" s="3">
        <v>45987</v>
      </c>
      <c r="B790" t="s">
        <v>142</v>
      </c>
      <c r="C790" t="s">
        <v>69</v>
      </c>
      <c r="D790" t="s">
        <v>936</v>
      </c>
      <c r="E790" t="s">
        <v>63</v>
      </c>
      <c r="F790" t="s">
        <v>27</v>
      </c>
      <c r="G790" t="s">
        <v>42</v>
      </c>
      <c r="H790">
        <v>79.5</v>
      </c>
      <c r="I790">
        <v>3610</v>
      </c>
      <c r="J790">
        <v>94</v>
      </c>
      <c r="K790">
        <v>11.4</v>
      </c>
      <c r="L790" t="s">
        <v>78</v>
      </c>
      <c r="M790">
        <v>53948.07</v>
      </c>
      <c r="N790">
        <v>8302</v>
      </c>
      <c r="O790" t="s">
        <v>67</v>
      </c>
      <c r="P790" t="str">
        <f t="shared" si="108"/>
        <v>No</v>
      </c>
      <c r="Q790">
        <f t="shared" si="109"/>
        <v>45.41</v>
      </c>
      <c r="R790">
        <f t="shared" si="110"/>
        <v>14.94</v>
      </c>
      <c r="S790">
        <f t="shared" si="111"/>
        <v>6.5</v>
      </c>
      <c r="T790" t="str">
        <f t="shared" si="112"/>
        <v>On Time</v>
      </c>
      <c r="U790" t="str">
        <f t="shared" si="113"/>
        <v>High</v>
      </c>
      <c r="V790" t="str">
        <f t="shared" si="114"/>
        <v>Low Risk</v>
      </c>
      <c r="W790" t="str">
        <f t="shared" si="115"/>
        <v>Nov</v>
      </c>
      <c r="X790">
        <f t="shared" si="116"/>
        <v>2025</v>
      </c>
    </row>
    <row r="791" spans="1:24" x14ac:dyDescent="0.35">
      <c r="A791" s="3">
        <v>45837</v>
      </c>
      <c r="B791" t="s">
        <v>102</v>
      </c>
      <c r="C791" t="s">
        <v>130</v>
      </c>
      <c r="D791" t="s">
        <v>937</v>
      </c>
      <c r="E791" t="s">
        <v>27</v>
      </c>
      <c r="F791" t="s">
        <v>28</v>
      </c>
      <c r="G791" t="s">
        <v>35</v>
      </c>
      <c r="H791">
        <v>49.1</v>
      </c>
      <c r="I791">
        <v>2306</v>
      </c>
      <c r="J791">
        <v>101</v>
      </c>
      <c r="K791">
        <v>15.8</v>
      </c>
      <c r="L791" t="s">
        <v>49</v>
      </c>
      <c r="M791">
        <v>25523.47</v>
      </c>
      <c r="N791">
        <v>5239</v>
      </c>
      <c r="O791" t="s">
        <v>91</v>
      </c>
      <c r="P791" t="str">
        <f t="shared" si="108"/>
        <v>Yes</v>
      </c>
      <c r="Q791">
        <f t="shared" si="109"/>
        <v>46.97</v>
      </c>
      <c r="R791">
        <f t="shared" si="110"/>
        <v>11.07</v>
      </c>
      <c r="S791">
        <f t="shared" si="111"/>
        <v>4.87</v>
      </c>
      <c r="T791" t="str">
        <f t="shared" si="112"/>
        <v>Delayed</v>
      </c>
      <c r="U791" t="str">
        <f t="shared" si="113"/>
        <v>Medium</v>
      </c>
      <c r="V791" t="str">
        <f t="shared" si="114"/>
        <v>High Risk</v>
      </c>
      <c r="W791" t="str">
        <f t="shared" si="115"/>
        <v>Jun</v>
      </c>
      <c r="X791">
        <f t="shared" si="116"/>
        <v>2025</v>
      </c>
    </row>
    <row r="792" spans="1:24" x14ac:dyDescent="0.35">
      <c r="A792" s="3">
        <v>45751</v>
      </c>
      <c r="B792" t="s">
        <v>309</v>
      </c>
      <c r="C792" t="s">
        <v>69</v>
      </c>
      <c r="D792" t="s">
        <v>938</v>
      </c>
      <c r="E792" t="s">
        <v>54</v>
      </c>
      <c r="F792" t="s">
        <v>66</v>
      </c>
      <c r="G792" t="s">
        <v>29</v>
      </c>
      <c r="H792">
        <v>21.4</v>
      </c>
      <c r="I792">
        <v>4765</v>
      </c>
      <c r="J792">
        <v>37</v>
      </c>
      <c r="K792">
        <v>21.5</v>
      </c>
      <c r="L792" t="s">
        <v>30</v>
      </c>
      <c r="M792">
        <v>14245.48</v>
      </c>
      <c r="N792">
        <v>27589</v>
      </c>
      <c r="O792" t="s">
        <v>59</v>
      </c>
      <c r="P792" t="str">
        <f t="shared" si="108"/>
        <v>Yes</v>
      </c>
      <c r="Q792">
        <f t="shared" si="109"/>
        <v>222.66</v>
      </c>
      <c r="R792">
        <f t="shared" si="110"/>
        <v>2.99</v>
      </c>
      <c r="S792">
        <f t="shared" si="111"/>
        <v>0.52</v>
      </c>
      <c r="T792" t="str">
        <f t="shared" si="112"/>
        <v>Delayed</v>
      </c>
      <c r="U792" t="str">
        <f t="shared" si="113"/>
        <v>Low</v>
      </c>
      <c r="V792" t="str">
        <f t="shared" si="114"/>
        <v>Medium Risk</v>
      </c>
      <c r="W792" t="str">
        <f t="shared" si="115"/>
        <v>Apr</v>
      </c>
      <c r="X792">
        <f t="shared" si="116"/>
        <v>2025</v>
      </c>
    </row>
    <row r="793" spans="1:24" x14ac:dyDescent="0.35">
      <c r="A793" s="3">
        <v>45809</v>
      </c>
      <c r="B793" t="s">
        <v>127</v>
      </c>
      <c r="C793" t="s">
        <v>109</v>
      </c>
      <c r="D793" t="s">
        <v>939</v>
      </c>
      <c r="E793" t="s">
        <v>55</v>
      </c>
      <c r="F793" t="s">
        <v>54</v>
      </c>
      <c r="G793" t="s">
        <v>71</v>
      </c>
      <c r="H793">
        <v>66.599999999999994</v>
      </c>
      <c r="I793">
        <v>4094</v>
      </c>
      <c r="J793">
        <v>106</v>
      </c>
      <c r="K793">
        <v>14.6</v>
      </c>
      <c r="L793" t="s">
        <v>30</v>
      </c>
      <c r="M793">
        <v>40606.22</v>
      </c>
      <c r="N793">
        <v>10588</v>
      </c>
      <c r="O793" t="s">
        <v>50</v>
      </c>
      <c r="P793" t="str">
        <f t="shared" si="108"/>
        <v>Yes</v>
      </c>
      <c r="Q793">
        <f t="shared" si="109"/>
        <v>61.47</v>
      </c>
      <c r="R793">
        <f t="shared" si="110"/>
        <v>9.92</v>
      </c>
      <c r="S793">
        <f t="shared" si="111"/>
        <v>3.84</v>
      </c>
      <c r="T793" t="str">
        <f t="shared" si="112"/>
        <v>Delayed</v>
      </c>
      <c r="U793" t="str">
        <f t="shared" si="113"/>
        <v>High</v>
      </c>
      <c r="V793" t="str">
        <f t="shared" si="114"/>
        <v>Medium Risk</v>
      </c>
      <c r="W793" t="str">
        <f t="shared" si="115"/>
        <v>Jun</v>
      </c>
      <c r="X793">
        <f t="shared" si="116"/>
        <v>2025</v>
      </c>
    </row>
    <row r="794" spans="1:24" x14ac:dyDescent="0.35">
      <c r="A794" s="3">
        <v>45668</v>
      </c>
      <c r="B794" t="s">
        <v>148</v>
      </c>
      <c r="C794" t="s">
        <v>95</v>
      </c>
      <c r="D794" t="s">
        <v>940</v>
      </c>
      <c r="E794" t="s">
        <v>63</v>
      </c>
      <c r="F794" t="s">
        <v>41</v>
      </c>
      <c r="G794" t="s">
        <v>35</v>
      </c>
      <c r="H794">
        <v>59.8</v>
      </c>
      <c r="I794">
        <v>4178</v>
      </c>
      <c r="J794">
        <v>76</v>
      </c>
      <c r="K794">
        <v>19.2</v>
      </c>
      <c r="L794" t="s">
        <v>78</v>
      </c>
      <c r="M794">
        <v>34512.559999999998</v>
      </c>
      <c r="N794">
        <v>24136</v>
      </c>
      <c r="O794" t="s">
        <v>50</v>
      </c>
      <c r="P794" t="str">
        <f t="shared" si="108"/>
        <v>No</v>
      </c>
      <c r="Q794">
        <f t="shared" si="109"/>
        <v>69.87</v>
      </c>
      <c r="R794">
        <f t="shared" si="110"/>
        <v>8.26</v>
      </c>
      <c r="S794">
        <f t="shared" si="111"/>
        <v>1.43</v>
      </c>
      <c r="T794" t="str">
        <f t="shared" si="112"/>
        <v>On Time</v>
      </c>
      <c r="U794" t="str">
        <f t="shared" si="113"/>
        <v>Medium</v>
      </c>
      <c r="V794" t="str">
        <f t="shared" si="114"/>
        <v>Low Risk</v>
      </c>
      <c r="W794" t="str">
        <f t="shared" si="115"/>
        <v>Jan</v>
      </c>
      <c r="X794">
        <f t="shared" si="116"/>
        <v>2025</v>
      </c>
    </row>
    <row r="795" spans="1:24" x14ac:dyDescent="0.35">
      <c r="A795" s="3">
        <v>45901</v>
      </c>
      <c r="B795" t="s">
        <v>150</v>
      </c>
      <c r="C795" t="s">
        <v>39</v>
      </c>
      <c r="D795" t="s">
        <v>941</v>
      </c>
      <c r="E795" t="s">
        <v>55</v>
      </c>
      <c r="F795" t="s">
        <v>48</v>
      </c>
      <c r="G795" t="s">
        <v>35</v>
      </c>
      <c r="H795">
        <v>55.2</v>
      </c>
      <c r="I795">
        <v>2997</v>
      </c>
      <c r="J795">
        <v>41</v>
      </c>
      <c r="K795">
        <v>13.7</v>
      </c>
      <c r="L795" t="s">
        <v>30</v>
      </c>
      <c r="M795">
        <v>36437.56</v>
      </c>
      <c r="N795">
        <v>24069</v>
      </c>
      <c r="O795" t="s">
        <v>91</v>
      </c>
      <c r="P795" t="str">
        <f t="shared" si="108"/>
        <v>Yes</v>
      </c>
      <c r="Q795">
        <f t="shared" si="109"/>
        <v>54.29</v>
      </c>
      <c r="R795">
        <f t="shared" si="110"/>
        <v>12.16</v>
      </c>
      <c r="S795">
        <f t="shared" si="111"/>
        <v>1.51</v>
      </c>
      <c r="T795" t="str">
        <f t="shared" si="112"/>
        <v>Delayed</v>
      </c>
      <c r="U795" t="str">
        <f t="shared" si="113"/>
        <v>Medium</v>
      </c>
      <c r="V795" t="str">
        <f t="shared" si="114"/>
        <v>Medium Risk</v>
      </c>
      <c r="W795" t="str">
        <f t="shared" si="115"/>
        <v>Sep</v>
      </c>
      <c r="X795">
        <f t="shared" si="116"/>
        <v>2025</v>
      </c>
    </row>
    <row r="796" spans="1:24" x14ac:dyDescent="0.35">
      <c r="A796" s="3">
        <v>45933</v>
      </c>
      <c r="B796" t="s">
        <v>195</v>
      </c>
      <c r="C796" t="s">
        <v>69</v>
      </c>
      <c r="D796" t="s">
        <v>942</v>
      </c>
      <c r="E796" t="s">
        <v>54</v>
      </c>
      <c r="F796" t="s">
        <v>48</v>
      </c>
      <c r="G796" t="s">
        <v>29</v>
      </c>
      <c r="H796">
        <v>39.6</v>
      </c>
      <c r="I796">
        <v>4245</v>
      </c>
      <c r="J796">
        <v>64</v>
      </c>
      <c r="K796">
        <v>15</v>
      </c>
      <c r="L796" t="s">
        <v>49</v>
      </c>
      <c r="M796">
        <v>19845.25</v>
      </c>
      <c r="N796">
        <v>28304</v>
      </c>
      <c r="O796" t="s">
        <v>31</v>
      </c>
      <c r="P796" t="str">
        <f t="shared" si="108"/>
        <v>Yes</v>
      </c>
      <c r="Q796">
        <f t="shared" si="109"/>
        <v>107.2</v>
      </c>
      <c r="R796">
        <f t="shared" si="110"/>
        <v>4.67</v>
      </c>
      <c r="S796">
        <f t="shared" si="111"/>
        <v>0.7</v>
      </c>
      <c r="T796" t="str">
        <f t="shared" si="112"/>
        <v>Delayed</v>
      </c>
      <c r="U796" t="str">
        <f t="shared" si="113"/>
        <v>Low</v>
      </c>
      <c r="V796" t="str">
        <f t="shared" si="114"/>
        <v>High Risk</v>
      </c>
      <c r="W796" t="str">
        <f t="shared" si="115"/>
        <v>Oct</v>
      </c>
      <c r="X796">
        <f t="shared" si="116"/>
        <v>2025</v>
      </c>
    </row>
    <row r="797" spans="1:24" x14ac:dyDescent="0.35">
      <c r="A797" s="3">
        <v>45891</v>
      </c>
      <c r="B797" t="s">
        <v>129</v>
      </c>
      <c r="C797" t="s">
        <v>95</v>
      </c>
      <c r="D797" t="s">
        <v>943</v>
      </c>
      <c r="E797" t="s">
        <v>48</v>
      </c>
      <c r="F797" t="s">
        <v>28</v>
      </c>
      <c r="G797" t="s">
        <v>29</v>
      </c>
      <c r="H797">
        <v>53.6</v>
      </c>
      <c r="I797">
        <v>4870</v>
      </c>
      <c r="J797">
        <v>84</v>
      </c>
      <c r="K797">
        <v>20.5</v>
      </c>
      <c r="L797" t="s">
        <v>30</v>
      </c>
      <c r="M797">
        <v>36967.660000000003</v>
      </c>
      <c r="N797">
        <v>27372</v>
      </c>
      <c r="O797" t="s">
        <v>50</v>
      </c>
      <c r="P797" t="str">
        <f t="shared" si="108"/>
        <v>Yes</v>
      </c>
      <c r="Q797">
        <f t="shared" si="109"/>
        <v>90.86</v>
      </c>
      <c r="R797">
        <f t="shared" si="110"/>
        <v>7.59</v>
      </c>
      <c r="S797">
        <f t="shared" si="111"/>
        <v>1.35</v>
      </c>
      <c r="T797" t="str">
        <f t="shared" si="112"/>
        <v>Delayed</v>
      </c>
      <c r="U797" t="str">
        <f t="shared" si="113"/>
        <v>Medium</v>
      </c>
      <c r="V797" t="str">
        <f t="shared" si="114"/>
        <v>Medium Risk</v>
      </c>
      <c r="W797" t="str">
        <f t="shared" si="115"/>
        <v>Aug</v>
      </c>
      <c r="X797">
        <f t="shared" si="116"/>
        <v>2025</v>
      </c>
    </row>
    <row r="798" spans="1:24" x14ac:dyDescent="0.35">
      <c r="A798" s="3">
        <v>45958</v>
      </c>
      <c r="B798" t="s">
        <v>157</v>
      </c>
      <c r="C798" t="s">
        <v>69</v>
      </c>
      <c r="D798" t="s">
        <v>944</v>
      </c>
      <c r="E798" t="s">
        <v>63</v>
      </c>
      <c r="F798" t="s">
        <v>28</v>
      </c>
      <c r="G798" t="s">
        <v>42</v>
      </c>
      <c r="H798">
        <v>24.6</v>
      </c>
      <c r="I798">
        <v>1526</v>
      </c>
      <c r="J798">
        <v>71</v>
      </c>
      <c r="K798">
        <v>13.1</v>
      </c>
      <c r="L798" t="s">
        <v>78</v>
      </c>
      <c r="M798">
        <v>11820.12</v>
      </c>
      <c r="N798">
        <v>11741</v>
      </c>
      <c r="O798" t="s">
        <v>59</v>
      </c>
      <c r="P798" t="str">
        <f t="shared" si="108"/>
        <v>No</v>
      </c>
      <c r="Q798">
        <f t="shared" si="109"/>
        <v>62.03</v>
      </c>
      <c r="R798">
        <f t="shared" si="110"/>
        <v>7.75</v>
      </c>
      <c r="S798">
        <f t="shared" si="111"/>
        <v>1.01</v>
      </c>
      <c r="T798" t="str">
        <f t="shared" si="112"/>
        <v>On Time</v>
      </c>
      <c r="U798" t="str">
        <f t="shared" si="113"/>
        <v>Low</v>
      </c>
      <c r="V798" t="str">
        <f t="shared" si="114"/>
        <v>Low Risk</v>
      </c>
      <c r="W798" t="str">
        <f t="shared" si="115"/>
        <v>Oct</v>
      </c>
      <c r="X798">
        <f t="shared" si="116"/>
        <v>2025</v>
      </c>
    </row>
    <row r="799" spans="1:24" x14ac:dyDescent="0.35">
      <c r="A799" s="3">
        <v>45768</v>
      </c>
      <c r="B799" t="s">
        <v>46</v>
      </c>
      <c r="C799" t="s">
        <v>95</v>
      </c>
      <c r="D799" t="s">
        <v>945</v>
      </c>
      <c r="E799" t="s">
        <v>63</v>
      </c>
      <c r="F799" t="s">
        <v>66</v>
      </c>
      <c r="G799" t="s">
        <v>71</v>
      </c>
      <c r="H799">
        <v>74.599999999999994</v>
      </c>
      <c r="I799">
        <v>3251</v>
      </c>
      <c r="J799">
        <v>46</v>
      </c>
      <c r="K799">
        <v>12.6</v>
      </c>
      <c r="L799" t="s">
        <v>43</v>
      </c>
      <c r="M799">
        <v>33935.85</v>
      </c>
      <c r="N799">
        <v>10996</v>
      </c>
      <c r="O799" t="s">
        <v>44</v>
      </c>
      <c r="P799" t="str">
        <f t="shared" si="108"/>
        <v>Yes</v>
      </c>
      <c r="Q799">
        <f t="shared" si="109"/>
        <v>43.58</v>
      </c>
      <c r="R799">
        <f t="shared" si="110"/>
        <v>10.44</v>
      </c>
      <c r="S799">
        <f t="shared" si="111"/>
        <v>3.09</v>
      </c>
      <c r="T799" t="str">
        <f t="shared" si="112"/>
        <v>Delayed</v>
      </c>
      <c r="U799" t="str">
        <f t="shared" si="113"/>
        <v>High</v>
      </c>
      <c r="V799" t="str">
        <f t="shared" si="114"/>
        <v>Low Risk</v>
      </c>
      <c r="W799" t="str">
        <f t="shared" si="115"/>
        <v>Apr</v>
      </c>
      <c r="X799">
        <f t="shared" si="116"/>
        <v>2025</v>
      </c>
    </row>
    <row r="800" spans="1:24" x14ac:dyDescent="0.35">
      <c r="A800" s="3">
        <v>45990</v>
      </c>
      <c r="B800" t="s">
        <v>277</v>
      </c>
      <c r="C800" t="s">
        <v>25</v>
      </c>
      <c r="D800" t="s">
        <v>946</v>
      </c>
      <c r="E800" t="s">
        <v>48</v>
      </c>
      <c r="F800" t="s">
        <v>28</v>
      </c>
      <c r="G800" t="s">
        <v>29</v>
      </c>
      <c r="H800">
        <v>23.6</v>
      </c>
      <c r="I800">
        <v>1062</v>
      </c>
      <c r="J800">
        <v>65</v>
      </c>
      <c r="K800">
        <v>20.2</v>
      </c>
      <c r="L800" t="s">
        <v>78</v>
      </c>
      <c r="M800">
        <v>13926.64</v>
      </c>
      <c r="N800">
        <v>9937</v>
      </c>
      <c r="O800" t="s">
        <v>50</v>
      </c>
      <c r="P800" t="str">
        <f t="shared" si="108"/>
        <v>No</v>
      </c>
      <c r="Q800">
        <f t="shared" si="109"/>
        <v>45</v>
      </c>
      <c r="R800">
        <f t="shared" si="110"/>
        <v>13.11</v>
      </c>
      <c r="S800">
        <f t="shared" si="111"/>
        <v>1.4</v>
      </c>
      <c r="T800" t="str">
        <f t="shared" si="112"/>
        <v>On Time</v>
      </c>
      <c r="U800" t="str">
        <f t="shared" si="113"/>
        <v>Low</v>
      </c>
      <c r="V800" t="str">
        <f t="shared" si="114"/>
        <v>Low Risk</v>
      </c>
      <c r="W800" t="str">
        <f t="shared" si="115"/>
        <v>Nov</v>
      </c>
      <c r="X800">
        <f t="shared" si="116"/>
        <v>2025</v>
      </c>
    </row>
    <row r="801" spans="1:24" x14ac:dyDescent="0.35">
      <c r="A801" s="3">
        <v>45924</v>
      </c>
      <c r="B801" t="s">
        <v>24</v>
      </c>
      <c r="C801" t="s">
        <v>109</v>
      </c>
      <c r="D801" t="s">
        <v>947</v>
      </c>
      <c r="E801" t="s">
        <v>55</v>
      </c>
      <c r="F801" t="s">
        <v>48</v>
      </c>
      <c r="G801" t="s">
        <v>71</v>
      </c>
      <c r="H801">
        <v>33.6</v>
      </c>
      <c r="I801">
        <v>866</v>
      </c>
      <c r="J801">
        <v>37</v>
      </c>
      <c r="K801">
        <v>16</v>
      </c>
      <c r="L801" t="s">
        <v>78</v>
      </c>
      <c r="M801">
        <v>15901.87</v>
      </c>
      <c r="N801">
        <v>19818</v>
      </c>
      <c r="O801" t="s">
        <v>31</v>
      </c>
      <c r="P801" t="str">
        <f t="shared" si="108"/>
        <v>No</v>
      </c>
      <c r="Q801">
        <f t="shared" si="109"/>
        <v>25.77</v>
      </c>
      <c r="R801">
        <f t="shared" si="110"/>
        <v>18.36</v>
      </c>
      <c r="S801">
        <f t="shared" si="111"/>
        <v>0.8</v>
      </c>
      <c r="T801" t="str">
        <f t="shared" si="112"/>
        <v>On Time</v>
      </c>
      <c r="U801" t="str">
        <f t="shared" si="113"/>
        <v>Low</v>
      </c>
      <c r="V801" t="str">
        <f t="shared" si="114"/>
        <v>Low Risk</v>
      </c>
      <c r="W801" t="str">
        <f t="shared" si="115"/>
        <v>Sep</v>
      </c>
      <c r="X801">
        <f t="shared" si="116"/>
        <v>2025</v>
      </c>
    </row>
    <row r="802" spans="1:24" x14ac:dyDescent="0.35">
      <c r="A802" s="3">
        <v>45784</v>
      </c>
      <c r="B802" t="s">
        <v>100</v>
      </c>
      <c r="C802" t="s">
        <v>25</v>
      </c>
      <c r="D802" t="s">
        <v>948</v>
      </c>
      <c r="E802" t="s">
        <v>48</v>
      </c>
      <c r="F802" t="s">
        <v>41</v>
      </c>
      <c r="G802" t="s">
        <v>42</v>
      </c>
      <c r="H802">
        <v>42.6</v>
      </c>
      <c r="I802">
        <v>4480</v>
      </c>
      <c r="J802">
        <v>93</v>
      </c>
      <c r="K802">
        <v>12.6</v>
      </c>
      <c r="L802" t="s">
        <v>49</v>
      </c>
      <c r="M802">
        <v>21464.01</v>
      </c>
      <c r="N802">
        <v>29029</v>
      </c>
      <c r="O802" t="s">
        <v>84</v>
      </c>
      <c r="P802" t="str">
        <f t="shared" si="108"/>
        <v>Yes</v>
      </c>
      <c r="Q802">
        <f t="shared" si="109"/>
        <v>105.16</v>
      </c>
      <c r="R802">
        <f t="shared" si="110"/>
        <v>4.79</v>
      </c>
      <c r="S802">
        <f t="shared" si="111"/>
        <v>0.74</v>
      </c>
      <c r="T802" t="str">
        <f t="shared" si="112"/>
        <v>Delayed</v>
      </c>
      <c r="U802" t="str">
        <f t="shared" si="113"/>
        <v>Medium</v>
      </c>
      <c r="V802" t="str">
        <f t="shared" si="114"/>
        <v>High Risk</v>
      </c>
      <c r="W802" t="str">
        <f t="shared" si="115"/>
        <v>May</v>
      </c>
      <c r="X802">
        <f t="shared" si="116"/>
        <v>2025</v>
      </c>
    </row>
    <row r="803" spans="1:24" x14ac:dyDescent="0.35">
      <c r="A803" s="3">
        <v>45959</v>
      </c>
      <c r="B803" t="s">
        <v>100</v>
      </c>
      <c r="C803" t="s">
        <v>109</v>
      </c>
      <c r="D803" t="s">
        <v>949</v>
      </c>
      <c r="E803" t="s">
        <v>27</v>
      </c>
      <c r="F803" t="s">
        <v>48</v>
      </c>
      <c r="G803" t="s">
        <v>42</v>
      </c>
      <c r="H803">
        <v>37</v>
      </c>
      <c r="I803">
        <v>4037</v>
      </c>
      <c r="J803">
        <v>70</v>
      </c>
      <c r="K803">
        <v>13.6</v>
      </c>
      <c r="L803" t="s">
        <v>78</v>
      </c>
      <c r="M803">
        <v>25858.28</v>
      </c>
      <c r="N803">
        <v>11156</v>
      </c>
      <c r="O803" t="s">
        <v>31</v>
      </c>
      <c r="P803" t="str">
        <f t="shared" si="108"/>
        <v>No</v>
      </c>
      <c r="Q803">
        <f t="shared" si="109"/>
        <v>109.11</v>
      </c>
      <c r="R803">
        <f t="shared" si="110"/>
        <v>6.41</v>
      </c>
      <c r="S803">
        <f t="shared" si="111"/>
        <v>2.3199999999999998</v>
      </c>
      <c r="T803" t="str">
        <f t="shared" si="112"/>
        <v>On Time</v>
      </c>
      <c r="U803" t="str">
        <f t="shared" si="113"/>
        <v>Low</v>
      </c>
      <c r="V803" t="str">
        <f t="shared" si="114"/>
        <v>Low Risk</v>
      </c>
      <c r="W803" t="str">
        <f t="shared" si="115"/>
        <v>Oct</v>
      </c>
      <c r="X803">
        <f t="shared" si="116"/>
        <v>2025</v>
      </c>
    </row>
    <row r="804" spans="1:24" x14ac:dyDescent="0.35">
      <c r="A804" s="3">
        <v>45714</v>
      </c>
      <c r="B804" t="s">
        <v>104</v>
      </c>
      <c r="C804" t="s">
        <v>25</v>
      </c>
      <c r="D804" t="s">
        <v>950</v>
      </c>
      <c r="E804" t="s">
        <v>63</v>
      </c>
      <c r="F804" t="s">
        <v>27</v>
      </c>
      <c r="G804" t="s">
        <v>35</v>
      </c>
      <c r="H804">
        <v>34.4</v>
      </c>
      <c r="I804">
        <v>1631</v>
      </c>
      <c r="J804">
        <v>82</v>
      </c>
      <c r="K804">
        <v>21.9</v>
      </c>
      <c r="L804" t="s">
        <v>30</v>
      </c>
      <c r="M804">
        <v>22336.44</v>
      </c>
      <c r="N804">
        <v>24627</v>
      </c>
      <c r="O804" t="s">
        <v>84</v>
      </c>
      <c r="P804" t="str">
        <f t="shared" si="108"/>
        <v>Yes</v>
      </c>
      <c r="Q804">
        <f t="shared" si="109"/>
        <v>47.41</v>
      </c>
      <c r="R804">
        <f t="shared" si="110"/>
        <v>13.69</v>
      </c>
      <c r="S804">
        <f t="shared" si="111"/>
        <v>0.91</v>
      </c>
      <c r="T804" t="str">
        <f t="shared" si="112"/>
        <v>Delayed</v>
      </c>
      <c r="U804" t="str">
        <f t="shared" si="113"/>
        <v>Low</v>
      </c>
      <c r="V804" t="str">
        <f t="shared" si="114"/>
        <v>Medium Risk</v>
      </c>
      <c r="W804" t="str">
        <f t="shared" si="115"/>
        <v>Feb</v>
      </c>
      <c r="X804">
        <f t="shared" si="116"/>
        <v>2025</v>
      </c>
    </row>
    <row r="805" spans="1:24" x14ac:dyDescent="0.35">
      <c r="A805" s="3">
        <v>45682</v>
      </c>
      <c r="B805" t="s">
        <v>92</v>
      </c>
      <c r="C805" t="s">
        <v>130</v>
      </c>
      <c r="D805" t="s">
        <v>951</v>
      </c>
      <c r="E805" t="s">
        <v>48</v>
      </c>
      <c r="F805" t="s">
        <v>27</v>
      </c>
      <c r="G805" t="s">
        <v>42</v>
      </c>
      <c r="H805">
        <v>30.6</v>
      </c>
      <c r="I805">
        <v>4138</v>
      </c>
      <c r="J805">
        <v>106</v>
      </c>
      <c r="K805">
        <v>16.3</v>
      </c>
      <c r="L805" t="s">
        <v>30</v>
      </c>
      <c r="M805">
        <v>18432.830000000002</v>
      </c>
      <c r="N805">
        <v>21794</v>
      </c>
      <c r="O805" t="s">
        <v>50</v>
      </c>
      <c r="P805" t="str">
        <f t="shared" si="108"/>
        <v>Yes</v>
      </c>
      <c r="Q805">
        <f t="shared" si="109"/>
        <v>135.22999999999999</v>
      </c>
      <c r="R805">
        <f t="shared" si="110"/>
        <v>4.45</v>
      </c>
      <c r="S805">
        <f t="shared" si="111"/>
        <v>0.85</v>
      </c>
      <c r="T805" t="str">
        <f t="shared" si="112"/>
        <v>Delayed</v>
      </c>
      <c r="U805" t="str">
        <f t="shared" si="113"/>
        <v>Low</v>
      </c>
      <c r="V805" t="str">
        <f t="shared" si="114"/>
        <v>Medium Risk</v>
      </c>
      <c r="W805" t="str">
        <f t="shared" si="115"/>
        <v>Jan</v>
      </c>
      <c r="X805">
        <f t="shared" si="116"/>
        <v>2025</v>
      </c>
    </row>
    <row r="806" spans="1:24" x14ac:dyDescent="0.35">
      <c r="A806" s="3">
        <v>45799</v>
      </c>
      <c r="B806" t="s">
        <v>291</v>
      </c>
      <c r="C806" t="s">
        <v>39</v>
      </c>
      <c r="D806" t="s">
        <v>952</v>
      </c>
      <c r="E806" t="s">
        <v>27</v>
      </c>
      <c r="F806" t="s">
        <v>54</v>
      </c>
      <c r="G806" t="s">
        <v>71</v>
      </c>
      <c r="H806">
        <v>40.799999999999997</v>
      </c>
      <c r="I806">
        <v>4642</v>
      </c>
      <c r="J806">
        <v>20</v>
      </c>
      <c r="K806">
        <v>10.3</v>
      </c>
      <c r="L806" t="s">
        <v>30</v>
      </c>
      <c r="M806">
        <v>21104.03</v>
      </c>
      <c r="N806">
        <v>26830</v>
      </c>
      <c r="O806" t="s">
        <v>91</v>
      </c>
      <c r="P806" t="str">
        <f t="shared" si="108"/>
        <v>Yes</v>
      </c>
      <c r="Q806">
        <f t="shared" si="109"/>
        <v>113.77</v>
      </c>
      <c r="R806">
        <f t="shared" si="110"/>
        <v>4.55</v>
      </c>
      <c r="S806">
        <f t="shared" si="111"/>
        <v>0.79</v>
      </c>
      <c r="T806" t="str">
        <f t="shared" si="112"/>
        <v>Delayed</v>
      </c>
      <c r="U806" t="str">
        <f t="shared" si="113"/>
        <v>Medium</v>
      </c>
      <c r="V806" t="str">
        <f t="shared" si="114"/>
        <v>Medium Risk</v>
      </c>
      <c r="W806" t="str">
        <f t="shared" si="115"/>
        <v>May</v>
      </c>
      <c r="X806">
        <f t="shared" si="116"/>
        <v>2025</v>
      </c>
    </row>
    <row r="807" spans="1:24" x14ac:dyDescent="0.35">
      <c r="A807" s="3">
        <v>46000</v>
      </c>
      <c r="B807" t="s">
        <v>87</v>
      </c>
      <c r="C807" t="s">
        <v>130</v>
      </c>
      <c r="D807" t="s">
        <v>953</v>
      </c>
      <c r="E807" t="s">
        <v>41</v>
      </c>
      <c r="F807" t="s">
        <v>54</v>
      </c>
      <c r="G807" t="s">
        <v>35</v>
      </c>
      <c r="H807">
        <v>23.7</v>
      </c>
      <c r="I807">
        <v>2482</v>
      </c>
      <c r="J807">
        <v>62</v>
      </c>
      <c r="K807">
        <v>20.399999999999999</v>
      </c>
      <c r="L807" t="s">
        <v>43</v>
      </c>
      <c r="M807">
        <v>15840.2</v>
      </c>
      <c r="N807">
        <v>21374</v>
      </c>
      <c r="O807" t="s">
        <v>84</v>
      </c>
      <c r="P807" t="str">
        <f t="shared" si="108"/>
        <v>Yes</v>
      </c>
      <c r="Q807">
        <f t="shared" si="109"/>
        <v>104.73</v>
      </c>
      <c r="R807">
        <f t="shared" si="110"/>
        <v>6.38</v>
      </c>
      <c r="S807">
        <f t="shared" si="111"/>
        <v>0.74</v>
      </c>
      <c r="T807" t="str">
        <f t="shared" si="112"/>
        <v>Delayed</v>
      </c>
      <c r="U807" t="str">
        <f t="shared" si="113"/>
        <v>Low</v>
      </c>
      <c r="V807" t="str">
        <f t="shared" si="114"/>
        <v>Low Risk</v>
      </c>
      <c r="W807" t="str">
        <f t="shared" si="115"/>
        <v>Dec</v>
      </c>
      <c r="X807">
        <f t="shared" si="116"/>
        <v>2025</v>
      </c>
    </row>
    <row r="808" spans="1:24" x14ac:dyDescent="0.35">
      <c r="A808" s="3">
        <v>45890</v>
      </c>
      <c r="B808" t="s">
        <v>195</v>
      </c>
      <c r="C808" t="s">
        <v>95</v>
      </c>
      <c r="D808" t="s">
        <v>954</v>
      </c>
      <c r="E808" t="s">
        <v>27</v>
      </c>
      <c r="F808" t="s">
        <v>66</v>
      </c>
      <c r="G808" t="s">
        <v>29</v>
      </c>
      <c r="H808">
        <v>27.8</v>
      </c>
      <c r="I808">
        <v>4959</v>
      </c>
      <c r="J808">
        <v>115</v>
      </c>
      <c r="K808">
        <v>14.9</v>
      </c>
      <c r="L808" t="s">
        <v>30</v>
      </c>
      <c r="M808">
        <v>16695.75</v>
      </c>
      <c r="N808">
        <v>16540</v>
      </c>
      <c r="O808" t="s">
        <v>84</v>
      </c>
      <c r="P808" t="str">
        <f t="shared" si="108"/>
        <v>Yes</v>
      </c>
      <c r="Q808">
        <f t="shared" si="109"/>
        <v>178.38</v>
      </c>
      <c r="R808">
        <f t="shared" si="110"/>
        <v>3.37</v>
      </c>
      <c r="S808">
        <f t="shared" si="111"/>
        <v>1.01</v>
      </c>
      <c r="T808" t="str">
        <f t="shared" si="112"/>
        <v>Delayed</v>
      </c>
      <c r="U808" t="str">
        <f t="shared" si="113"/>
        <v>Low</v>
      </c>
      <c r="V808" t="str">
        <f t="shared" si="114"/>
        <v>Medium Risk</v>
      </c>
      <c r="W808" t="str">
        <f t="shared" si="115"/>
        <v>Aug</v>
      </c>
      <c r="X808">
        <f t="shared" si="116"/>
        <v>2025</v>
      </c>
    </row>
    <row r="809" spans="1:24" x14ac:dyDescent="0.35">
      <c r="A809" s="3">
        <v>45837</v>
      </c>
      <c r="B809" t="s">
        <v>173</v>
      </c>
      <c r="C809" t="s">
        <v>52</v>
      </c>
      <c r="D809" t="s">
        <v>955</v>
      </c>
      <c r="E809" t="s">
        <v>28</v>
      </c>
      <c r="F809" t="s">
        <v>63</v>
      </c>
      <c r="G809" t="s">
        <v>71</v>
      </c>
      <c r="H809">
        <v>74.599999999999994</v>
      </c>
      <c r="I809">
        <v>602</v>
      </c>
      <c r="J809">
        <v>76</v>
      </c>
      <c r="K809">
        <v>16.5</v>
      </c>
      <c r="L809" t="s">
        <v>30</v>
      </c>
      <c r="M809">
        <v>44061.33</v>
      </c>
      <c r="N809">
        <v>20895</v>
      </c>
      <c r="O809" t="s">
        <v>59</v>
      </c>
      <c r="P809" t="str">
        <f t="shared" si="108"/>
        <v>Yes</v>
      </c>
      <c r="Q809">
        <f t="shared" si="109"/>
        <v>8.07</v>
      </c>
      <c r="R809">
        <f t="shared" si="110"/>
        <v>73.19</v>
      </c>
      <c r="S809">
        <f t="shared" si="111"/>
        <v>2.11</v>
      </c>
      <c r="T809" t="str">
        <f t="shared" si="112"/>
        <v>Delayed</v>
      </c>
      <c r="U809" t="str">
        <f t="shared" si="113"/>
        <v>High</v>
      </c>
      <c r="V809" t="str">
        <f t="shared" si="114"/>
        <v>Medium Risk</v>
      </c>
      <c r="W809" t="str">
        <f t="shared" si="115"/>
        <v>Jun</v>
      </c>
      <c r="X809">
        <f t="shared" si="116"/>
        <v>2025</v>
      </c>
    </row>
    <row r="810" spans="1:24" x14ac:dyDescent="0.35">
      <c r="A810" s="3">
        <v>45923</v>
      </c>
      <c r="B810" t="s">
        <v>349</v>
      </c>
      <c r="C810" t="s">
        <v>130</v>
      </c>
      <c r="D810" t="s">
        <v>956</v>
      </c>
      <c r="E810" t="s">
        <v>54</v>
      </c>
      <c r="F810" t="s">
        <v>63</v>
      </c>
      <c r="G810" t="s">
        <v>29</v>
      </c>
      <c r="H810">
        <v>25.4</v>
      </c>
      <c r="I810">
        <v>660</v>
      </c>
      <c r="J810">
        <v>102</v>
      </c>
      <c r="K810">
        <v>21.7</v>
      </c>
      <c r="L810" t="s">
        <v>49</v>
      </c>
      <c r="M810">
        <v>16940.330000000002</v>
      </c>
      <c r="N810">
        <v>7826</v>
      </c>
      <c r="O810" t="s">
        <v>36</v>
      </c>
      <c r="P810" t="str">
        <f t="shared" si="108"/>
        <v>Yes</v>
      </c>
      <c r="Q810">
        <f t="shared" si="109"/>
        <v>25.98</v>
      </c>
      <c r="R810">
        <f t="shared" si="110"/>
        <v>25.67</v>
      </c>
      <c r="S810">
        <f t="shared" si="111"/>
        <v>2.16</v>
      </c>
      <c r="T810" t="str">
        <f t="shared" si="112"/>
        <v>Delayed</v>
      </c>
      <c r="U810" t="str">
        <f t="shared" si="113"/>
        <v>Low</v>
      </c>
      <c r="V810" t="str">
        <f t="shared" si="114"/>
        <v>High Risk</v>
      </c>
      <c r="W810" t="str">
        <f t="shared" si="115"/>
        <v>Sep</v>
      </c>
      <c r="X810">
        <f t="shared" si="116"/>
        <v>2025</v>
      </c>
    </row>
    <row r="811" spans="1:24" x14ac:dyDescent="0.35">
      <c r="A811" s="3">
        <v>45770</v>
      </c>
      <c r="B811" t="s">
        <v>139</v>
      </c>
      <c r="C811" t="s">
        <v>95</v>
      </c>
      <c r="D811" t="s">
        <v>957</v>
      </c>
      <c r="E811" t="s">
        <v>41</v>
      </c>
      <c r="F811" t="s">
        <v>55</v>
      </c>
      <c r="G811" t="s">
        <v>42</v>
      </c>
      <c r="H811">
        <v>66.2</v>
      </c>
      <c r="I811">
        <v>4879</v>
      </c>
      <c r="J811">
        <v>51</v>
      </c>
      <c r="K811">
        <v>13.8</v>
      </c>
      <c r="L811" t="s">
        <v>43</v>
      </c>
      <c r="M811">
        <v>33436.04</v>
      </c>
      <c r="N811">
        <v>6271</v>
      </c>
      <c r="O811" t="s">
        <v>91</v>
      </c>
      <c r="P811" t="str">
        <f t="shared" si="108"/>
        <v>Yes</v>
      </c>
      <c r="Q811">
        <f t="shared" si="109"/>
        <v>73.7</v>
      </c>
      <c r="R811">
        <f t="shared" si="110"/>
        <v>6.85</v>
      </c>
      <c r="S811">
        <f t="shared" si="111"/>
        <v>5.33</v>
      </c>
      <c r="T811" t="str">
        <f t="shared" si="112"/>
        <v>Delayed</v>
      </c>
      <c r="U811" t="str">
        <f t="shared" si="113"/>
        <v>High</v>
      </c>
      <c r="V811" t="str">
        <f t="shared" si="114"/>
        <v>Low Risk</v>
      </c>
      <c r="W811" t="str">
        <f t="shared" si="115"/>
        <v>Apr</v>
      </c>
      <c r="X811">
        <f t="shared" si="116"/>
        <v>2025</v>
      </c>
    </row>
    <row r="812" spans="1:24" x14ac:dyDescent="0.35">
      <c r="A812" s="3">
        <v>45994</v>
      </c>
      <c r="B812" t="s">
        <v>98</v>
      </c>
      <c r="C812" t="s">
        <v>52</v>
      </c>
      <c r="D812" t="s">
        <v>958</v>
      </c>
      <c r="E812" t="s">
        <v>54</v>
      </c>
      <c r="F812" t="s">
        <v>27</v>
      </c>
      <c r="G812" t="s">
        <v>29</v>
      </c>
      <c r="H812">
        <v>56.5</v>
      </c>
      <c r="I812">
        <v>890</v>
      </c>
      <c r="J812">
        <v>82</v>
      </c>
      <c r="K812">
        <v>10.4</v>
      </c>
      <c r="L812" t="s">
        <v>78</v>
      </c>
      <c r="M812">
        <v>36832.47</v>
      </c>
      <c r="N812">
        <v>14443</v>
      </c>
      <c r="O812" t="s">
        <v>44</v>
      </c>
      <c r="P812" t="str">
        <f t="shared" si="108"/>
        <v>No</v>
      </c>
      <c r="Q812">
        <f t="shared" si="109"/>
        <v>15.75</v>
      </c>
      <c r="R812">
        <f t="shared" si="110"/>
        <v>41.38</v>
      </c>
      <c r="S812">
        <f t="shared" si="111"/>
        <v>2.5499999999999998</v>
      </c>
      <c r="T812" t="str">
        <f t="shared" si="112"/>
        <v>On Time</v>
      </c>
      <c r="U812" t="str">
        <f t="shared" si="113"/>
        <v>Medium</v>
      </c>
      <c r="V812" t="str">
        <f t="shared" si="114"/>
        <v>Low Risk</v>
      </c>
      <c r="W812" t="str">
        <f t="shared" si="115"/>
        <v>Dec</v>
      </c>
      <c r="X812">
        <f t="shared" si="116"/>
        <v>2025</v>
      </c>
    </row>
    <row r="813" spans="1:24" x14ac:dyDescent="0.35">
      <c r="A813" s="3">
        <v>45875</v>
      </c>
      <c r="B813" t="s">
        <v>195</v>
      </c>
      <c r="C813" t="s">
        <v>57</v>
      </c>
      <c r="D813" t="s">
        <v>959</v>
      </c>
      <c r="E813" t="s">
        <v>63</v>
      </c>
      <c r="F813" t="s">
        <v>41</v>
      </c>
      <c r="G813" t="s">
        <v>35</v>
      </c>
      <c r="H813">
        <v>76.7</v>
      </c>
      <c r="I813">
        <v>2364</v>
      </c>
      <c r="J813">
        <v>61</v>
      </c>
      <c r="K813">
        <v>15.1</v>
      </c>
      <c r="L813" t="s">
        <v>49</v>
      </c>
      <c r="M813">
        <v>42924.3</v>
      </c>
      <c r="N813">
        <v>7864</v>
      </c>
      <c r="O813" t="s">
        <v>59</v>
      </c>
      <c r="P813" t="str">
        <f t="shared" si="108"/>
        <v>Yes</v>
      </c>
      <c r="Q813">
        <f t="shared" si="109"/>
        <v>30.82</v>
      </c>
      <c r="R813">
        <f t="shared" si="110"/>
        <v>18.16</v>
      </c>
      <c r="S813">
        <f t="shared" si="111"/>
        <v>5.46</v>
      </c>
      <c r="T813" t="str">
        <f t="shared" si="112"/>
        <v>Delayed</v>
      </c>
      <c r="U813" t="str">
        <f t="shared" si="113"/>
        <v>High</v>
      </c>
      <c r="V813" t="str">
        <f t="shared" si="114"/>
        <v>High Risk</v>
      </c>
      <c r="W813" t="str">
        <f t="shared" si="115"/>
        <v>Aug</v>
      </c>
      <c r="X813">
        <f t="shared" si="116"/>
        <v>2025</v>
      </c>
    </row>
    <row r="814" spans="1:24" x14ac:dyDescent="0.35">
      <c r="A814" s="3">
        <v>45962</v>
      </c>
      <c r="B814" t="s">
        <v>61</v>
      </c>
      <c r="C814" t="s">
        <v>95</v>
      </c>
      <c r="D814" t="s">
        <v>960</v>
      </c>
      <c r="E814" t="s">
        <v>41</v>
      </c>
      <c r="F814" t="s">
        <v>54</v>
      </c>
      <c r="G814" t="s">
        <v>35</v>
      </c>
      <c r="H814">
        <v>25.2</v>
      </c>
      <c r="I814">
        <v>2647</v>
      </c>
      <c r="J814">
        <v>41</v>
      </c>
      <c r="K814">
        <v>11.8</v>
      </c>
      <c r="L814" t="s">
        <v>49</v>
      </c>
      <c r="M814">
        <v>14267.07</v>
      </c>
      <c r="N814">
        <v>19813</v>
      </c>
      <c r="O814" t="s">
        <v>50</v>
      </c>
      <c r="P814" t="str">
        <f t="shared" si="108"/>
        <v>Yes</v>
      </c>
      <c r="Q814">
        <f t="shared" si="109"/>
        <v>105.04</v>
      </c>
      <c r="R814">
        <f t="shared" si="110"/>
        <v>5.39</v>
      </c>
      <c r="S814">
        <f t="shared" si="111"/>
        <v>0.72</v>
      </c>
      <c r="T814" t="str">
        <f t="shared" si="112"/>
        <v>Delayed</v>
      </c>
      <c r="U814" t="str">
        <f t="shared" si="113"/>
        <v>Low</v>
      </c>
      <c r="V814" t="str">
        <f t="shared" si="114"/>
        <v>High Risk</v>
      </c>
      <c r="W814" t="str">
        <f t="shared" si="115"/>
        <v>Nov</v>
      </c>
      <c r="X814">
        <f t="shared" si="116"/>
        <v>2025</v>
      </c>
    </row>
    <row r="815" spans="1:24" x14ac:dyDescent="0.35">
      <c r="A815" s="3">
        <v>45974</v>
      </c>
      <c r="B815" t="s">
        <v>38</v>
      </c>
      <c r="C815" t="s">
        <v>109</v>
      </c>
      <c r="D815" t="s">
        <v>961</v>
      </c>
      <c r="E815" t="s">
        <v>41</v>
      </c>
      <c r="F815" t="s">
        <v>63</v>
      </c>
      <c r="G815" t="s">
        <v>35</v>
      </c>
      <c r="H815">
        <v>77.8</v>
      </c>
      <c r="I815">
        <v>3500</v>
      </c>
      <c r="J815">
        <v>39</v>
      </c>
      <c r="K815">
        <v>14.2</v>
      </c>
      <c r="L815" t="s">
        <v>78</v>
      </c>
      <c r="M815">
        <v>43131.5</v>
      </c>
      <c r="N815">
        <v>23009</v>
      </c>
      <c r="O815" t="s">
        <v>67</v>
      </c>
      <c r="P815" t="str">
        <f t="shared" si="108"/>
        <v>No</v>
      </c>
      <c r="Q815">
        <f t="shared" si="109"/>
        <v>44.99</v>
      </c>
      <c r="R815">
        <f t="shared" si="110"/>
        <v>12.32</v>
      </c>
      <c r="S815">
        <f t="shared" si="111"/>
        <v>1.87</v>
      </c>
      <c r="T815" t="str">
        <f t="shared" si="112"/>
        <v>On Time</v>
      </c>
      <c r="U815" t="str">
        <f t="shared" si="113"/>
        <v>High</v>
      </c>
      <c r="V815" t="str">
        <f t="shared" si="114"/>
        <v>Low Risk</v>
      </c>
      <c r="W815" t="str">
        <f t="shared" si="115"/>
        <v>Nov</v>
      </c>
      <c r="X815">
        <f t="shared" si="116"/>
        <v>2025</v>
      </c>
    </row>
    <row r="816" spans="1:24" x14ac:dyDescent="0.35">
      <c r="A816" s="3">
        <v>45675</v>
      </c>
      <c r="B816" t="s">
        <v>207</v>
      </c>
      <c r="C816" t="s">
        <v>57</v>
      </c>
      <c r="D816" t="s">
        <v>962</v>
      </c>
      <c r="E816" t="s">
        <v>66</v>
      </c>
      <c r="F816" t="s">
        <v>28</v>
      </c>
      <c r="G816" t="s">
        <v>71</v>
      </c>
      <c r="H816">
        <v>21.8</v>
      </c>
      <c r="I816">
        <v>2057</v>
      </c>
      <c r="J816">
        <v>105</v>
      </c>
      <c r="K816">
        <v>15.3</v>
      </c>
      <c r="L816" t="s">
        <v>49</v>
      </c>
      <c r="M816">
        <v>10780.89</v>
      </c>
      <c r="N816">
        <v>27115</v>
      </c>
      <c r="O816" t="s">
        <v>67</v>
      </c>
      <c r="P816" t="str">
        <f t="shared" si="108"/>
        <v>Yes</v>
      </c>
      <c r="Q816">
        <f t="shared" si="109"/>
        <v>94.36</v>
      </c>
      <c r="R816">
        <f t="shared" si="110"/>
        <v>5.24</v>
      </c>
      <c r="S816">
        <f t="shared" si="111"/>
        <v>0.4</v>
      </c>
      <c r="T816" t="str">
        <f t="shared" si="112"/>
        <v>Delayed</v>
      </c>
      <c r="U816" t="str">
        <f t="shared" si="113"/>
        <v>Low</v>
      </c>
      <c r="V816" t="str">
        <f t="shared" si="114"/>
        <v>High Risk</v>
      </c>
      <c r="W816" t="str">
        <f t="shared" si="115"/>
        <v>Jan</v>
      </c>
      <c r="X816">
        <f t="shared" si="116"/>
        <v>2025</v>
      </c>
    </row>
    <row r="817" spans="1:24" x14ac:dyDescent="0.35">
      <c r="A817" s="3">
        <v>46007</v>
      </c>
      <c r="B817" t="s">
        <v>277</v>
      </c>
      <c r="C817" t="s">
        <v>109</v>
      </c>
      <c r="D817" t="s">
        <v>963</v>
      </c>
      <c r="E817" t="s">
        <v>63</v>
      </c>
      <c r="F817" t="s">
        <v>55</v>
      </c>
      <c r="G817" t="s">
        <v>35</v>
      </c>
      <c r="H817">
        <v>50.1</v>
      </c>
      <c r="I817">
        <v>3644</v>
      </c>
      <c r="J817">
        <v>91</v>
      </c>
      <c r="K817">
        <v>20.3</v>
      </c>
      <c r="L817" t="s">
        <v>49</v>
      </c>
      <c r="M817">
        <v>31144.5</v>
      </c>
      <c r="N817">
        <v>8869</v>
      </c>
      <c r="O817" t="s">
        <v>59</v>
      </c>
      <c r="P817" t="str">
        <f t="shared" si="108"/>
        <v>Yes</v>
      </c>
      <c r="Q817">
        <f t="shared" si="109"/>
        <v>72.73</v>
      </c>
      <c r="R817">
        <f t="shared" si="110"/>
        <v>8.5500000000000007</v>
      </c>
      <c r="S817">
        <f t="shared" si="111"/>
        <v>3.51</v>
      </c>
      <c r="T817" t="str">
        <f t="shared" si="112"/>
        <v>Delayed</v>
      </c>
      <c r="U817" t="str">
        <f t="shared" si="113"/>
        <v>Medium</v>
      </c>
      <c r="V817" t="str">
        <f t="shared" si="114"/>
        <v>High Risk</v>
      </c>
      <c r="W817" t="str">
        <f t="shared" si="115"/>
        <v>Dec</v>
      </c>
      <c r="X817">
        <f t="shared" si="116"/>
        <v>2025</v>
      </c>
    </row>
    <row r="818" spans="1:24" x14ac:dyDescent="0.35">
      <c r="A818" s="3">
        <v>45702</v>
      </c>
      <c r="B818" t="s">
        <v>159</v>
      </c>
      <c r="C818" t="s">
        <v>25</v>
      </c>
      <c r="D818" t="s">
        <v>964</v>
      </c>
      <c r="E818" t="s">
        <v>66</v>
      </c>
      <c r="F818" t="s">
        <v>48</v>
      </c>
      <c r="G818" t="s">
        <v>71</v>
      </c>
      <c r="H818">
        <v>44.2</v>
      </c>
      <c r="I818">
        <v>792</v>
      </c>
      <c r="J818">
        <v>87</v>
      </c>
      <c r="K818">
        <v>16.600000000000001</v>
      </c>
      <c r="L818" t="s">
        <v>49</v>
      </c>
      <c r="M818">
        <v>29421.200000000001</v>
      </c>
      <c r="N818">
        <v>5562</v>
      </c>
      <c r="O818" t="s">
        <v>36</v>
      </c>
      <c r="P818" t="str">
        <f t="shared" si="108"/>
        <v>Yes</v>
      </c>
      <c r="Q818">
        <f t="shared" si="109"/>
        <v>17.920000000000002</v>
      </c>
      <c r="R818">
        <f t="shared" si="110"/>
        <v>37.15</v>
      </c>
      <c r="S818">
        <f t="shared" si="111"/>
        <v>5.29</v>
      </c>
      <c r="T818" t="str">
        <f t="shared" si="112"/>
        <v>Delayed</v>
      </c>
      <c r="U818" t="str">
        <f t="shared" si="113"/>
        <v>Medium</v>
      </c>
      <c r="V818" t="str">
        <f t="shared" si="114"/>
        <v>High Risk</v>
      </c>
      <c r="W818" t="str">
        <f t="shared" si="115"/>
        <v>Feb</v>
      </c>
      <c r="X818">
        <f t="shared" si="116"/>
        <v>2025</v>
      </c>
    </row>
    <row r="819" spans="1:24" x14ac:dyDescent="0.35">
      <c r="A819" s="3">
        <v>45992</v>
      </c>
      <c r="B819" t="s">
        <v>185</v>
      </c>
      <c r="C819" t="s">
        <v>39</v>
      </c>
      <c r="D819" t="s">
        <v>965</v>
      </c>
      <c r="E819" t="s">
        <v>28</v>
      </c>
      <c r="F819" t="s">
        <v>48</v>
      </c>
      <c r="G819" t="s">
        <v>71</v>
      </c>
      <c r="H819">
        <v>52.3</v>
      </c>
      <c r="I819">
        <v>1106</v>
      </c>
      <c r="J819">
        <v>118</v>
      </c>
      <c r="K819">
        <v>17.2</v>
      </c>
      <c r="L819" t="s">
        <v>78</v>
      </c>
      <c r="M819">
        <v>31165.62</v>
      </c>
      <c r="N819">
        <v>6035</v>
      </c>
      <c r="O819" t="s">
        <v>36</v>
      </c>
      <c r="P819" t="str">
        <f t="shared" si="108"/>
        <v>No</v>
      </c>
      <c r="Q819">
        <f t="shared" si="109"/>
        <v>21.15</v>
      </c>
      <c r="R819">
        <f t="shared" si="110"/>
        <v>28.18</v>
      </c>
      <c r="S819">
        <f t="shared" si="111"/>
        <v>5.16</v>
      </c>
      <c r="T819" t="str">
        <f t="shared" si="112"/>
        <v>On Time</v>
      </c>
      <c r="U819" t="str">
        <f t="shared" si="113"/>
        <v>Medium</v>
      </c>
      <c r="V819" t="str">
        <f t="shared" si="114"/>
        <v>Low Risk</v>
      </c>
      <c r="W819" t="str">
        <f t="shared" si="115"/>
        <v>Dec</v>
      </c>
      <c r="X819">
        <f t="shared" si="116"/>
        <v>2025</v>
      </c>
    </row>
    <row r="820" spans="1:24" x14ac:dyDescent="0.35">
      <c r="A820" s="3">
        <v>46010</v>
      </c>
      <c r="B820" t="s">
        <v>203</v>
      </c>
      <c r="C820" t="s">
        <v>95</v>
      </c>
      <c r="D820" t="s">
        <v>966</v>
      </c>
      <c r="E820" t="s">
        <v>55</v>
      </c>
      <c r="F820" t="s">
        <v>48</v>
      </c>
      <c r="G820" t="s">
        <v>42</v>
      </c>
      <c r="H820">
        <v>66.8</v>
      </c>
      <c r="I820">
        <v>3212</v>
      </c>
      <c r="J820">
        <v>47</v>
      </c>
      <c r="K820">
        <v>14.3</v>
      </c>
      <c r="L820" t="s">
        <v>49</v>
      </c>
      <c r="M820">
        <v>36098.239999999998</v>
      </c>
      <c r="N820">
        <v>16354</v>
      </c>
      <c r="O820" t="s">
        <v>36</v>
      </c>
      <c r="P820" t="str">
        <f t="shared" si="108"/>
        <v>Yes</v>
      </c>
      <c r="Q820">
        <f t="shared" si="109"/>
        <v>48.08</v>
      </c>
      <c r="R820">
        <f t="shared" si="110"/>
        <v>11.24</v>
      </c>
      <c r="S820">
        <f t="shared" si="111"/>
        <v>2.21</v>
      </c>
      <c r="T820" t="str">
        <f t="shared" si="112"/>
        <v>Delayed</v>
      </c>
      <c r="U820" t="str">
        <f t="shared" si="113"/>
        <v>High</v>
      </c>
      <c r="V820" t="str">
        <f t="shared" si="114"/>
        <v>High Risk</v>
      </c>
      <c r="W820" t="str">
        <f t="shared" si="115"/>
        <v>Dec</v>
      </c>
      <c r="X820">
        <f t="shared" si="116"/>
        <v>2025</v>
      </c>
    </row>
    <row r="821" spans="1:24" x14ac:dyDescent="0.35">
      <c r="A821" s="3">
        <v>45981</v>
      </c>
      <c r="B821" t="s">
        <v>309</v>
      </c>
      <c r="C821" t="s">
        <v>95</v>
      </c>
      <c r="D821" t="s">
        <v>967</v>
      </c>
      <c r="E821" t="s">
        <v>66</v>
      </c>
      <c r="F821" t="s">
        <v>55</v>
      </c>
      <c r="G821" t="s">
        <v>35</v>
      </c>
      <c r="H821">
        <v>25.4</v>
      </c>
      <c r="I821">
        <v>3023</v>
      </c>
      <c r="J821">
        <v>36</v>
      </c>
      <c r="K821">
        <v>11.2</v>
      </c>
      <c r="L821" t="s">
        <v>49</v>
      </c>
      <c r="M821">
        <v>15941.94</v>
      </c>
      <c r="N821">
        <v>24237</v>
      </c>
      <c r="O821" t="s">
        <v>44</v>
      </c>
      <c r="P821" t="str">
        <f t="shared" si="108"/>
        <v>Yes</v>
      </c>
      <c r="Q821">
        <f t="shared" si="109"/>
        <v>119.02</v>
      </c>
      <c r="R821">
        <f t="shared" si="110"/>
        <v>5.27</v>
      </c>
      <c r="S821">
        <f t="shared" si="111"/>
        <v>0.66</v>
      </c>
      <c r="T821" t="str">
        <f t="shared" si="112"/>
        <v>Delayed</v>
      </c>
      <c r="U821" t="str">
        <f t="shared" si="113"/>
        <v>Low</v>
      </c>
      <c r="V821" t="str">
        <f t="shared" si="114"/>
        <v>High Risk</v>
      </c>
      <c r="W821" t="str">
        <f t="shared" si="115"/>
        <v>Nov</v>
      </c>
      <c r="X821">
        <f t="shared" si="116"/>
        <v>2025</v>
      </c>
    </row>
    <row r="822" spans="1:24" x14ac:dyDescent="0.35">
      <c r="A822" s="3">
        <v>45901</v>
      </c>
      <c r="B822" t="s">
        <v>195</v>
      </c>
      <c r="C822" t="s">
        <v>130</v>
      </c>
      <c r="D822" t="s">
        <v>968</v>
      </c>
      <c r="E822" t="s">
        <v>55</v>
      </c>
      <c r="F822" t="s">
        <v>48</v>
      </c>
      <c r="G822" t="s">
        <v>71</v>
      </c>
      <c r="H822">
        <v>21.5</v>
      </c>
      <c r="I822">
        <v>3957</v>
      </c>
      <c r="J822">
        <v>99</v>
      </c>
      <c r="K822">
        <v>16</v>
      </c>
      <c r="L822" t="s">
        <v>78</v>
      </c>
      <c r="M822">
        <v>11209.1</v>
      </c>
      <c r="N822">
        <v>8660</v>
      </c>
      <c r="O822" t="s">
        <v>59</v>
      </c>
      <c r="P822" t="str">
        <f t="shared" si="108"/>
        <v>No</v>
      </c>
      <c r="Q822">
        <f t="shared" si="109"/>
        <v>184.05</v>
      </c>
      <c r="R822">
        <f t="shared" si="110"/>
        <v>2.83</v>
      </c>
      <c r="S822">
        <f t="shared" si="111"/>
        <v>1.29</v>
      </c>
      <c r="T822" t="str">
        <f t="shared" si="112"/>
        <v>On Time</v>
      </c>
      <c r="U822" t="str">
        <f t="shared" si="113"/>
        <v>Low</v>
      </c>
      <c r="V822" t="str">
        <f t="shared" si="114"/>
        <v>Low Risk</v>
      </c>
      <c r="W822" t="str">
        <f t="shared" si="115"/>
        <v>Sep</v>
      </c>
      <c r="X822">
        <f t="shared" si="116"/>
        <v>2025</v>
      </c>
    </row>
    <row r="823" spans="1:24" x14ac:dyDescent="0.35">
      <c r="A823" s="3">
        <v>46001</v>
      </c>
      <c r="B823" t="s">
        <v>104</v>
      </c>
      <c r="C823" t="s">
        <v>57</v>
      </c>
      <c r="D823" t="s">
        <v>969</v>
      </c>
      <c r="E823" t="s">
        <v>66</v>
      </c>
      <c r="F823" t="s">
        <v>27</v>
      </c>
      <c r="G823" t="s">
        <v>29</v>
      </c>
      <c r="H823">
        <v>39</v>
      </c>
      <c r="I823">
        <v>825</v>
      </c>
      <c r="J823">
        <v>73</v>
      </c>
      <c r="K823">
        <v>18.8</v>
      </c>
      <c r="L823" t="s">
        <v>78</v>
      </c>
      <c r="M823">
        <v>22094.76</v>
      </c>
      <c r="N823">
        <v>8927</v>
      </c>
      <c r="O823" t="s">
        <v>59</v>
      </c>
      <c r="P823" t="str">
        <f t="shared" si="108"/>
        <v>No</v>
      </c>
      <c r="Q823">
        <f t="shared" si="109"/>
        <v>21.15</v>
      </c>
      <c r="R823">
        <f t="shared" si="110"/>
        <v>26.78</v>
      </c>
      <c r="S823">
        <f t="shared" si="111"/>
        <v>2.48</v>
      </c>
      <c r="T823" t="str">
        <f t="shared" si="112"/>
        <v>On Time</v>
      </c>
      <c r="U823" t="str">
        <f t="shared" si="113"/>
        <v>Low</v>
      </c>
      <c r="V823" t="str">
        <f t="shared" si="114"/>
        <v>Low Risk</v>
      </c>
      <c r="W823" t="str">
        <f t="shared" si="115"/>
        <v>Dec</v>
      </c>
      <c r="X823">
        <f t="shared" si="116"/>
        <v>2025</v>
      </c>
    </row>
    <row r="824" spans="1:24" x14ac:dyDescent="0.35">
      <c r="A824" s="3">
        <v>45752</v>
      </c>
      <c r="B824" t="s">
        <v>64</v>
      </c>
      <c r="C824" t="s">
        <v>69</v>
      </c>
      <c r="D824" t="s">
        <v>970</v>
      </c>
      <c r="E824" t="s">
        <v>66</v>
      </c>
      <c r="F824" t="s">
        <v>27</v>
      </c>
      <c r="G824" t="s">
        <v>29</v>
      </c>
      <c r="H824">
        <v>63.7</v>
      </c>
      <c r="I824">
        <v>672</v>
      </c>
      <c r="J824">
        <v>36</v>
      </c>
      <c r="K824">
        <v>19.600000000000001</v>
      </c>
      <c r="L824" t="s">
        <v>78</v>
      </c>
      <c r="M824">
        <v>38220.06</v>
      </c>
      <c r="N824">
        <v>6705</v>
      </c>
      <c r="O824" t="s">
        <v>31</v>
      </c>
      <c r="P824" t="str">
        <f t="shared" si="108"/>
        <v>No</v>
      </c>
      <c r="Q824">
        <f t="shared" si="109"/>
        <v>10.55</v>
      </c>
      <c r="R824">
        <f t="shared" si="110"/>
        <v>56.88</v>
      </c>
      <c r="S824">
        <f t="shared" si="111"/>
        <v>5.7</v>
      </c>
      <c r="T824" t="str">
        <f t="shared" si="112"/>
        <v>On Time</v>
      </c>
      <c r="U824" t="str">
        <f t="shared" si="113"/>
        <v>High</v>
      </c>
      <c r="V824" t="str">
        <f t="shared" si="114"/>
        <v>Low Risk</v>
      </c>
      <c r="W824" t="str">
        <f t="shared" si="115"/>
        <v>Apr</v>
      </c>
      <c r="X824">
        <f t="shared" si="116"/>
        <v>2025</v>
      </c>
    </row>
    <row r="825" spans="1:24" x14ac:dyDescent="0.35">
      <c r="A825" s="3">
        <v>45869</v>
      </c>
      <c r="B825" t="s">
        <v>102</v>
      </c>
      <c r="C825" t="s">
        <v>57</v>
      </c>
      <c r="D825" t="s">
        <v>971</v>
      </c>
      <c r="E825" t="s">
        <v>54</v>
      </c>
      <c r="F825" t="s">
        <v>63</v>
      </c>
      <c r="G825" t="s">
        <v>29</v>
      </c>
      <c r="H825">
        <v>59.6</v>
      </c>
      <c r="I825">
        <v>1264</v>
      </c>
      <c r="J825">
        <v>52</v>
      </c>
      <c r="K825">
        <v>19.3</v>
      </c>
      <c r="L825" t="s">
        <v>49</v>
      </c>
      <c r="M825">
        <v>31736.91</v>
      </c>
      <c r="N825">
        <v>9567</v>
      </c>
      <c r="O825" t="s">
        <v>91</v>
      </c>
      <c r="P825" t="str">
        <f t="shared" si="108"/>
        <v>Yes</v>
      </c>
      <c r="Q825">
        <f t="shared" si="109"/>
        <v>21.21</v>
      </c>
      <c r="R825">
        <f t="shared" si="110"/>
        <v>25.11</v>
      </c>
      <c r="S825">
        <f t="shared" si="111"/>
        <v>3.32</v>
      </c>
      <c r="T825" t="str">
        <f t="shared" si="112"/>
        <v>Delayed</v>
      </c>
      <c r="U825" t="str">
        <f t="shared" si="113"/>
        <v>Medium</v>
      </c>
      <c r="V825" t="str">
        <f t="shared" si="114"/>
        <v>High Risk</v>
      </c>
      <c r="W825" t="str">
        <f t="shared" si="115"/>
        <v>Jul</v>
      </c>
      <c r="X825">
        <f t="shared" si="116"/>
        <v>2025</v>
      </c>
    </row>
    <row r="826" spans="1:24" x14ac:dyDescent="0.35">
      <c r="A826" s="3">
        <v>45742</v>
      </c>
      <c r="B826" t="s">
        <v>115</v>
      </c>
      <c r="C826" t="s">
        <v>95</v>
      </c>
      <c r="D826" t="s">
        <v>972</v>
      </c>
      <c r="E826" t="s">
        <v>66</v>
      </c>
      <c r="F826" t="s">
        <v>54</v>
      </c>
      <c r="G826" t="s">
        <v>29</v>
      </c>
      <c r="H826">
        <v>66.8</v>
      </c>
      <c r="I826">
        <v>4095</v>
      </c>
      <c r="J826">
        <v>47</v>
      </c>
      <c r="K826">
        <v>10.3</v>
      </c>
      <c r="L826" t="s">
        <v>30</v>
      </c>
      <c r="M826">
        <v>35546.080000000002</v>
      </c>
      <c r="N826">
        <v>6176</v>
      </c>
      <c r="O826" t="s">
        <v>59</v>
      </c>
      <c r="P826" t="str">
        <f t="shared" si="108"/>
        <v>Yes</v>
      </c>
      <c r="Q826">
        <f t="shared" si="109"/>
        <v>61.3</v>
      </c>
      <c r="R826">
        <f t="shared" si="110"/>
        <v>8.68</v>
      </c>
      <c r="S826">
        <f t="shared" si="111"/>
        <v>5.76</v>
      </c>
      <c r="T826" t="str">
        <f t="shared" si="112"/>
        <v>Delayed</v>
      </c>
      <c r="U826" t="str">
        <f t="shared" si="113"/>
        <v>High</v>
      </c>
      <c r="V826" t="str">
        <f t="shared" si="114"/>
        <v>Medium Risk</v>
      </c>
      <c r="W826" t="str">
        <f t="shared" si="115"/>
        <v>Mar</v>
      </c>
      <c r="X826">
        <f t="shared" si="116"/>
        <v>2025</v>
      </c>
    </row>
    <row r="827" spans="1:24" x14ac:dyDescent="0.35">
      <c r="A827" s="3">
        <v>45977</v>
      </c>
      <c r="B827" t="s">
        <v>100</v>
      </c>
      <c r="C827" t="s">
        <v>130</v>
      </c>
      <c r="D827" t="s">
        <v>973</v>
      </c>
      <c r="E827" t="s">
        <v>48</v>
      </c>
      <c r="F827" t="s">
        <v>66</v>
      </c>
      <c r="G827" t="s">
        <v>35</v>
      </c>
      <c r="H827">
        <v>67</v>
      </c>
      <c r="I827">
        <v>1851</v>
      </c>
      <c r="J827">
        <v>93</v>
      </c>
      <c r="K827">
        <v>10.7</v>
      </c>
      <c r="L827" t="s">
        <v>30</v>
      </c>
      <c r="M827">
        <v>33069.86</v>
      </c>
      <c r="N827">
        <v>24278</v>
      </c>
      <c r="O827" t="s">
        <v>67</v>
      </c>
      <c r="P827" t="str">
        <f t="shared" si="108"/>
        <v>Yes</v>
      </c>
      <c r="Q827">
        <f t="shared" si="109"/>
        <v>27.63</v>
      </c>
      <c r="R827">
        <f t="shared" si="110"/>
        <v>17.87</v>
      </c>
      <c r="S827">
        <f t="shared" si="111"/>
        <v>1.36</v>
      </c>
      <c r="T827" t="str">
        <f t="shared" si="112"/>
        <v>Delayed</v>
      </c>
      <c r="U827" t="str">
        <f t="shared" si="113"/>
        <v>High</v>
      </c>
      <c r="V827" t="str">
        <f t="shared" si="114"/>
        <v>Medium Risk</v>
      </c>
      <c r="W827" t="str">
        <f t="shared" si="115"/>
        <v>Nov</v>
      </c>
      <c r="X827">
        <f t="shared" si="116"/>
        <v>2025</v>
      </c>
    </row>
    <row r="828" spans="1:24" x14ac:dyDescent="0.35">
      <c r="A828" s="3">
        <v>45729</v>
      </c>
      <c r="B828" t="s">
        <v>38</v>
      </c>
      <c r="C828" t="s">
        <v>39</v>
      </c>
      <c r="D828" t="s">
        <v>974</v>
      </c>
      <c r="E828" t="s">
        <v>66</v>
      </c>
      <c r="F828" t="s">
        <v>48</v>
      </c>
      <c r="G828" t="s">
        <v>42</v>
      </c>
      <c r="H828">
        <v>54.3</v>
      </c>
      <c r="I828">
        <v>3068</v>
      </c>
      <c r="J828">
        <v>107</v>
      </c>
      <c r="K828">
        <v>21.4</v>
      </c>
      <c r="L828" t="s">
        <v>49</v>
      </c>
      <c r="M828">
        <v>30941.96</v>
      </c>
      <c r="N828">
        <v>20198</v>
      </c>
      <c r="O828" t="s">
        <v>36</v>
      </c>
      <c r="P828" t="str">
        <f t="shared" si="108"/>
        <v>Yes</v>
      </c>
      <c r="Q828">
        <f t="shared" si="109"/>
        <v>56.5</v>
      </c>
      <c r="R828">
        <f t="shared" si="110"/>
        <v>10.09</v>
      </c>
      <c r="S828">
        <f t="shared" si="111"/>
        <v>1.53</v>
      </c>
      <c r="T828" t="str">
        <f t="shared" si="112"/>
        <v>Delayed</v>
      </c>
      <c r="U828" t="str">
        <f t="shared" si="113"/>
        <v>Medium</v>
      </c>
      <c r="V828" t="str">
        <f t="shared" si="114"/>
        <v>High Risk</v>
      </c>
      <c r="W828" t="str">
        <f t="shared" si="115"/>
        <v>Mar</v>
      </c>
      <c r="X828">
        <f t="shared" si="116"/>
        <v>2025</v>
      </c>
    </row>
    <row r="829" spans="1:24" x14ac:dyDescent="0.35">
      <c r="A829" s="3">
        <v>45908</v>
      </c>
      <c r="B829" t="s">
        <v>111</v>
      </c>
      <c r="C829" t="s">
        <v>52</v>
      </c>
      <c r="D829" t="s">
        <v>975</v>
      </c>
      <c r="E829" t="s">
        <v>48</v>
      </c>
      <c r="F829" t="s">
        <v>54</v>
      </c>
      <c r="G829" t="s">
        <v>35</v>
      </c>
      <c r="H829">
        <v>25.1</v>
      </c>
      <c r="I829">
        <v>523</v>
      </c>
      <c r="J829">
        <v>95</v>
      </c>
      <c r="K829">
        <v>19.600000000000001</v>
      </c>
      <c r="L829" t="s">
        <v>43</v>
      </c>
      <c r="M829">
        <v>14121.67</v>
      </c>
      <c r="N829">
        <v>5678</v>
      </c>
      <c r="O829" t="s">
        <v>67</v>
      </c>
      <c r="P829" t="str">
        <f t="shared" si="108"/>
        <v>Yes</v>
      </c>
      <c r="Q829">
        <f t="shared" si="109"/>
        <v>20.84</v>
      </c>
      <c r="R829">
        <f t="shared" si="110"/>
        <v>27</v>
      </c>
      <c r="S829">
        <f t="shared" si="111"/>
        <v>2.4900000000000002</v>
      </c>
      <c r="T829" t="str">
        <f t="shared" si="112"/>
        <v>Delayed</v>
      </c>
      <c r="U829" t="str">
        <f t="shared" si="113"/>
        <v>Low</v>
      </c>
      <c r="V829" t="str">
        <f t="shared" si="114"/>
        <v>Low Risk</v>
      </c>
      <c r="W829" t="str">
        <f t="shared" si="115"/>
        <v>Sep</v>
      </c>
      <c r="X829">
        <f t="shared" si="116"/>
        <v>2025</v>
      </c>
    </row>
    <row r="830" spans="1:24" x14ac:dyDescent="0.35">
      <c r="A830" s="3">
        <v>45771</v>
      </c>
      <c r="B830" t="s">
        <v>159</v>
      </c>
      <c r="C830" t="s">
        <v>95</v>
      </c>
      <c r="D830" t="s">
        <v>976</v>
      </c>
      <c r="E830" t="s">
        <v>55</v>
      </c>
      <c r="F830" t="s">
        <v>48</v>
      </c>
      <c r="G830" t="s">
        <v>35</v>
      </c>
      <c r="H830">
        <v>63.5</v>
      </c>
      <c r="I830">
        <v>1407</v>
      </c>
      <c r="J830">
        <v>57</v>
      </c>
      <c r="K830">
        <v>16.100000000000001</v>
      </c>
      <c r="L830" t="s">
        <v>78</v>
      </c>
      <c r="M830">
        <v>35371.769999999997</v>
      </c>
      <c r="N830">
        <v>9589</v>
      </c>
      <c r="O830" t="s">
        <v>31</v>
      </c>
      <c r="P830" t="str">
        <f t="shared" si="108"/>
        <v>No</v>
      </c>
      <c r="Q830">
        <f t="shared" si="109"/>
        <v>22.16</v>
      </c>
      <c r="R830">
        <f t="shared" si="110"/>
        <v>25.14</v>
      </c>
      <c r="S830">
        <f t="shared" si="111"/>
        <v>3.69</v>
      </c>
      <c r="T830" t="str">
        <f t="shared" si="112"/>
        <v>On Time</v>
      </c>
      <c r="U830" t="str">
        <f t="shared" si="113"/>
        <v>High</v>
      </c>
      <c r="V830" t="str">
        <f t="shared" si="114"/>
        <v>Low Risk</v>
      </c>
      <c r="W830" t="str">
        <f t="shared" si="115"/>
        <v>Apr</v>
      </c>
      <c r="X830">
        <f t="shared" si="116"/>
        <v>2025</v>
      </c>
    </row>
    <row r="831" spans="1:24" x14ac:dyDescent="0.35">
      <c r="A831" s="3">
        <v>45950</v>
      </c>
      <c r="B831" t="s">
        <v>349</v>
      </c>
      <c r="C831" t="s">
        <v>39</v>
      </c>
      <c r="D831" t="s">
        <v>977</v>
      </c>
      <c r="E831" t="s">
        <v>55</v>
      </c>
      <c r="F831" t="s">
        <v>54</v>
      </c>
      <c r="G831" t="s">
        <v>29</v>
      </c>
      <c r="H831">
        <v>37.6</v>
      </c>
      <c r="I831">
        <v>1265</v>
      </c>
      <c r="J831">
        <v>30</v>
      </c>
      <c r="K831">
        <v>11.2</v>
      </c>
      <c r="L831" t="s">
        <v>49</v>
      </c>
      <c r="M831">
        <v>17027.759999999998</v>
      </c>
      <c r="N831">
        <v>14441</v>
      </c>
      <c r="O831" t="s">
        <v>36</v>
      </c>
      <c r="P831" t="str">
        <f t="shared" si="108"/>
        <v>Yes</v>
      </c>
      <c r="Q831">
        <f t="shared" si="109"/>
        <v>33.64</v>
      </c>
      <c r="R831">
        <f t="shared" si="110"/>
        <v>13.46</v>
      </c>
      <c r="S831">
        <f t="shared" si="111"/>
        <v>1.18</v>
      </c>
      <c r="T831" t="str">
        <f t="shared" si="112"/>
        <v>Delayed</v>
      </c>
      <c r="U831" t="str">
        <f t="shared" si="113"/>
        <v>Low</v>
      </c>
      <c r="V831" t="str">
        <f t="shared" si="114"/>
        <v>High Risk</v>
      </c>
      <c r="W831" t="str">
        <f t="shared" si="115"/>
        <v>Oct</v>
      </c>
      <c r="X831">
        <f t="shared" si="116"/>
        <v>2025</v>
      </c>
    </row>
    <row r="832" spans="1:24" x14ac:dyDescent="0.35">
      <c r="A832" s="3">
        <v>45956</v>
      </c>
      <c r="B832" t="s">
        <v>111</v>
      </c>
      <c r="C832" t="s">
        <v>95</v>
      </c>
      <c r="D832" t="s">
        <v>978</v>
      </c>
      <c r="E832" t="s">
        <v>66</v>
      </c>
      <c r="F832" t="s">
        <v>63</v>
      </c>
      <c r="G832" t="s">
        <v>35</v>
      </c>
      <c r="H832">
        <v>62.3</v>
      </c>
      <c r="I832">
        <v>2035</v>
      </c>
      <c r="J832">
        <v>47</v>
      </c>
      <c r="K832">
        <v>11.2</v>
      </c>
      <c r="L832" t="s">
        <v>49</v>
      </c>
      <c r="M832">
        <v>28812.799999999999</v>
      </c>
      <c r="N832">
        <v>7659</v>
      </c>
      <c r="O832" t="s">
        <v>44</v>
      </c>
      <c r="P832" t="str">
        <f t="shared" si="108"/>
        <v>Yes</v>
      </c>
      <c r="Q832">
        <f t="shared" si="109"/>
        <v>32.659999999999997</v>
      </c>
      <c r="R832">
        <f t="shared" si="110"/>
        <v>14.16</v>
      </c>
      <c r="S832">
        <f t="shared" si="111"/>
        <v>3.76</v>
      </c>
      <c r="T832" t="str">
        <f t="shared" si="112"/>
        <v>Delayed</v>
      </c>
      <c r="U832" t="str">
        <f t="shared" si="113"/>
        <v>High</v>
      </c>
      <c r="V832" t="str">
        <f t="shared" si="114"/>
        <v>High Risk</v>
      </c>
      <c r="W832" t="str">
        <f t="shared" si="115"/>
        <v>Oct</v>
      </c>
      <c r="X832">
        <f t="shared" si="116"/>
        <v>2025</v>
      </c>
    </row>
    <row r="833" spans="1:24" x14ac:dyDescent="0.35">
      <c r="A833" s="3">
        <v>45765</v>
      </c>
      <c r="B833" t="s">
        <v>80</v>
      </c>
      <c r="C833" t="s">
        <v>52</v>
      </c>
      <c r="D833" t="s">
        <v>979</v>
      </c>
      <c r="E833" t="s">
        <v>41</v>
      </c>
      <c r="F833" t="s">
        <v>27</v>
      </c>
      <c r="G833" t="s">
        <v>29</v>
      </c>
      <c r="H833">
        <v>66.5</v>
      </c>
      <c r="I833">
        <v>3978</v>
      </c>
      <c r="J833">
        <v>39</v>
      </c>
      <c r="K833">
        <v>17.100000000000001</v>
      </c>
      <c r="L833" t="s">
        <v>43</v>
      </c>
      <c r="M833">
        <v>35714.29</v>
      </c>
      <c r="N833">
        <v>7677</v>
      </c>
      <c r="O833" t="s">
        <v>50</v>
      </c>
      <c r="P833" t="str">
        <f t="shared" si="108"/>
        <v>Yes</v>
      </c>
      <c r="Q833">
        <f t="shared" si="109"/>
        <v>59.82</v>
      </c>
      <c r="R833">
        <f t="shared" si="110"/>
        <v>8.98</v>
      </c>
      <c r="S833">
        <f t="shared" si="111"/>
        <v>4.6500000000000004</v>
      </c>
      <c r="T833" t="str">
        <f t="shared" si="112"/>
        <v>Delayed</v>
      </c>
      <c r="U833" t="str">
        <f t="shared" si="113"/>
        <v>High</v>
      </c>
      <c r="V833" t="str">
        <f t="shared" si="114"/>
        <v>Low Risk</v>
      </c>
      <c r="W833" t="str">
        <f t="shared" si="115"/>
        <v>Apr</v>
      </c>
      <c r="X833">
        <f t="shared" si="116"/>
        <v>2025</v>
      </c>
    </row>
    <row r="834" spans="1:24" x14ac:dyDescent="0.35">
      <c r="A834" s="3">
        <v>45894</v>
      </c>
      <c r="B834" t="s">
        <v>277</v>
      </c>
      <c r="C834" t="s">
        <v>25</v>
      </c>
      <c r="D834" t="s">
        <v>980</v>
      </c>
      <c r="E834" t="s">
        <v>28</v>
      </c>
      <c r="F834" t="s">
        <v>54</v>
      </c>
      <c r="G834" t="s">
        <v>35</v>
      </c>
      <c r="H834">
        <v>54.6</v>
      </c>
      <c r="I834">
        <v>3463</v>
      </c>
      <c r="J834">
        <v>62</v>
      </c>
      <c r="K834">
        <v>14.6</v>
      </c>
      <c r="L834" t="s">
        <v>49</v>
      </c>
      <c r="M834">
        <v>31725.01</v>
      </c>
      <c r="N834">
        <v>29490</v>
      </c>
      <c r="O834" t="s">
        <v>50</v>
      </c>
      <c r="P834" t="str">
        <f t="shared" ref="P834:P897" si="117">IF(OR(L834="Rain",L834="Fog",L834="Storm"),"Yes","No")</f>
        <v>Yes</v>
      </c>
      <c r="Q834">
        <f t="shared" ref="Q834:Q897" si="118">ROUND(I834/H834,2)</f>
        <v>63.42</v>
      </c>
      <c r="R834">
        <f t="shared" ref="R834:R897" si="119">ROUND(M834/I834,2)</f>
        <v>9.16</v>
      </c>
      <c r="S834">
        <f t="shared" ref="S834:S897" si="120">ROUND(M834/N834,2)</f>
        <v>1.08</v>
      </c>
      <c r="T834" t="str">
        <f t="shared" ref="T834:T897" si="121">IF(P834="Yes","Delayed","On Time")</f>
        <v>Delayed</v>
      </c>
      <c r="U834" t="str">
        <f t="shared" ref="U834:U897" si="122">IF(H834&gt;=60,"High",IF(H834&gt;=40,"Medium","Low"))</f>
        <v>Medium</v>
      </c>
      <c r="V834" t="str">
        <f t="shared" ref="V834:V897" si="123">IF(L834="Storm","High Risk",IF(L834="Rain","Medium Risk","Low Risk"))</f>
        <v>High Risk</v>
      </c>
      <c r="W834" t="str">
        <f t="shared" ref="W834:W897" si="124">TEXT(A834,"mmm")</f>
        <v>Aug</v>
      </c>
      <c r="X834">
        <f t="shared" si="116"/>
        <v>2025</v>
      </c>
    </row>
    <row r="835" spans="1:24" x14ac:dyDescent="0.35">
      <c r="A835" s="3">
        <v>45823</v>
      </c>
      <c r="B835" t="s">
        <v>203</v>
      </c>
      <c r="C835" t="s">
        <v>69</v>
      </c>
      <c r="D835" t="s">
        <v>981</v>
      </c>
      <c r="E835" t="s">
        <v>28</v>
      </c>
      <c r="F835" t="s">
        <v>54</v>
      </c>
      <c r="G835" t="s">
        <v>29</v>
      </c>
      <c r="H835">
        <v>73.7</v>
      </c>
      <c r="I835">
        <v>4885</v>
      </c>
      <c r="J835">
        <v>41</v>
      </c>
      <c r="K835">
        <v>10.3</v>
      </c>
      <c r="L835" t="s">
        <v>49</v>
      </c>
      <c r="M835">
        <v>47438.11</v>
      </c>
      <c r="N835">
        <v>17305</v>
      </c>
      <c r="O835" t="s">
        <v>31</v>
      </c>
      <c r="P835" t="str">
        <f t="shared" si="117"/>
        <v>Yes</v>
      </c>
      <c r="Q835">
        <f t="shared" si="118"/>
        <v>66.28</v>
      </c>
      <c r="R835">
        <f t="shared" si="119"/>
        <v>9.7100000000000009</v>
      </c>
      <c r="S835">
        <f t="shared" si="120"/>
        <v>2.74</v>
      </c>
      <c r="T835" t="str">
        <f t="shared" si="121"/>
        <v>Delayed</v>
      </c>
      <c r="U835" t="str">
        <f t="shared" si="122"/>
        <v>High</v>
      </c>
      <c r="V835" t="str">
        <f t="shared" si="123"/>
        <v>High Risk</v>
      </c>
      <c r="W835" t="str">
        <f t="shared" si="124"/>
        <v>Jun</v>
      </c>
      <c r="X835">
        <f t="shared" ref="X835:X898" si="125">YEAR(A835)</f>
        <v>2025</v>
      </c>
    </row>
    <row r="836" spans="1:24" x14ac:dyDescent="0.35">
      <c r="A836" s="3">
        <v>45701</v>
      </c>
      <c r="B836" t="s">
        <v>38</v>
      </c>
      <c r="C836" t="s">
        <v>95</v>
      </c>
      <c r="D836" t="s">
        <v>982</v>
      </c>
      <c r="E836" t="s">
        <v>55</v>
      </c>
      <c r="F836" t="s">
        <v>41</v>
      </c>
      <c r="G836" t="s">
        <v>71</v>
      </c>
      <c r="H836">
        <v>23.8</v>
      </c>
      <c r="I836">
        <v>1647</v>
      </c>
      <c r="J836">
        <v>97</v>
      </c>
      <c r="K836">
        <v>21.4</v>
      </c>
      <c r="L836" t="s">
        <v>78</v>
      </c>
      <c r="M836">
        <v>12790.07</v>
      </c>
      <c r="N836">
        <v>11814</v>
      </c>
      <c r="O836" t="s">
        <v>31</v>
      </c>
      <c r="P836" t="str">
        <f t="shared" si="117"/>
        <v>No</v>
      </c>
      <c r="Q836">
        <f t="shared" si="118"/>
        <v>69.2</v>
      </c>
      <c r="R836">
        <f t="shared" si="119"/>
        <v>7.77</v>
      </c>
      <c r="S836">
        <f t="shared" si="120"/>
        <v>1.08</v>
      </c>
      <c r="T836" t="str">
        <f t="shared" si="121"/>
        <v>On Time</v>
      </c>
      <c r="U836" t="str">
        <f t="shared" si="122"/>
        <v>Low</v>
      </c>
      <c r="V836" t="str">
        <f t="shared" si="123"/>
        <v>Low Risk</v>
      </c>
      <c r="W836" t="str">
        <f t="shared" si="124"/>
        <v>Feb</v>
      </c>
      <c r="X836">
        <f t="shared" si="125"/>
        <v>2025</v>
      </c>
    </row>
    <row r="837" spans="1:24" x14ac:dyDescent="0.35">
      <c r="A837" s="3">
        <v>46007</v>
      </c>
      <c r="B837" t="s">
        <v>366</v>
      </c>
      <c r="C837" t="s">
        <v>57</v>
      </c>
      <c r="D837" t="s">
        <v>983</v>
      </c>
      <c r="E837" t="s">
        <v>41</v>
      </c>
      <c r="F837" t="s">
        <v>63</v>
      </c>
      <c r="G837" t="s">
        <v>42</v>
      </c>
      <c r="H837">
        <v>24.7</v>
      </c>
      <c r="I837">
        <v>4081</v>
      </c>
      <c r="J837">
        <v>113</v>
      </c>
      <c r="K837">
        <v>14.3</v>
      </c>
      <c r="L837" t="s">
        <v>49</v>
      </c>
      <c r="M837">
        <v>13583.39</v>
      </c>
      <c r="N837">
        <v>25692</v>
      </c>
      <c r="O837" t="s">
        <v>91</v>
      </c>
      <c r="P837" t="str">
        <f t="shared" si="117"/>
        <v>Yes</v>
      </c>
      <c r="Q837">
        <f t="shared" si="118"/>
        <v>165.22</v>
      </c>
      <c r="R837">
        <f t="shared" si="119"/>
        <v>3.33</v>
      </c>
      <c r="S837">
        <f t="shared" si="120"/>
        <v>0.53</v>
      </c>
      <c r="T837" t="str">
        <f t="shared" si="121"/>
        <v>Delayed</v>
      </c>
      <c r="U837" t="str">
        <f t="shared" si="122"/>
        <v>Low</v>
      </c>
      <c r="V837" t="str">
        <f t="shared" si="123"/>
        <v>High Risk</v>
      </c>
      <c r="W837" t="str">
        <f t="shared" si="124"/>
        <v>Dec</v>
      </c>
      <c r="X837">
        <f t="shared" si="125"/>
        <v>2025</v>
      </c>
    </row>
    <row r="838" spans="1:24" x14ac:dyDescent="0.35">
      <c r="A838" s="3">
        <v>46006</v>
      </c>
      <c r="B838" t="s">
        <v>193</v>
      </c>
      <c r="C838" t="s">
        <v>95</v>
      </c>
      <c r="D838" t="s">
        <v>984</v>
      </c>
      <c r="E838" t="s">
        <v>27</v>
      </c>
      <c r="F838" t="s">
        <v>54</v>
      </c>
      <c r="G838" t="s">
        <v>35</v>
      </c>
      <c r="H838">
        <v>53.7</v>
      </c>
      <c r="I838">
        <v>3451</v>
      </c>
      <c r="J838">
        <v>103</v>
      </c>
      <c r="K838">
        <v>19.2</v>
      </c>
      <c r="L838" t="s">
        <v>49</v>
      </c>
      <c r="M838">
        <v>33040.699999999997</v>
      </c>
      <c r="N838">
        <v>18003</v>
      </c>
      <c r="O838" t="s">
        <v>50</v>
      </c>
      <c r="P838" t="str">
        <f t="shared" si="117"/>
        <v>Yes</v>
      </c>
      <c r="Q838">
        <f t="shared" si="118"/>
        <v>64.260000000000005</v>
      </c>
      <c r="R838">
        <f t="shared" si="119"/>
        <v>9.57</v>
      </c>
      <c r="S838">
        <f t="shared" si="120"/>
        <v>1.84</v>
      </c>
      <c r="T838" t="str">
        <f t="shared" si="121"/>
        <v>Delayed</v>
      </c>
      <c r="U838" t="str">
        <f t="shared" si="122"/>
        <v>Medium</v>
      </c>
      <c r="V838" t="str">
        <f t="shared" si="123"/>
        <v>High Risk</v>
      </c>
      <c r="W838" t="str">
        <f t="shared" si="124"/>
        <v>Dec</v>
      </c>
      <c r="X838">
        <f t="shared" si="125"/>
        <v>2025</v>
      </c>
    </row>
    <row r="839" spans="1:24" x14ac:dyDescent="0.35">
      <c r="A839" s="3">
        <v>45840</v>
      </c>
      <c r="B839" t="s">
        <v>89</v>
      </c>
      <c r="C839" t="s">
        <v>25</v>
      </c>
      <c r="D839" t="s">
        <v>985</v>
      </c>
      <c r="E839" t="s">
        <v>27</v>
      </c>
      <c r="F839" t="s">
        <v>48</v>
      </c>
      <c r="G839" t="s">
        <v>42</v>
      </c>
      <c r="H839">
        <v>79.7</v>
      </c>
      <c r="I839">
        <v>4696</v>
      </c>
      <c r="J839">
        <v>59</v>
      </c>
      <c r="K839">
        <v>22</v>
      </c>
      <c r="L839" t="s">
        <v>30</v>
      </c>
      <c r="M839">
        <v>54302.31</v>
      </c>
      <c r="N839">
        <v>6468</v>
      </c>
      <c r="O839" t="s">
        <v>50</v>
      </c>
      <c r="P839" t="str">
        <f t="shared" si="117"/>
        <v>Yes</v>
      </c>
      <c r="Q839">
        <f t="shared" si="118"/>
        <v>58.92</v>
      </c>
      <c r="R839">
        <f t="shared" si="119"/>
        <v>11.56</v>
      </c>
      <c r="S839">
        <f t="shared" si="120"/>
        <v>8.4</v>
      </c>
      <c r="T839" t="str">
        <f t="shared" si="121"/>
        <v>Delayed</v>
      </c>
      <c r="U839" t="str">
        <f t="shared" si="122"/>
        <v>High</v>
      </c>
      <c r="V839" t="str">
        <f t="shared" si="123"/>
        <v>Medium Risk</v>
      </c>
      <c r="W839" t="str">
        <f t="shared" si="124"/>
        <v>Jul</v>
      </c>
      <c r="X839">
        <f t="shared" si="125"/>
        <v>2025</v>
      </c>
    </row>
    <row r="840" spans="1:24" x14ac:dyDescent="0.35">
      <c r="A840" s="3">
        <v>45957</v>
      </c>
      <c r="B840" t="s">
        <v>244</v>
      </c>
      <c r="C840" t="s">
        <v>109</v>
      </c>
      <c r="D840" t="s">
        <v>986</v>
      </c>
      <c r="E840" t="s">
        <v>63</v>
      </c>
      <c r="F840" t="s">
        <v>28</v>
      </c>
      <c r="G840" t="s">
        <v>35</v>
      </c>
      <c r="H840">
        <v>55.2</v>
      </c>
      <c r="I840">
        <v>4451</v>
      </c>
      <c r="J840">
        <v>70</v>
      </c>
      <c r="K840">
        <v>16.5</v>
      </c>
      <c r="L840" t="s">
        <v>30</v>
      </c>
      <c r="M840">
        <v>31404.87</v>
      </c>
      <c r="N840">
        <v>18947</v>
      </c>
      <c r="O840" t="s">
        <v>84</v>
      </c>
      <c r="P840" t="str">
        <f t="shared" si="117"/>
        <v>Yes</v>
      </c>
      <c r="Q840">
        <f t="shared" si="118"/>
        <v>80.63</v>
      </c>
      <c r="R840">
        <f t="shared" si="119"/>
        <v>7.06</v>
      </c>
      <c r="S840">
        <f t="shared" si="120"/>
        <v>1.66</v>
      </c>
      <c r="T840" t="str">
        <f t="shared" si="121"/>
        <v>Delayed</v>
      </c>
      <c r="U840" t="str">
        <f t="shared" si="122"/>
        <v>Medium</v>
      </c>
      <c r="V840" t="str">
        <f t="shared" si="123"/>
        <v>Medium Risk</v>
      </c>
      <c r="W840" t="str">
        <f t="shared" si="124"/>
        <v>Oct</v>
      </c>
      <c r="X840">
        <f t="shared" si="125"/>
        <v>2025</v>
      </c>
    </row>
    <row r="841" spans="1:24" x14ac:dyDescent="0.35">
      <c r="A841" s="3">
        <v>45908</v>
      </c>
      <c r="B841" t="s">
        <v>98</v>
      </c>
      <c r="C841" t="s">
        <v>69</v>
      </c>
      <c r="D841" t="s">
        <v>987</v>
      </c>
      <c r="E841" t="s">
        <v>27</v>
      </c>
      <c r="F841" t="s">
        <v>41</v>
      </c>
      <c r="G841" t="s">
        <v>29</v>
      </c>
      <c r="H841">
        <v>75.599999999999994</v>
      </c>
      <c r="I841">
        <v>536</v>
      </c>
      <c r="J841">
        <v>50</v>
      </c>
      <c r="K841">
        <v>10.1</v>
      </c>
      <c r="L841" t="s">
        <v>30</v>
      </c>
      <c r="M841">
        <v>50023.86</v>
      </c>
      <c r="N841">
        <v>26604</v>
      </c>
      <c r="O841" t="s">
        <v>59</v>
      </c>
      <c r="P841" t="str">
        <f t="shared" si="117"/>
        <v>Yes</v>
      </c>
      <c r="Q841">
        <f t="shared" si="118"/>
        <v>7.09</v>
      </c>
      <c r="R841">
        <f t="shared" si="119"/>
        <v>93.33</v>
      </c>
      <c r="S841">
        <f t="shared" si="120"/>
        <v>1.88</v>
      </c>
      <c r="T841" t="str">
        <f t="shared" si="121"/>
        <v>Delayed</v>
      </c>
      <c r="U841" t="str">
        <f t="shared" si="122"/>
        <v>High</v>
      </c>
      <c r="V841" t="str">
        <f t="shared" si="123"/>
        <v>Medium Risk</v>
      </c>
      <c r="W841" t="str">
        <f t="shared" si="124"/>
        <v>Sep</v>
      </c>
      <c r="X841">
        <f t="shared" si="125"/>
        <v>2025</v>
      </c>
    </row>
    <row r="842" spans="1:24" x14ac:dyDescent="0.35">
      <c r="A842" s="3">
        <v>45668</v>
      </c>
      <c r="B842" t="s">
        <v>275</v>
      </c>
      <c r="C842" t="s">
        <v>95</v>
      </c>
      <c r="D842" t="s">
        <v>988</v>
      </c>
      <c r="E842" t="s">
        <v>27</v>
      </c>
      <c r="F842" t="s">
        <v>66</v>
      </c>
      <c r="G842" t="s">
        <v>42</v>
      </c>
      <c r="H842">
        <v>34.700000000000003</v>
      </c>
      <c r="I842">
        <v>1596</v>
      </c>
      <c r="J842">
        <v>63</v>
      </c>
      <c r="K842">
        <v>15.1</v>
      </c>
      <c r="L842" t="s">
        <v>78</v>
      </c>
      <c r="M842">
        <v>22828.97</v>
      </c>
      <c r="N842">
        <v>23705</v>
      </c>
      <c r="O842" t="s">
        <v>31</v>
      </c>
      <c r="P842" t="str">
        <f t="shared" si="117"/>
        <v>No</v>
      </c>
      <c r="Q842">
        <f t="shared" si="118"/>
        <v>45.99</v>
      </c>
      <c r="R842">
        <f t="shared" si="119"/>
        <v>14.3</v>
      </c>
      <c r="S842">
        <f t="shared" si="120"/>
        <v>0.96</v>
      </c>
      <c r="T842" t="str">
        <f t="shared" si="121"/>
        <v>On Time</v>
      </c>
      <c r="U842" t="str">
        <f t="shared" si="122"/>
        <v>Low</v>
      </c>
      <c r="V842" t="str">
        <f t="shared" si="123"/>
        <v>Low Risk</v>
      </c>
      <c r="W842" t="str">
        <f t="shared" si="124"/>
        <v>Jan</v>
      </c>
      <c r="X842">
        <f t="shared" si="125"/>
        <v>2025</v>
      </c>
    </row>
    <row r="843" spans="1:24" x14ac:dyDescent="0.35">
      <c r="A843" s="3">
        <v>45682</v>
      </c>
      <c r="B843" t="s">
        <v>185</v>
      </c>
      <c r="C843" t="s">
        <v>130</v>
      </c>
      <c r="D843" t="s">
        <v>989</v>
      </c>
      <c r="E843" t="s">
        <v>28</v>
      </c>
      <c r="F843" t="s">
        <v>66</v>
      </c>
      <c r="G843" t="s">
        <v>35</v>
      </c>
      <c r="H843">
        <v>43.8</v>
      </c>
      <c r="I843">
        <v>3405</v>
      </c>
      <c r="J843">
        <v>98</v>
      </c>
      <c r="K843">
        <v>18</v>
      </c>
      <c r="L843" t="s">
        <v>30</v>
      </c>
      <c r="M843">
        <v>23708.98</v>
      </c>
      <c r="N843">
        <v>28293</v>
      </c>
      <c r="O843" t="s">
        <v>50</v>
      </c>
      <c r="P843" t="str">
        <f t="shared" si="117"/>
        <v>Yes</v>
      </c>
      <c r="Q843">
        <f t="shared" si="118"/>
        <v>77.739999999999995</v>
      </c>
      <c r="R843">
        <f t="shared" si="119"/>
        <v>6.96</v>
      </c>
      <c r="S843">
        <f t="shared" si="120"/>
        <v>0.84</v>
      </c>
      <c r="T843" t="str">
        <f t="shared" si="121"/>
        <v>Delayed</v>
      </c>
      <c r="U843" t="str">
        <f t="shared" si="122"/>
        <v>Medium</v>
      </c>
      <c r="V843" t="str">
        <f t="shared" si="123"/>
        <v>Medium Risk</v>
      </c>
      <c r="W843" t="str">
        <f t="shared" si="124"/>
        <v>Jan</v>
      </c>
      <c r="X843">
        <f t="shared" si="125"/>
        <v>2025</v>
      </c>
    </row>
    <row r="844" spans="1:24" x14ac:dyDescent="0.35">
      <c r="A844" s="3">
        <v>45725</v>
      </c>
      <c r="B844" t="s">
        <v>311</v>
      </c>
      <c r="C844" t="s">
        <v>52</v>
      </c>
      <c r="D844" t="s">
        <v>990</v>
      </c>
      <c r="E844" t="s">
        <v>48</v>
      </c>
      <c r="F844" t="s">
        <v>55</v>
      </c>
      <c r="G844" t="s">
        <v>29</v>
      </c>
      <c r="H844">
        <v>64.900000000000006</v>
      </c>
      <c r="I844">
        <v>1183</v>
      </c>
      <c r="J844">
        <v>46</v>
      </c>
      <c r="K844">
        <v>20.2</v>
      </c>
      <c r="L844" t="s">
        <v>49</v>
      </c>
      <c r="M844">
        <v>36054.21</v>
      </c>
      <c r="N844">
        <v>19248</v>
      </c>
      <c r="O844" t="s">
        <v>59</v>
      </c>
      <c r="P844" t="str">
        <f t="shared" si="117"/>
        <v>Yes</v>
      </c>
      <c r="Q844">
        <f t="shared" si="118"/>
        <v>18.23</v>
      </c>
      <c r="R844">
        <f t="shared" si="119"/>
        <v>30.48</v>
      </c>
      <c r="S844">
        <f t="shared" si="120"/>
        <v>1.87</v>
      </c>
      <c r="T844" t="str">
        <f t="shared" si="121"/>
        <v>Delayed</v>
      </c>
      <c r="U844" t="str">
        <f t="shared" si="122"/>
        <v>High</v>
      </c>
      <c r="V844" t="str">
        <f t="shared" si="123"/>
        <v>High Risk</v>
      </c>
      <c r="W844" t="str">
        <f t="shared" si="124"/>
        <v>Mar</v>
      </c>
      <c r="X844">
        <f t="shared" si="125"/>
        <v>2025</v>
      </c>
    </row>
    <row r="845" spans="1:24" x14ac:dyDescent="0.35">
      <c r="A845" s="3">
        <v>45805</v>
      </c>
      <c r="B845" t="s">
        <v>210</v>
      </c>
      <c r="C845" t="s">
        <v>25</v>
      </c>
      <c r="D845" t="s">
        <v>991</v>
      </c>
      <c r="E845" t="s">
        <v>27</v>
      </c>
      <c r="F845" t="s">
        <v>66</v>
      </c>
      <c r="G845" t="s">
        <v>35</v>
      </c>
      <c r="H845">
        <v>70.900000000000006</v>
      </c>
      <c r="I845">
        <v>2079</v>
      </c>
      <c r="J845">
        <v>35</v>
      </c>
      <c r="K845">
        <v>16.3</v>
      </c>
      <c r="L845" t="s">
        <v>43</v>
      </c>
      <c r="M845">
        <v>46504.41</v>
      </c>
      <c r="N845">
        <v>11633</v>
      </c>
      <c r="O845" t="s">
        <v>91</v>
      </c>
      <c r="P845" t="str">
        <f t="shared" si="117"/>
        <v>Yes</v>
      </c>
      <c r="Q845">
        <f t="shared" si="118"/>
        <v>29.32</v>
      </c>
      <c r="R845">
        <f t="shared" si="119"/>
        <v>22.37</v>
      </c>
      <c r="S845">
        <f t="shared" si="120"/>
        <v>4</v>
      </c>
      <c r="T845" t="str">
        <f t="shared" si="121"/>
        <v>Delayed</v>
      </c>
      <c r="U845" t="str">
        <f t="shared" si="122"/>
        <v>High</v>
      </c>
      <c r="V845" t="str">
        <f t="shared" si="123"/>
        <v>Low Risk</v>
      </c>
      <c r="W845" t="str">
        <f t="shared" si="124"/>
        <v>May</v>
      </c>
      <c r="X845">
        <f t="shared" si="125"/>
        <v>2025</v>
      </c>
    </row>
    <row r="846" spans="1:24" x14ac:dyDescent="0.35">
      <c r="A846" s="3">
        <v>46016</v>
      </c>
      <c r="B846" t="s">
        <v>154</v>
      </c>
      <c r="C846" t="s">
        <v>39</v>
      </c>
      <c r="D846" t="s">
        <v>992</v>
      </c>
      <c r="E846" t="s">
        <v>41</v>
      </c>
      <c r="F846" t="s">
        <v>27</v>
      </c>
      <c r="G846" t="s">
        <v>35</v>
      </c>
      <c r="H846">
        <v>77.5</v>
      </c>
      <c r="I846">
        <v>3318</v>
      </c>
      <c r="J846">
        <v>45</v>
      </c>
      <c r="K846">
        <v>19.100000000000001</v>
      </c>
      <c r="L846" t="s">
        <v>49</v>
      </c>
      <c r="M846">
        <v>35029.199999999997</v>
      </c>
      <c r="N846">
        <v>12022</v>
      </c>
      <c r="O846" t="s">
        <v>59</v>
      </c>
      <c r="P846" t="str">
        <f t="shared" si="117"/>
        <v>Yes</v>
      </c>
      <c r="Q846">
        <f t="shared" si="118"/>
        <v>42.81</v>
      </c>
      <c r="R846">
        <f t="shared" si="119"/>
        <v>10.56</v>
      </c>
      <c r="S846">
        <f t="shared" si="120"/>
        <v>2.91</v>
      </c>
      <c r="T846" t="str">
        <f t="shared" si="121"/>
        <v>Delayed</v>
      </c>
      <c r="U846" t="str">
        <f t="shared" si="122"/>
        <v>High</v>
      </c>
      <c r="V846" t="str">
        <f t="shared" si="123"/>
        <v>High Risk</v>
      </c>
      <c r="W846" t="str">
        <f t="shared" si="124"/>
        <v>Dec</v>
      </c>
      <c r="X846">
        <f t="shared" si="125"/>
        <v>2025</v>
      </c>
    </row>
    <row r="847" spans="1:24" x14ac:dyDescent="0.35">
      <c r="A847" s="3">
        <v>45683</v>
      </c>
      <c r="B847" t="s">
        <v>150</v>
      </c>
      <c r="C847" t="s">
        <v>95</v>
      </c>
      <c r="D847" t="s">
        <v>993</v>
      </c>
      <c r="E847" t="s">
        <v>66</v>
      </c>
      <c r="F847" t="s">
        <v>27</v>
      </c>
      <c r="G847" t="s">
        <v>71</v>
      </c>
      <c r="H847">
        <v>70.3</v>
      </c>
      <c r="I847">
        <v>3036</v>
      </c>
      <c r="J847">
        <v>95</v>
      </c>
      <c r="K847">
        <v>15.4</v>
      </c>
      <c r="L847" t="s">
        <v>49</v>
      </c>
      <c r="M847">
        <v>47012.32</v>
      </c>
      <c r="N847">
        <v>21795</v>
      </c>
      <c r="O847" t="s">
        <v>44</v>
      </c>
      <c r="P847" t="str">
        <f t="shared" si="117"/>
        <v>Yes</v>
      </c>
      <c r="Q847">
        <f t="shared" si="118"/>
        <v>43.19</v>
      </c>
      <c r="R847">
        <f t="shared" si="119"/>
        <v>15.48</v>
      </c>
      <c r="S847">
        <f t="shared" si="120"/>
        <v>2.16</v>
      </c>
      <c r="T847" t="str">
        <f t="shared" si="121"/>
        <v>Delayed</v>
      </c>
      <c r="U847" t="str">
        <f t="shared" si="122"/>
        <v>High</v>
      </c>
      <c r="V847" t="str">
        <f t="shared" si="123"/>
        <v>High Risk</v>
      </c>
      <c r="W847" t="str">
        <f t="shared" si="124"/>
        <v>Jan</v>
      </c>
      <c r="X847">
        <f t="shared" si="125"/>
        <v>2025</v>
      </c>
    </row>
    <row r="848" spans="1:24" x14ac:dyDescent="0.35">
      <c r="A848" s="3">
        <v>45881</v>
      </c>
      <c r="B848" t="s">
        <v>157</v>
      </c>
      <c r="C848" t="s">
        <v>52</v>
      </c>
      <c r="D848" t="s">
        <v>994</v>
      </c>
      <c r="E848" t="s">
        <v>54</v>
      </c>
      <c r="F848" t="s">
        <v>28</v>
      </c>
      <c r="G848" t="s">
        <v>71</v>
      </c>
      <c r="H848">
        <v>67.7</v>
      </c>
      <c r="I848">
        <v>1717</v>
      </c>
      <c r="J848">
        <v>39</v>
      </c>
      <c r="K848">
        <v>13.9</v>
      </c>
      <c r="L848" t="s">
        <v>30</v>
      </c>
      <c r="M848">
        <v>45538.74</v>
      </c>
      <c r="N848">
        <v>9824</v>
      </c>
      <c r="O848" t="s">
        <v>44</v>
      </c>
      <c r="P848" t="str">
        <f t="shared" si="117"/>
        <v>Yes</v>
      </c>
      <c r="Q848">
        <f t="shared" si="118"/>
        <v>25.36</v>
      </c>
      <c r="R848">
        <f t="shared" si="119"/>
        <v>26.52</v>
      </c>
      <c r="S848">
        <f t="shared" si="120"/>
        <v>4.6399999999999997</v>
      </c>
      <c r="T848" t="str">
        <f t="shared" si="121"/>
        <v>Delayed</v>
      </c>
      <c r="U848" t="str">
        <f t="shared" si="122"/>
        <v>High</v>
      </c>
      <c r="V848" t="str">
        <f t="shared" si="123"/>
        <v>Medium Risk</v>
      </c>
      <c r="W848" t="str">
        <f t="shared" si="124"/>
        <v>Aug</v>
      </c>
      <c r="X848">
        <f t="shared" si="125"/>
        <v>2025</v>
      </c>
    </row>
    <row r="849" spans="1:24" x14ac:dyDescent="0.35">
      <c r="A849" s="3">
        <v>45898</v>
      </c>
      <c r="B849" t="s">
        <v>61</v>
      </c>
      <c r="C849" t="s">
        <v>95</v>
      </c>
      <c r="D849" t="s">
        <v>995</v>
      </c>
      <c r="E849" t="s">
        <v>28</v>
      </c>
      <c r="F849" t="s">
        <v>63</v>
      </c>
      <c r="G849" t="s">
        <v>35</v>
      </c>
      <c r="H849">
        <v>36.4</v>
      </c>
      <c r="I849">
        <v>2624</v>
      </c>
      <c r="J849">
        <v>44</v>
      </c>
      <c r="K849">
        <v>12.5</v>
      </c>
      <c r="L849" t="s">
        <v>30</v>
      </c>
      <c r="M849">
        <v>19642.59</v>
      </c>
      <c r="N849">
        <v>6758</v>
      </c>
      <c r="O849" t="s">
        <v>67</v>
      </c>
      <c r="P849" t="str">
        <f t="shared" si="117"/>
        <v>Yes</v>
      </c>
      <c r="Q849">
        <f t="shared" si="118"/>
        <v>72.09</v>
      </c>
      <c r="R849">
        <f t="shared" si="119"/>
        <v>7.49</v>
      </c>
      <c r="S849">
        <f t="shared" si="120"/>
        <v>2.91</v>
      </c>
      <c r="T849" t="str">
        <f t="shared" si="121"/>
        <v>Delayed</v>
      </c>
      <c r="U849" t="str">
        <f t="shared" si="122"/>
        <v>Low</v>
      </c>
      <c r="V849" t="str">
        <f t="shared" si="123"/>
        <v>Medium Risk</v>
      </c>
      <c r="W849" t="str">
        <f t="shared" si="124"/>
        <v>Aug</v>
      </c>
      <c r="X849">
        <f t="shared" si="125"/>
        <v>2025</v>
      </c>
    </row>
    <row r="850" spans="1:24" x14ac:dyDescent="0.35">
      <c r="A850" s="3">
        <v>45877</v>
      </c>
      <c r="B850" t="s">
        <v>76</v>
      </c>
      <c r="C850" t="s">
        <v>109</v>
      </c>
      <c r="D850" t="s">
        <v>996</v>
      </c>
      <c r="E850" t="s">
        <v>48</v>
      </c>
      <c r="F850" t="s">
        <v>63</v>
      </c>
      <c r="G850" t="s">
        <v>29</v>
      </c>
      <c r="H850">
        <v>72.400000000000006</v>
      </c>
      <c r="I850">
        <v>3284</v>
      </c>
      <c r="J850">
        <v>25</v>
      </c>
      <c r="K850">
        <v>12.2</v>
      </c>
      <c r="L850" t="s">
        <v>78</v>
      </c>
      <c r="M850">
        <v>35718</v>
      </c>
      <c r="N850">
        <v>22847</v>
      </c>
      <c r="O850" t="s">
        <v>36</v>
      </c>
      <c r="P850" t="str">
        <f t="shared" si="117"/>
        <v>No</v>
      </c>
      <c r="Q850">
        <f t="shared" si="118"/>
        <v>45.36</v>
      </c>
      <c r="R850">
        <f t="shared" si="119"/>
        <v>10.88</v>
      </c>
      <c r="S850">
        <f t="shared" si="120"/>
        <v>1.56</v>
      </c>
      <c r="T850" t="str">
        <f t="shared" si="121"/>
        <v>On Time</v>
      </c>
      <c r="U850" t="str">
        <f t="shared" si="122"/>
        <v>High</v>
      </c>
      <c r="V850" t="str">
        <f t="shared" si="123"/>
        <v>Low Risk</v>
      </c>
      <c r="W850" t="str">
        <f t="shared" si="124"/>
        <v>Aug</v>
      </c>
      <c r="X850">
        <f t="shared" si="125"/>
        <v>2025</v>
      </c>
    </row>
    <row r="851" spans="1:24" x14ac:dyDescent="0.35">
      <c r="A851" s="3">
        <v>46011</v>
      </c>
      <c r="B851" t="s">
        <v>430</v>
      </c>
      <c r="C851" t="s">
        <v>130</v>
      </c>
      <c r="D851" t="s">
        <v>997</v>
      </c>
      <c r="E851" t="s">
        <v>63</v>
      </c>
      <c r="F851" t="s">
        <v>54</v>
      </c>
      <c r="G851" t="s">
        <v>29</v>
      </c>
      <c r="H851">
        <v>75.599999999999994</v>
      </c>
      <c r="I851">
        <v>1746</v>
      </c>
      <c r="J851">
        <v>67</v>
      </c>
      <c r="K851">
        <v>21.3</v>
      </c>
      <c r="L851" t="s">
        <v>49</v>
      </c>
      <c r="M851">
        <v>50826.47</v>
      </c>
      <c r="N851">
        <v>17151</v>
      </c>
      <c r="O851" t="s">
        <v>59</v>
      </c>
      <c r="P851" t="str">
        <f t="shared" si="117"/>
        <v>Yes</v>
      </c>
      <c r="Q851">
        <f t="shared" si="118"/>
        <v>23.1</v>
      </c>
      <c r="R851">
        <f t="shared" si="119"/>
        <v>29.11</v>
      </c>
      <c r="S851">
        <f t="shared" si="120"/>
        <v>2.96</v>
      </c>
      <c r="T851" t="str">
        <f t="shared" si="121"/>
        <v>Delayed</v>
      </c>
      <c r="U851" t="str">
        <f t="shared" si="122"/>
        <v>High</v>
      </c>
      <c r="V851" t="str">
        <f t="shared" si="123"/>
        <v>High Risk</v>
      </c>
      <c r="W851" t="str">
        <f t="shared" si="124"/>
        <v>Dec</v>
      </c>
      <c r="X851">
        <f t="shared" si="125"/>
        <v>2025</v>
      </c>
    </row>
    <row r="852" spans="1:24" x14ac:dyDescent="0.35">
      <c r="A852" s="3">
        <v>45719</v>
      </c>
      <c r="B852" t="s">
        <v>162</v>
      </c>
      <c r="C852" t="s">
        <v>39</v>
      </c>
      <c r="D852" t="s">
        <v>998</v>
      </c>
      <c r="E852" t="s">
        <v>28</v>
      </c>
      <c r="F852" t="s">
        <v>41</v>
      </c>
      <c r="G852" t="s">
        <v>71</v>
      </c>
      <c r="H852">
        <v>50.4</v>
      </c>
      <c r="I852">
        <v>1727</v>
      </c>
      <c r="J852">
        <v>24</v>
      </c>
      <c r="K852">
        <v>10</v>
      </c>
      <c r="L852" t="s">
        <v>78</v>
      </c>
      <c r="M852">
        <v>25849.81</v>
      </c>
      <c r="N852">
        <v>28358</v>
      </c>
      <c r="O852" t="s">
        <v>50</v>
      </c>
      <c r="P852" t="str">
        <f t="shared" si="117"/>
        <v>No</v>
      </c>
      <c r="Q852">
        <f t="shared" si="118"/>
        <v>34.270000000000003</v>
      </c>
      <c r="R852">
        <f t="shared" si="119"/>
        <v>14.97</v>
      </c>
      <c r="S852">
        <f t="shared" si="120"/>
        <v>0.91</v>
      </c>
      <c r="T852" t="str">
        <f t="shared" si="121"/>
        <v>On Time</v>
      </c>
      <c r="U852" t="str">
        <f t="shared" si="122"/>
        <v>Medium</v>
      </c>
      <c r="V852" t="str">
        <f t="shared" si="123"/>
        <v>Low Risk</v>
      </c>
      <c r="W852" t="str">
        <f t="shared" si="124"/>
        <v>Mar</v>
      </c>
      <c r="X852">
        <f t="shared" si="125"/>
        <v>2025</v>
      </c>
    </row>
    <row r="853" spans="1:24" x14ac:dyDescent="0.35">
      <c r="A853" s="3">
        <v>45837</v>
      </c>
      <c r="B853" t="s">
        <v>185</v>
      </c>
      <c r="C853" t="s">
        <v>39</v>
      </c>
      <c r="D853" t="s">
        <v>999</v>
      </c>
      <c r="E853" t="s">
        <v>54</v>
      </c>
      <c r="F853" t="s">
        <v>48</v>
      </c>
      <c r="G853" t="s">
        <v>29</v>
      </c>
      <c r="H853">
        <v>58</v>
      </c>
      <c r="I853">
        <v>2036</v>
      </c>
      <c r="J853">
        <v>44</v>
      </c>
      <c r="K853">
        <v>12.9</v>
      </c>
      <c r="L853" t="s">
        <v>78</v>
      </c>
      <c r="M853">
        <v>37667.35</v>
      </c>
      <c r="N853">
        <v>21586</v>
      </c>
      <c r="O853" t="s">
        <v>36</v>
      </c>
      <c r="P853" t="str">
        <f t="shared" si="117"/>
        <v>No</v>
      </c>
      <c r="Q853">
        <f t="shared" si="118"/>
        <v>35.1</v>
      </c>
      <c r="R853">
        <f t="shared" si="119"/>
        <v>18.5</v>
      </c>
      <c r="S853">
        <f t="shared" si="120"/>
        <v>1.74</v>
      </c>
      <c r="T853" t="str">
        <f t="shared" si="121"/>
        <v>On Time</v>
      </c>
      <c r="U853" t="str">
        <f t="shared" si="122"/>
        <v>Medium</v>
      </c>
      <c r="V853" t="str">
        <f t="shared" si="123"/>
        <v>Low Risk</v>
      </c>
      <c r="W853" t="str">
        <f t="shared" si="124"/>
        <v>Jun</v>
      </c>
      <c r="X853">
        <f t="shared" si="125"/>
        <v>2025</v>
      </c>
    </row>
    <row r="854" spans="1:24" x14ac:dyDescent="0.35">
      <c r="A854" s="3">
        <v>45982</v>
      </c>
      <c r="B854" t="s">
        <v>221</v>
      </c>
      <c r="C854" t="s">
        <v>39</v>
      </c>
      <c r="D854" t="s">
        <v>1000</v>
      </c>
      <c r="E854" t="s">
        <v>27</v>
      </c>
      <c r="F854" t="s">
        <v>66</v>
      </c>
      <c r="G854" t="s">
        <v>35</v>
      </c>
      <c r="H854">
        <v>24.9</v>
      </c>
      <c r="I854">
        <v>4312</v>
      </c>
      <c r="J854">
        <v>33</v>
      </c>
      <c r="K854">
        <v>14.1</v>
      </c>
      <c r="L854" t="s">
        <v>43</v>
      </c>
      <c r="M854">
        <v>14289.11</v>
      </c>
      <c r="N854">
        <v>11704</v>
      </c>
      <c r="O854" t="s">
        <v>91</v>
      </c>
      <c r="P854" t="str">
        <f t="shared" si="117"/>
        <v>Yes</v>
      </c>
      <c r="Q854">
        <f t="shared" si="118"/>
        <v>173.17</v>
      </c>
      <c r="R854">
        <f t="shared" si="119"/>
        <v>3.31</v>
      </c>
      <c r="S854">
        <f t="shared" si="120"/>
        <v>1.22</v>
      </c>
      <c r="T854" t="str">
        <f t="shared" si="121"/>
        <v>Delayed</v>
      </c>
      <c r="U854" t="str">
        <f t="shared" si="122"/>
        <v>Low</v>
      </c>
      <c r="V854" t="str">
        <f t="shared" si="123"/>
        <v>Low Risk</v>
      </c>
      <c r="W854" t="str">
        <f t="shared" si="124"/>
        <v>Nov</v>
      </c>
      <c r="X854">
        <f t="shared" si="125"/>
        <v>2025</v>
      </c>
    </row>
    <row r="855" spans="1:24" x14ac:dyDescent="0.35">
      <c r="A855" s="3">
        <v>45819</v>
      </c>
      <c r="B855" t="s">
        <v>188</v>
      </c>
      <c r="C855" t="s">
        <v>109</v>
      </c>
      <c r="D855" t="s">
        <v>1001</v>
      </c>
      <c r="E855" t="s">
        <v>63</v>
      </c>
      <c r="F855" t="s">
        <v>48</v>
      </c>
      <c r="G855" t="s">
        <v>71</v>
      </c>
      <c r="H855">
        <v>31.5</v>
      </c>
      <c r="I855">
        <v>4956</v>
      </c>
      <c r="J855">
        <v>66</v>
      </c>
      <c r="K855">
        <v>10.7</v>
      </c>
      <c r="L855" t="s">
        <v>78</v>
      </c>
      <c r="M855">
        <v>14282.33</v>
      </c>
      <c r="N855">
        <v>24029</v>
      </c>
      <c r="O855" t="s">
        <v>67</v>
      </c>
      <c r="P855" t="str">
        <f t="shared" si="117"/>
        <v>No</v>
      </c>
      <c r="Q855">
        <f t="shared" si="118"/>
        <v>157.33000000000001</v>
      </c>
      <c r="R855">
        <f t="shared" si="119"/>
        <v>2.88</v>
      </c>
      <c r="S855">
        <f t="shared" si="120"/>
        <v>0.59</v>
      </c>
      <c r="T855" t="str">
        <f t="shared" si="121"/>
        <v>On Time</v>
      </c>
      <c r="U855" t="str">
        <f t="shared" si="122"/>
        <v>Low</v>
      </c>
      <c r="V855" t="str">
        <f t="shared" si="123"/>
        <v>Low Risk</v>
      </c>
      <c r="W855" t="str">
        <f t="shared" si="124"/>
        <v>Jun</v>
      </c>
      <c r="X855">
        <f t="shared" si="125"/>
        <v>2025</v>
      </c>
    </row>
    <row r="856" spans="1:24" x14ac:dyDescent="0.35">
      <c r="A856" s="3">
        <v>46010</v>
      </c>
      <c r="B856" t="s">
        <v>129</v>
      </c>
      <c r="C856" t="s">
        <v>25</v>
      </c>
      <c r="D856" t="s">
        <v>1002</v>
      </c>
      <c r="E856" t="s">
        <v>66</v>
      </c>
      <c r="F856" t="s">
        <v>28</v>
      </c>
      <c r="G856" t="s">
        <v>29</v>
      </c>
      <c r="H856">
        <v>35.700000000000003</v>
      </c>
      <c r="I856">
        <v>1249</v>
      </c>
      <c r="J856">
        <v>71</v>
      </c>
      <c r="K856">
        <v>16.600000000000001</v>
      </c>
      <c r="L856" t="s">
        <v>30</v>
      </c>
      <c r="M856">
        <v>18565.39</v>
      </c>
      <c r="N856">
        <v>24732</v>
      </c>
      <c r="O856" t="s">
        <v>67</v>
      </c>
      <c r="P856" t="str">
        <f t="shared" si="117"/>
        <v>Yes</v>
      </c>
      <c r="Q856">
        <f t="shared" si="118"/>
        <v>34.99</v>
      </c>
      <c r="R856">
        <f t="shared" si="119"/>
        <v>14.86</v>
      </c>
      <c r="S856">
        <f t="shared" si="120"/>
        <v>0.75</v>
      </c>
      <c r="T856" t="str">
        <f t="shared" si="121"/>
        <v>Delayed</v>
      </c>
      <c r="U856" t="str">
        <f t="shared" si="122"/>
        <v>Low</v>
      </c>
      <c r="V856" t="str">
        <f t="shared" si="123"/>
        <v>Medium Risk</v>
      </c>
      <c r="W856" t="str">
        <f t="shared" si="124"/>
        <v>Dec</v>
      </c>
      <c r="X856">
        <f t="shared" si="125"/>
        <v>2025</v>
      </c>
    </row>
    <row r="857" spans="1:24" x14ac:dyDescent="0.35">
      <c r="A857" s="3">
        <v>45839</v>
      </c>
      <c r="B857" t="s">
        <v>76</v>
      </c>
      <c r="C857" t="s">
        <v>39</v>
      </c>
      <c r="D857" t="s">
        <v>1003</v>
      </c>
      <c r="E857" t="s">
        <v>27</v>
      </c>
      <c r="F857" t="s">
        <v>54</v>
      </c>
      <c r="G857" t="s">
        <v>29</v>
      </c>
      <c r="H857">
        <v>35.200000000000003</v>
      </c>
      <c r="I857">
        <v>4878</v>
      </c>
      <c r="J857">
        <v>78</v>
      </c>
      <c r="K857">
        <v>18.5</v>
      </c>
      <c r="L857" t="s">
        <v>30</v>
      </c>
      <c r="M857">
        <v>23453.32</v>
      </c>
      <c r="N857">
        <v>26881</v>
      </c>
      <c r="O857" t="s">
        <v>31</v>
      </c>
      <c r="P857" t="str">
        <f t="shared" si="117"/>
        <v>Yes</v>
      </c>
      <c r="Q857">
        <f t="shared" si="118"/>
        <v>138.58000000000001</v>
      </c>
      <c r="R857">
        <f t="shared" si="119"/>
        <v>4.8099999999999996</v>
      </c>
      <c r="S857">
        <f t="shared" si="120"/>
        <v>0.87</v>
      </c>
      <c r="T857" t="str">
        <f t="shared" si="121"/>
        <v>Delayed</v>
      </c>
      <c r="U857" t="str">
        <f t="shared" si="122"/>
        <v>Low</v>
      </c>
      <c r="V857" t="str">
        <f t="shared" si="123"/>
        <v>Medium Risk</v>
      </c>
      <c r="W857" t="str">
        <f t="shared" si="124"/>
        <v>Jul</v>
      </c>
      <c r="X857">
        <f t="shared" si="125"/>
        <v>2025</v>
      </c>
    </row>
    <row r="858" spans="1:24" x14ac:dyDescent="0.35">
      <c r="A858" s="3">
        <v>45967</v>
      </c>
      <c r="B858" t="s">
        <v>199</v>
      </c>
      <c r="C858" t="s">
        <v>109</v>
      </c>
      <c r="D858" t="s">
        <v>1004</v>
      </c>
      <c r="E858" t="s">
        <v>55</v>
      </c>
      <c r="F858" t="s">
        <v>63</v>
      </c>
      <c r="G858" t="s">
        <v>42</v>
      </c>
      <c r="H858">
        <v>75.3</v>
      </c>
      <c r="I858">
        <v>4410</v>
      </c>
      <c r="J858">
        <v>73</v>
      </c>
      <c r="K858">
        <v>10.5</v>
      </c>
      <c r="L858" t="s">
        <v>78</v>
      </c>
      <c r="M858">
        <v>46163.19</v>
      </c>
      <c r="N858">
        <v>20859</v>
      </c>
      <c r="O858" t="s">
        <v>36</v>
      </c>
      <c r="P858" t="str">
        <f t="shared" si="117"/>
        <v>No</v>
      </c>
      <c r="Q858">
        <f t="shared" si="118"/>
        <v>58.57</v>
      </c>
      <c r="R858">
        <f t="shared" si="119"/>
        <v>10.47</v>
      </c>
      <c r="S858">
        <f t="shared" si="120"/>
        <v>2.21</v>
      </c>
      <c r="T858" t="str">
        <f t="shared" si="121"/>
        <v>On Time</v>
      </c>
      <c r="U858" t="str">
        <f t="shared" si="122"/>
        <v>High</v>
      </c>
      <c r="V858" t="str">
        <f t="shared" si="123"/>
        <v>Low Risk</v>
      </c>
      <c r="W858" t="str">
        <f t="shared" si="124"/>
        <v>Nov</v>
      </c>
      <c r="X858">
        <f t="shared" si="125"/>
        <v>2025</v>
      </c>
    </row>
    <row r="859" spans="1:24" x14ac:dyDescent="0.35">
      <c r="A859" s="3">
        <v>45680</v>
      </c>
      <c r="B859" t="s">
        <v>98</v>
      </c>
      <c r="C859" t="s">
        <v>39</v>
      </c>
      <c r="D859" t="s">
        <v>1005</v>
      </c>
      <c r="E859" t="s">
        <v>66</v>
      </c>
      <c r="F859" t="s">
        <v>54</v>
      </c>
      <c r="G859" t="s">
        <v>71</v>
      </c>
      <c r="H859">
        <v>36.1</v>
      </c>
      <c r="I859">
        <v>503</v>
      </c>
      <c r="J859">
        <v>60</v>
      </c>
      <c r="K859">
        <v>13.5</v>
      </c>
      <c r="L859" t="s">
        <v>78</v>
      </c>
      <c r="M859">
        <v>20443.849999999999</v>
      </c>
      <c r="N859">
        <v>18653</v>
      </c>
      <c r="O859" t="s">
        <v>84</v>
      </c>
      <c r="P859" t="str">
        <f t="shared" si="117"/>
        <v>No</v>
      </c>
      <c r="Q859">
        <f t="shared" si="118"/>
        <v>13.93</v>
      </c>
      <c r="R859">
        <f t="shared" si="119"/>
        <v>40.64</v>
      </c>
      <c r="S859">
        <f t="shared" si="120"/>
        <v>1.1000000000000001</v>
      </c>
      <c r="T859" t="str">
        <f t="shared" si="121"/>
        <v>On Time</v>
      </c>
      <c r="U859" t="str">
        <f t="shared" si="122"/>
        <v>Low</v>
      </c>
      <c r="V859" t="str">
        <f t="shared" si="123"/>
        <v>Low Risk</v>
      </c>
      <c r="W859" t="str">
        <f t="shared" si="124"/>
        <v>Jan</v>
      </c>
      <c r="X859">
        <f t="shared" si="125"/>
        <v>2025</v>
      </c>
    </row>
    <row r="860" spans="1:24" x14ac:dyDescent="0.35">
      <c r="A860" s="3">
        <v>45703</v>
      </c>
      <c r="B860" t="s">
        <v>417</v>
      </c>
      <c r="C860" t="s">
        <v>130</v>
      </c>
      <c r="D860" t="s">
        <v>1006</v>
      </c>
      <c r="E860" t="s">
        <v>54</v>
      </c>
      <c r="F860" t="s">
        <v>27</v>
      </c>
      <c r="G860" t="s">
        <v>71</v>
      </c>
      <c r="H860">
        <v>51</v>
      </c>
      <c r="I860">
        <v>3620</v>
      </c>
      <c r="J860">
        <v>72</v>
      </c>
      <c r="K860">
        <v>19.100000000000001</v>
      </c>
      <c r="L860" t="s">
        <v>78</v>
      </c>
      <c r="M860">
        <v>26121.86</v>
      </c>
      <c r="N860">
        <v>20866</v>
      </c>
      <c r="O860" t="s">
        <v>59</v>
      </c>
      <c r="P860" t="str">
        <f t="shared" si="117"/>
        <v>No</v>
      </c>
      <c r="Q860">
        <f t="shared" si="118"/>
        <v>70.98</v>
      </c>
      <c r="R860">
        <f t="shared" si="119"/>
        <v>7.22</v>
      </c>
      <c r="S860">
        <f t="shared" si="120"/>
        <v>1.25</v>
      </c>
      <c r="T860" t="str">
        <f t="shared" si="121"/>
        <v>On Time</v>
      </c>
      <c r="U860" t="str">
        <f t="shared" si="122"/>
        <v>Medium</v>
      </c>
      <c r="V860" t="str">
        <f t="shared" si="123"/>
        <v>Low Risk</v>
      </c>
      <c r="W860" t="str">
        <f t="shared" si="124"/>
        <v>Feb</v>
      </c>
      <c r="X860">
        <f t="shared" si="125"/>
        <v>2025</v>
      </c>
    </row>
    <row r="861" spans="1:24" x14ac:dyDescent="0.35">
      <c r="A861" s="3">
        <v>45922</v>
      </c>
      <c r="B861" t="s">
        <v>190</v>
      </c>
      <c r="C861" t="s">
        <v>57</v>
      </c>
      <c r="D861" t="s">
        <v>1007</v>
      </c>
      <c r="E861" t="s">
        <v>63</v>
      </c>
      <c r="F861" t="s">
        <v>48</v>
      </c>
      <c r="G861" t="s">
        <v>71</v>
      </c>
      <c r="H861">
        <v>52.3</v>
      </c>
      <c r="I861">
        <v>3742</v>
      </c>
      <c r="J861">
        <v>55</v>
      </c>
      <c r="K861">
        <v>11.6</v>
      </c>
      <c r="L861" t="s">
        <v>43</v>
      </c>
      <c r="M861">
        <v>28764.89</v>
      </c>
      <c r="N861">
        <v>22756</v>
      </c>
      <c r="O861" t="s">
        <v>91</v>
      </c>
      <c r="P861" t="str">
        <f t="shared" si="117"/>
        <v>Yes</v>
      </c>
      <c r="Q861">
        <f t="shared" si="118"/>
        <v>71.55</v>
      </c>
      <c r="R861">
        <f t="shared" si="119"/>
        <v>7.69</v>
      </c>
      <c r="S861">
        <f t="shared" si="120"/>
        <v>1.26</v>
      </c>
      <c r="T861" t="str">
        <f t="shared" si="121"/>
        <v>Delayed</v>
      </c>
      <c r="U861" t="str">
        <f t="shared" si="122"/>
        <v>Medium</v>
      </c>
      <c r="V861" t="str">
        <f t="shared" si="123"/>
        <v>Low Risk</v>
      </c>
      <c r="W861" t="str">
        <f t="shared" si="124"/>
        <v>Sep</v>
      </c>
      <c r="X861">
        <f t="shared" si="125"/>
        <v>2025</v>
      </c>
    </row>
    <row r="862" spans="1:24" x14ac:dyDescent="0.35">
      <c r="A862" s="3">
        <v>45924</v>
      </c>
      <c r="B862" t="s">
        <v>76</v>
      </c>
      <c r="C862" t="s">
        <v>57</v>
      </c>
      <c r="D862" t="s">
        <v>1008</v>
      </c>
      <c r="E862" t="s">
        <v>63</v>
      </c>
      <c r="F862" t="s">
        <v>55</v>
      </c>
      <c r="G862" t="s">
        <v>29</v>
      </c>
      <c r="H862">
        <v>68.099999999999994</v>
      </c>
      <c r="I862">
        <v>4362</v>
      </c>
      <c r="J862">
        <v>45</v>
      </c>
      <c r="K862">
        <v>14.4</v>
      </c>
      <c r="L862" t="s">
        <v>30</v>
      </c>
      <c r="M862">
        <v>39187.919999999998</v>
      </c>
      <c r="N862">
        <v>29758</v>
      </c>
      <c r="O862" t="s">
        <v>50</v>
      </c>
      <c r="P862" t="str">
        <f t="shared" si="117"/>
        <v>Yes</v>
      </c>
      <c r="Q862">
        <f t="shared" si="118"/>
        <v>64.05</v>
      </c>
      <c r="R862">
        <f t="shared" si="119"/>
        <v>8.98</v>
      </c>
      <c r="S862">
        <f t="shared" si="120"/>
        <v>1.32</v>
      </c>
      <c r="T862" t="str">
        <f t="shared" si="121"/>
        <v>Delayed</v>
      </c>
      <c r="U862" t="str">
        <f t="shared" si="122"/>
        <v>High</v>
      </c>
      <c r="V862" t="str">
        <f t="shared" si="123"/>
        <v>Medium Risk</v>
      </c>
      <c r="W862" t="str">
        <f t="shared" si="124"/>
        <v>Sep</v>
      </c>
      <c r="X862">
        <f t="shared" si="125"/>
        <v>2025</v>
      </c>
    </row>
    <row r="863" spans="1:24" x14ac:dyDescent="0.35">
      <c r="A863" s="3">
        <v>45978</v>
      </c>
      <c r="B863" t="s">
        <v>185</v>
      </c>
      <c r="C863" t="s">
        <v>25</v>
      </c>
      <c r="D863" t="s">
        <v>1009</v>
      </c>
      <c r="E863" t="s">
        <v>55</v>
      </c>
      <c r="F863" t="s">
        <v>54</v>
      </c>
      <c r="G863" t="s">
        <v>29</v>
      </c>
      <c r="H863">
        <v>39.700000000000003</v>
      </c>
      <c r="I863">
        <v>4541</v>
      </c>
      <c r="J863">
        <v>87</v>
      </c>
      <c r="K863">
        <v>15.4</v>
      </c>
      <c r="L863" t="s">
        <v>49</v>
      </c>
      <c r="M863">
        <v>21989.95</v>
      </c>
      <c r="N863">
        <v>18691</v>
      </c>
      <c r="O863" t="s">
        <v>50</v>
      </c>
      <c r="P863" t="str">
        <f t="shared" si="117"/>
        <v>Yes</v>
      </c>
      <c r="Q863">
        <f t="shared" si="118"/>
        <v>114.38</v>
      </c>
      <c r="R863">
        <f t="shared" si="119"/>
        <v>4.84</v>
      </c>
      <c r="S863">
        <f t="shared" si="120"/>
        <v>1.18</v>
      </c>
      <c r="T863" t="str">
        <f t="shared" si="121"/>
        <v>Delayed</v>
      </c>
      <c r="U863" t="str">
        <f t="shared" si="122"/>
        <v>Low</v>
      </c>
      <c r="V863" t="str">
        <f t="shared" si="123"/>
        <v>High Risk</v>
      </c>
      <c r="W863" t="str">
        <f t="shared" si="124"/>
        <v>Nov</v>
      </c>
      <c r="X863">
        <f t="shared" si="125"/>
        <v>2025</v>
      </c>
    </row>
    <row r="864" spans="1:24" x14ac:dyDescent="0.35">
      <c r="A864" s="3">
        <v>45706</v>
      </c>
      <c r="B864" t="s">
        <v>188</v>
      </c>
      <c r="C864" t="s">
        <v>130</v>
      </c>
      <c r="D864" t="s">
        <v>1010</v>
      </c>
      <c r="E864" t="s">
        <v>63</v>
      </c>
      <c r="F864" t="s">
        <v>28</v>
      </c>
      <c r="G864" t="s">
        <v>29</v>
      </c>
      <c r="H864">
        <v>53.9</v>
      </c>
      <c r="I864">
        <v>2095</v>
      </c>
      <c r="J864">
        <v>49</v>
      </c>
      <c r="K864">
        <v>13.2</v>
      </c>
      <c r="L864" t="s">
        <v>78</v>
      </c>
      <c r="M864">
        <v>35555.910000000003</v>
      </c>
      <c r="N864">
        <v>23903</v>
      </c>
      <c r="O864" t="s">
        <v>44</v>
      </c>
      <c r="P864" t="str">
        <f t="shared" si="117"/>
        <v>No</v>
      </c>
      <c r="Q864">
        <f t="shared" si="118"/>
        <v>38.869999999999997</v>
      </c>
      <c r="R864">
        <f t="shared" si="119"/>
        <v>16.97</v>
      </c>
      <c r="S864">
        <f t="shared" si="120"/>
        <v>1.49</v>
      </c>
      <c r="T864" t="str">
        <f t="shared" si="121"/>
        <v>On Time</v>
      </c>
      <c r="U864" t="str">
        <f t="shared" si="122"/>
        <v>Medium</v>
      </c>
      <c r="V864" t="str">
        <f t="shared" si="123"/>
        <v>Low Risk</v>
      </c>
      <c r="W864" t="str">
        <f t="shared" si="124"/>
        <v>Feb</v>
      </c>
      <c r="X864">
        <f t="shared" si="125"/>
        <v>2025</v>
      </c>
    </row>
    <row r="865" spans="1:24" x14ac:dyDescent="0.35">
      <c r="A865" s="3">
        <v>45724</v>
      </c>
      <c r="B865" t="s">
        <v>33</v>
      </c>
      <c r="C865" t="s">
        <v>39</v>
      </c>
      <c r="D865" t="s">
        <v>1011</v>
      </c>
      <c r="E865" t="s">
        <v>41</v>
      </c>
      <c r="F865" t="s">
        <v>55</v>
      </c>
      <c r="G865" t="s">
        <v>35</v>
      </c>
      <c r="H865">
        <v>57.7</v>
      </c>
      <c r="I865">
        <v>911</v>
      </c>
      <c r="J865">
        <v>32</v>
      </c>
      <c r="K865">
        <v>10.9</v>
      </c>
      <c r="L865" t="s">
        <v>43</v>
      </c>
      <c r="M865">
        <v>35849.33</v>
      </c>
      <c r="N865">
        <v>12787</v>
      </c>
      <c r="O865" t="s">
        <v>84</v>
      </c>
      <c r="P865" t="str">
        <f t="shared" si="117"/>
        <v>Yes</v>
      </c>
      <c r="Q865">
        <f t="shared" si="118"/>
        <v>15.79</v>
      </c>
      <c r="R865">
        <f t="shared" si="119"/>
        <v>39.35</v>
      </c>
      <c r="S865">
        <f t="shared" si="120"/>
        <v>2.8</v>
      </c>
      <c r="T865" t="str">
        <f t="shared" si="121"/>
        <v>Delayed</v>
      </c>
      <c r="U865" t="str">
        <f t="shared" si="122"/>
        <v>Medium</v>
      </c>
      <c r="V865" t="str">
        <f t="shared" si="123"/>
        <v>Low Risk</v>
      </c>
      <c r="W865" t="str">
        <f t="shared" si="124"/>
        <v>Mar</v>
      </c>
      <c r="X865">
        <f t="shared" si="125"/>
        <v>2025</v>
      </c>
    </row>
    <row r="866" spans="1:24" x14ac:dyDescent="0.35">
      <c r="A866" s="3">
        <v>45862</v>
      </c>
      <c r="B866" t="s">
        <v>185</v>
      </c>
      <c r="C866" t="s">
        <v>109</v>
      </c>
      <c r="D866" t="s">
        <v>1012</v>
      </c>
      <c r="E866" t="s">
        <v>66</v>
      </c>
      <c r="F866" t="s">
        <v>55</v>
      </c>
      <c r="G866" t="s">
        <v>35</v>
      </c>
      <c r="H866">
        <v>50.4</v>
      </c>
      <c r="I866">
        <v>543</v>
      </c>
      <c r="J866">
        <v>117</v>
      </c>
      <c r="K866">
        <v>11.4</v>
      </c>
      <c r="L866" t="s">
        <v>78</v>
      </c>
      <c r="M866">
        <v>23689.24</v>
      </c>
      <c r="N866">
        <v>22924</v>
      </c>
      <c r="O866" t="s">
        <v>91</v>
      </c>
      <c r="P866" t="str">
        <f t="shared" si="117"/>
        <v>No</v>
      </c>
      <c r="Q866">
        <f t="shared" si="118"/>
        <v>10.77</v>
      </c>
      <c r="R866">
        <f t="shared" si="119"/>
        <v>43.63</v>
      </c>
      <c r="S866">
        <f t="shared" si="120"/>
        <v>1.03</v>
      </c>
      <c r="T866" t="str">
        <f t="shared" si="121"/>
        <v>On Time</v>
      </c>
      <c r="U866" t="str">
        <f t="shared" si="122"/>
        <v>Medium</v>
      </c>
      <c r="V866" t="str">
        <f t="shared" si="123"/>
        <v>Low Risk</v>
      </c>
      <c r="W866" t="str">
        <f t="shared" si="124"/>
        <v>Jul</v>
      </c>
      <c r="X866">
        <f t="shared" si="125"/>
        <v>2025</v>
      </c>
    </row>
    <row r="867" spans="1:24" x14ac:dyDescent="0.35">
      <c r="A867" s="3">
        <v>45764</v>
      </c>
      <c r="B867" t="s">
        <v>87</v>
      </c>
      <c r="C867" t="s">
        <v>95</v>
      </c>
      <c r="D867" t="s">
        <v>1013</v>
      </c>
      <c r="E867" t="s">
        <v>66</v>
      </c>
      <c r="F867" t="s">
        <v>63</v>
      </c>
      <c r="G867" t="s">
        <v>71</v>
      </c>
      <c r="H867">
        <v>68.099999999999994</v>
      </c>
      <c r="I867">
        <v>3325</v>
      </c>
      <c r="J867">
        <v>100</v>
      </c>
      <c r="K867">
        <v>16.7</v>
      </c>
      <c r="L867" t="s">
        <v>30</v>
      </c>
      <c r="M867">
        <v>39962.269999999997</v>
      </c>
      <c r="N867">
        <v>15834</v>
      </c>
      <c r="O867" t="s">
        <v>50</v>
      </c>
      <c r="P867" t="str">
        <f t="shared" si="117"/>
        <v>Yes</v>
      </c>
      <c r="Q867">
        <f t="shared" si="118"/>
        <v>48.83</v>
      </c>
      <c r="R867">
        <f t="shared" si="119"/>
        <v>12.02</v>
      </c>
      <c r="S867">
        <f t="shared" si="120"/>
        <v>2.52</v>
      </c>
      <c r="T867" t="str">
        <f t="shared" si="121"/>
        <v>Delayed</v>
      </c>
      <c r="U867" t="str">
        <f t="shared" si="122"/>
        <v>High</v>
      </c>
      <c r="V867" t="str">
        <f t="shared" si="123"/>
        <v>Medium Risk</v>
      </c>
      <c r="W867" t="str">
        <f t="shared" si="124"/>
        <v>Apr</v>
      </c>
      <c r="X867">
        <f t="shared" si="125"/>
        <v>2025</v>
      </c>
    </row>
    <row r="868" spans="1:24" x14ac:dyDescent="0.35">
      <c r="A868" s="3">
        <v>46022</v>
      </c>
      <c r="B868" t="s">
        <v>64</v>
      </c>
      <c r="C868" t="s">
        <v>130</v>
      </c>
      <c r="D868" t="s">
        <v>1014</v>
      </c>
      <c r="E868" t="s">
        <v>54</v>
      </c>
      <c r="F868" t="s">
        <v>63</v>
      </c>
      <c r="G868" t="s">
        <v>42</v>
      </c>
      <c r="H868">
        <v>22.8</v>
      </c>
      <c r="I868">
        <v>1910</v>
      </c>
      <c r="J868">
        <v>112</v>
      </c>
      <c r="K868">
        <v>12.8</v>
      </c>
      <c r="L868" t="s">
        <v>49</v>
      </c>
      <c r="M868">
        <v>14515.31</v>
      </c>
      <c r="N868">
        <v>11832</v>
      </c>
      <c r="O868" t="s">
        <v>91</v>
      </c>
      <c r="P868" t="str">
        <f t="shared" si="117"/>
        <v>Yes</v>
      </c>
      <c r="Q868">
        <f t="shared" si="118"/>
        <v>83.77</v>
      </c>
      <c r="R868">
        <f t="shared" si="119"/>
        <v>7.6</v>
      </c>
      <c r="S868">
        <f t="shared" si="120"/>
        <v>1.23</v>
      </c>
      <c r="T868" t="str">
        <f t="shared" si="121"/>
        <v>Delayed</v>
      </c>
      <c r="U868" t="str">
        <f t="shared" si="122"/>
        <v>Low</v>
      </c>
      <c r="V868" t="str">
        <f t="shared" si="123"/>
        <v>High Risk</v>
      </c>
      <c r="W868" t="str">
        <f t="shared" si="124"/>
        <v>Dec</v>
      </c>
      <c r="X868">
        <f t="shared" si="125"/>
        <v>2025</v>
      </c>
    </row>
    <row r="869" spans="1:24" x14ac:dyDescent="0.35">
      <c r="A869" s="3">
        <v>45955</v>
      </c>
      <c r="B869" t="s">
        <v>203</v>
      </c>
      <c r="C869" t="s">
        <v>109</v>
      </c>
      <c r="D869" t="s">
        <v>1015</v>
      </c>
      <c r="E869" t="s">
        <v>48</v>
      </c>
      <c r="F869" t="s">
        <v>28</v>
      </c>
      <c r="G869" t="s">
        <v>29</v>
      </c>
      <c r="H869">
        <v>32.5</v>
      </c>
      <c r="I869">
        <v>2448</v>
      </c>
      <c r="J869">
        <v>120</v>
      </c>
      <c r="K869">
        <v>17.2</v>
      </c>
      <c r="L869" t="s">
        <v>43</v>
      </c>
      <c r="M869">
        <v>17183.71</v>
      </c>
      <c r="N869">
        <v>11668</v>
      </c>
      <c r="O869" t="s">
        <v>67</v>
      </c>
      <c r="P869" t="str">
        <f t="shared" si="117"/>
        <v>Yes</v>
      </c>
      <c r="Q869">
        <f t="shared" si="118"/>
        <v>75.319999999999993</v>
      </c>
      <c r="R869">
        <f t="shared" si="119"/>
        <v>7.02</v>
      </c>
      <c r="S869">
        <f t="shared" si="120"/>
        <v>1.47</v>
      </c>
      <c r="T869" t="str">
        <f t="shared" si="121"/>
        <v>Delayed</v>
      </c>
      <c r="U869" t="str">
        <f t="shared" si="122"/>
        <v>Low</v>
      </c>
      <c r="V869" t="str">
        <f t="shared" si="123"/>
        <v>Low Risk</v>
      </c>
      <c r="W869" t="str">
        <f t="shared" si="124"/>
        <v>Oct</v>
      </c>
      <c r="X869">
        <f t="shared" si="125"/>
        <v>2025</v>
      </c>
    </row>
    <row r="870" spans="1:24" x14ac:dyDescent="0.35">
      <c r="A870" s="3">
        <v>45848</v>
      </c>
      <c r="B870" t="s">
        <v>118</v>
      </c>
      <c r="C870" t="s">
        <v>69</v>
      </c>
      <c r="D870" t="s">
        <v>1016</v>
      </c>
      <c r="E870" t="s">
        <v>55</v>
      </c>
      <c r="F870" t="s">
        <v>27</v>
      </c>
      <c r="G870" t="s">
        <v>35</v>
      </c>
      <c r="H870">
        <v>79.099999999999994</v>
      </c>
      <c r="I870">
        <v>2170</v>
      </c>
      <c r="J870">
        <v>79</v>
      </c>
      <c r="K870">
        <v>20.5</v>
      </c>
      <c r="L870" t="s">
        <v>30</v>
      </c>
      <c r="M870">
        <v>53808.4</v>
      </c>
      <c r="N870">
        <v>18467</v>
      </c>
      <c r="O870" t="s">
        <v>67</v>
      </c>
      <c r="P870" t="str">
        <f t="shared" si="117"/>
        <v>Yes</v>
      </c>
      <c r="Q870">
        <f t="shared" si="118"/>
        <v>27.43</v>
      </c>
      <c r="R870">
        <f t="shared" si="119"/>
        <v>24.8</v>
      </c>
      <c r="S870">
        <f t="shared" si="120"/>
        <v>2.91</v>
      </c>
      <c r="T870" t="str">
        <f t="shared" si="121"/>
        <v>Delayed</v>
      </c>
      <c r="U870" t="str">
        <f t="shared" si="122"/>
        <v>High</v>
      </c>
      <c r="V870" t="str">
        <f t="shared" si="123"/>
        <v>Medium Risk</v>
      </c>
      <c r="W870" t="str">
        <f t="shared" si="124"/>
        <v>Jul</v>
      </c>
      <c r="X870">
        <f t="shared" si="125"/>
        <v>2025</v>
      </c>
    </row>
    <row r="871" spans="1:24" x14ac:dyDescent="0.35">
      <c r="A871" s="3">
        <v>45801</v>
      </c>
      <c r="B871" t="s">
        <v>46</v>
      </c>
      <c r="C871" t="s">
        <v>95</v>
      </c>
      <c r="D871" t="s">
        <v>1017</v>
      </c>
      <c r="E871" t="s">
        <v>63</v>
      </c>
      <c r="F871" t="s">
        <v>27</v>
      </c>
      <c r="G871" t="s">
        <v>42</v>
      </c>
      <c r="H871">
        <v>21.5</v>
      </c>
      <c r="I871">
        <v>3146</v>
      </c>
      <c r="J871">
        <v>86</v>
      </c>
      <c r="K871">
        <v>10.1</v>
      </c>
      <c r="L871" t="s">
        <v>43</v>
      </c>
      <c r="M871">
        <v>11306.11</v>
      </c>
      <c r="N871">
        <v>28868</v>
      </c>
      <c r="O871" t="s">
        <v>59</v>
      </c>
      <c r="P871" t="str">
        <f t="shared" si="117"/>
        <v>Yes</v>
      </c>
      <c r="Q871">
        <f t="shared" si="118"/>
        <v>146.33000000000001</v>
      </c>
      <c r="R871">
        <f t="shared" si="119"/>
        <v>3.59</v>
      </c>
      <c r="S871">
        <f t="shared" si="120"/>
        <v>0.39</v>
      </c>
      <c r="T871" t="str">
        <f t="shared" si="121"/>
        <v>Delayed</v>
      </c>
      <c r="U871" t="str">
        <f t="shared" si="122"/>
        <v>Low</v>
      </c>
      <c r="V871" t="str">
        <f t="shared" si="123"/>
        <v>Low Risk</v>
      </c>
      <c r="W871" t="str">
        <f t="shared" si="124"/>
        <v>May</v>
      </c>
      <c r="X871">
        <f t="shared" si="125"/>
        <v>2025</v>
      </c>
    </row>
    <row r="872" spans="1:24" x14ac:dyDescent="0.35">
      <c r="A872" s="3">
        <v>45937</v>
      </c>
      <c r="B872" t="s">
        <v>162</v>
      </c>
      <c r="C872" t="s">
        <v>57</v>
      </c>
      <c r="D872" t="s">
        <v>1018</v>
      </c>
      <c r="E872" t="s">
        <v>27</v>
      </c>
      <c r="F872" t="s">
        <v>48</v>
      </c>
      <c r="G872" t="s">
        <v>29</v>
      </c>
      <c r="H872">
        <v>65.3</v>
      </c>
      <c r="I872">
        <v>3837</v>
      </c>
      <c r="J872">
        <v>78</v>
      </c>
      <c r="K872">
        <v>13.2</v>
      </c>
      <c r="L872" t="s">
        <v>49</v>
      </c>
      <c r="M872">
        <v>40361.21</v>
      </c>
      <c r="N872">
        <v>16578</v>
      </c>
      <c r="O872" t="s">
        <v>50</v>
      </c>
      <c r="P872" t="str">
        <f t="shared" si="117"/>
        <v>Yes</v>
      </c>
      <c r="Q872">
        <f t="shared" si="118"/>
        <v>58.76</v>
      </c>
      <c r="R872">
        <f t="shared" si="119"/>
        <v>10.52</v>
      </c>
      <c r="S872">
        <f t="shared" si="120"/>
        <v>2.4300000000000002</v>
      </c>
      <c r="T872" t="str">
        <f t="shared" si="121"/>
        <v>Delayed</v>
      </c>
      <c r="U872" t="str">
        <f t="shared" si="122"/>
        <v>High</v>
      </c>
      <c r="V872" t="str">
        <f t="shared" si="123"/>
        <v>High Risk</v>
      </c>
      <c r="W872" t="str">
        <f t="shared" si="124"/>
        <v>Oct</v>
      </c>
      <c r="X872">
        <f t="shared" si="125"/>
        <v>2025</v>
      </c>
    </row>
    <row r="873" spans="1:24" x14ac:dyDescent="0.35">
      <c r="A873" s="3">
        <v>45685</v>
      </c>
      <c r="B873" t="s">
        <v>366</v>
      </c>
      <c r="C873" t="s">
        <v>95</v>
      </c>
      <c r="D873" t="s">
        <v>1019</v>
      </c>
      <c r="E873" t="s">
        <v>54</v>
      </c>
      <c r="F873" t="s">
        <v>28</v>
      </c>
      <c r="G873" t="s">
        <v>71</v>
      </c>
      <c r="H873">
        <v>46.5</v>
      </c>
      <c r="I873">
        <v>875</v>
      </c>
      <c r="J873">
        <v>70</v>
      </c>
      <c r="K873">
        <v>14.7</v>
      </c>
      <c r="L873" t="s">
        <v>43</v>
      </c>
      <c r="M873">
        <v>28405.02</v>
      </c>
      <c r="N873">
        <v>17950</v>
      </c>
      <c r="O873" t="s">
        <v>84</v>
      </c>
      <c r="P873" t="str">
        <f t="shared" si="117"/>
        <v>Yes</v>
      </c>
      <c r="Q873">
        <f t="shared" si="118"/>
        <v>18.82</v>
      </c>
      <c r="R873">
        <f t="shared" si="119"/>
        <v>32.46</v>
      </c>
      <c r="S873">
        <f t="shared" si="120"/>
        <v>1.58</v>
      </c>
      <c r="T873" t="str">
        <f t="shared" si="121"/>
        <v>Delayed</v>
      </c>
      <c r="U873" t="str">
        <f t="shared" si="122"/>
        <v>Medium</v>
      </c>
      <c r="V873" t="str">
        <f t="shared" si="123"/>
        <v>Low Risk</v>
      </c>
      <c r="W873" t="str">
        <f t="shared" si="124"/>
        <v>Jan</v>
      </c>
      <c r="X873">
        <f t="shared" si="125"/>
        <v>2025</v>
      </c>
    </row>
    <row r="874" spans="1:24" x14ac:dyDescent="0.35">
      <c r="A874" s="3">
        <v>45923</v>
      </c>
      <c r="B874" t="s">
        <v>115</v>
      </c>
      <c r="C874" t="s">
        <v>109</v>
      </c>
      <c r="D874" t="s">
        <v>1020</v>
      </c>
      <c r="E874" t="s">
        <v>41</v>
      </c>
      <c r="F874" t="s">
        <v>66</v>
      </c>
      <c r="G874" t="s">
        <v>42</v>
      </c>
      <c r="H874">
        <v>51.5</v>
      </c>
      <c r="I874">
        <v>4944</v>
      </c>
      <c r="J874">
        <v>40</v>
      </c>
      <c r="K874">
        <v>19</v>
      </c>
      <c r="L874" t="s">
        <v>30</v>
      </c>
      <c r="M874">
        <v>28950.59</v>
      </c>
      <c r="N874">
        <v>19986</v>
      </c>
      <c r="O874" t="s">
        <v>44</v>
      </c>
      <c r="P874" t="str">
        <f t="shared" si="117"/>
        <v>Yes</v>
      </c>
      <c r="Q874">
        <f t="shared" si="118"/>
        <v>96</v>
      </c>
      <c r="R874">
        <f t="shared" si="119"/>
        <v>5.86</v>
      </c>
      <c r="S874">
        <f t="shared" si="120"/>
        <v>1.45</v>
      </c>
      <c r="T874" t="str">
        <f t="shared" si="121"/>
        <v>Delayed</v>
      </c>
      <c r="U874" t="str">
        <f t="shared" si="122"/>
        <v>Medium</v>
      </c>
      <c r="V874" t="str">
        <f t="shared" si="123"/>
        <v>Medium Risk</v>
      </c>
      <c r="W874" t="str">
        <f t="shared" si="124"/>
        <v>Sep</v>
      </c>
      <c r="X874">
        <f t="shared" si="125"/>
        <v>2025</v>
      </c>
    </row>
    <row r="875" spans="1:24" x14ac:dyDescent="0.35">
      <c r="A875" s="3">
        <v>45820</v>
      </c>
      <c r="B875" t="s">
        <v>106</v>
      </c>
      <c r="C875" t="s">
        <v>95</v>
      </c>
      <c r="D875" t="s">
        <v>1021</v>
      </c>
      <c r="E875" t="s">
        <v>55</v>
      </c>
      <c r="F875" t="s">
        <v>28</v>
      </c>
      <c r="G875" t="s">
        <v>71</v>
      </c>
      <c r="H875">
        <v>74.7</v>
      </c>
      <c r="I875">
        <v>4746</v>
      </c>
      <c r="J875">
        <v>68</v>
      </c>
      <c r="K875">
        <v>21.3</v>
      </c>
      <c r="L875" t="s">
        <v>78</v>
      </c>
      <c r="M875">
        <v>35412.86</v>
      </c>
      <c r="N875">
        <v>23924</v>
      </c>
      <c r="O875" t="s">
        <v>67</v>
      </c>
      <c r="P875" t="str">
        <f t="shared" si="117"/>
        <v>No</v>
      </c>
      <c r="Q875">
        <f t="shared" si="118"/>
        <v>63.53</v>
      </c>
      <c r="R875">
        <f t="shared" si="119"/>
        <v>7.46</v>
      </c>
      <c r="S875">
        <f t="shared" si="120"/>
        <v>1.48</v>
      </c>
      <c r="T875" t="str">
        <f t="shared" si="121"/>
        <v>On Time</v>
      </c>
      <c r="U875" t="str">
        <f t="shared" si="122"/>
        <v>High</v>
      </c>
      <c r="V875" t="str">
        <f t="shared" si="123"/>
        <v>Low Risk</v>
      </c>
      <c r="W875" t="str">
        <f t="shared" si="124"/>
        <v>Jun</v>
      </c>
      <c r="X875">
        <f t="shared" si="125"/>
        <v>2025</v>
      </c>
    </row>
    <row r="876" spans="1:24" x14ac:dyDescent="0.35">
      <c r="A876" s="3">
        <v>45724</v>
      </c>
      <c r="B876" t="s">
        <v>118</v>
      </c>
      <c r="C876" t="s">
        <v>109</v>
      </c>
      <c r="D876" t="s">
        <v>1022</v>
      </c>
      <c r="E876" t="s">
        <v>55</v>
      </c>
      <c r="F876" t="s">
        <v>41</v>
      </c>
      <c r="G876" t="s">
        <v>42</v>
      </c>
      <c r="H876">
        <v>55.9</v>
      </c>
      <c r="I876">
        <v>1419</v>
      </c>
      <c r="J876">
        <v>117</v>
      </c>
      <c r="K876">
        <v>13.9</v>
      </c>
      <c r="L876" t="s">
        <v>30</v>
      </c>
      <c r="M876">
        <v>38829.07</v>
      </c>
      <c r="N876">
        <v>12319</v>
      </c>
      <c r="O876" t="s">
        <v>67</v>
      </c>
      <c r="P876" t="str">
        <f t="shared" si="117"/>
        <v>Yes</v>
      </c>
      <c r="Q876">
        <f t="shared" si="118"/>
        <v>25.38</v>
      </c>
      <c r="R876">
        <f t="shared" si="119"/>
        <v>27.36</v>
      </c>
      <c r="S876">
        <f t="shared" si="120"/>
        <v>3.15</v>
      </c>
      <c r="T876" t="str">
        <f t="shared" si="121"/>
        <v>Delayed</v>
      </c>
      <c r="U876" t="str">
        <f t="shared" si="122"/>
        <v>Medium</v>
      </c>
      <c r="V876" t="str">
        <f t="shared" si="123"/>
        <v>Medium Risk</v>
      </c>
      <c r="W876" t="str">
        <f t="shared" si="124"/>
        <v>Mar</v>
      </c>
      <c r="X876">
        <f t="shared" si="125"/>
        <v>2025</v>
      </c>
    </row>
    <row r="877" spans="1:24" x14ac:dyDescent="0.35">
      <c r="A877" s="3">
        <v>45914</v>
      </c>
      <c r="B877" t="s">
        <v>139</v>
      </c>
      <c r="C877" t="s">
        <v>25</v>
      </c>
      <c r="D877" t="s">
        <v>1023</v>
      </c>
      <c r="E877" t="s">
        <v>41</v>
      </c>
      <c r="F877" t="s">
        <v>66</v>
      </c>
      <c r="G877" t="s">
        <v>29</v>
      </c>
      <c r="H877">
        <v>54.4</v>
      </c>
      <c r="I877">
        <v>824</v>
      </c>
      <c r="J877">
        <v>39</v>
      </c>
      <c r="K877">
        <v>15.2</v>
      </c>
      <c r="L877" t="s">
        <v>78</v>
      </c>
      <c r="M877">
        <v>34707.49</v>
      </c>
      <c r="N877">
        <v>9936</v>
      </c>
      <c r="O877" t="s">
        <v>36</v>
      </c>
      <c r="P877" t="str">
        <f t="shared" si="117"/>
        <v>No</v>
      </c>
      <c r="Q877">
        <f t="shared" si="118"/>
        <v>15.15</v>
      </c>
      <c r="R877">
        <f t="shared" si="119"/>
        <v>42.12</v>
      </c>
      <c r="S877">
        <f t="shared" si="120"/>
        <v>3.49</v>
      </c>
      <c r="T877" t="str">
        <f t="shared" si="121"/>
        <v>On Time</v>
      </c>
      <c r="U877" t="str">
        <f t="shared" si="122"/>
        <v>Medium</v>
      </c>
      <c r="V877" t="str">
        <f t="shared" si="123"/>
        <v>Low Risk</v>
      </c>
      <c r="W877" t="str">
        <f t="shared" si="124"/>
        <v>Sep</v>
      </c>
      <c r="X877">
        <f t="shared" si="125"/>
        <v>2025</v>
      </c>
    </row>
    <row r="878" spans="1:24" x14ac:dyDescent="0.35">
      <c r="A878" s="3">
        <v>45659</v>
      </c>
      <c r="B878" t="s">
        <v>311</v>
      </c>
      <c r="C878" t="s">
        <v>130</v>
      </c>
      <c r="D878" t="s">
        <v>1024</v>
      </c>
      <c r="E878" t="s">
        <v>27</v>
      </c>
      <c r="F878" t="s">
        <v>66</v>
      </c>
      <c r="G878" t="s">
        <v>42</v>
      </c>
      <c r="H878">
        <v>37.4</v>
      </c>
      <c r="I878">
        <v>2517</v>
      </c>
      <c r="J878">
        <v>94</v>
      </c>
      <c r="K878">
        <v>21.8</v>
      </c>
      <c r="L878" t="s">
        <v>30</v>
      </c>
      <c r="M878">
        <v>17293.849999999999</v>
      </c>
      <c r="N878">
        <v>13901</v>
      </c>
      <c r="O878" t="s">
        <v>67</v>
      </c>
      <c r="P878" t="str">
        <f t="shared" si="117"/>
        <v>Yes</v>
      </c>
      <c r="Q878">
        <f t="shared" si="118"/>
        <v>67.3</v>
      </c>
      <c r="R878">
        <f t="shared" si="119"/>
        <v>6.87</v>
      </c>
      <c r="S878">
        <f t="shared" si="120"/>
        <v>1.24</v>
      </c>
      <c r="T878" t="str">
        <f t="shared" si="121"/>
        <v>Delayed</v>
      </c>
      <c r="U878" t="str">
        <f t="shared" si="122"/>
        <v>Low</v>
      </c>
      <c r="V878" t="str">
        <f t="shared" si="123"/>
        <v>Medium Risk</v>
      </c>
      <c r="W878" t="str">
        <f t="shared" si="124"/>
        <v>Jan</v>
      </c>
      <c r="X878">
        <f t="shared" si="125"/>
        <v>2025</v>
      </c>
    </row>
    <row r="879" spans="1:24" x14ac:dyDescent="0.35">
      <c r="A879" s="3">
        <v>45879</v>
      </c>
      <c r="B879" t="s">
        <v>300</v>
      </c>
      <c r="C879" t="s">
        <v>109</v>
      </c>
      <c r="D879" t="s">
        <v>1025</v>
      </c>
      <c r="E879" t="s">
        <v>41</v>
      </c>
      <c r="F879" t="s">
        <v>27</v>
      </c>
      <c r="G879" t="s">
        <v>71</v>
      </c>
      <c r="H879">
        <v>23.9</v>
      </c>
      <c r="I879">
        <v>948</v>
      </c>
      <c r="J879">
        <v>75</v>
      </c>
      <c r="K879">
        <v>21.1</v>
      </c>
      <c r="L879" t="s">
        <v>49</v>
      </c>
      <c r="M879">
        <v>13329.61</v>
      </c>
      <c r="N879">
        <v>17069</v>
      </c>
      <c r="O879" t="s">
        <v>36</v>
      </c>
      <c r="P879" t="str">
        <f t="shared" si="117"/>
        <v>Yes</v>
      </c>
      <c r="Q879">
        <f t="shared" si="118"/>
        <v>39.67</v>
      </c>
      <c r="R879">
        <f t="shared" si="119"/>
        <v>14.06</v>
      </c>
      <c r="S879">
        <f t="shared" si="120"/>
        <v>0.78</v>
      </c>
      <c r="T879" t="str">
        <f t="shared" si="121"/>
        <v>Delayed</v>
      </c>
      <c r="U879" t="str">
        <f t="shared" si="122"/>
        <v>Low</v>
      </c>
      <c r="V879" t="str">
        <f t="shared" si="123"/>
        <v>High Risk</v>
      </c>
      <c r="W879" t="str">
        <f t="shared" si="124"/>
        <v>Aug</v>
      </c>
      <c r="X879">
        <f t="shared" si="125"/>
        <v>2025</v>
      </c>
    </row>
    <row r="880" spans="1:24" x14ac:dyDescent="0.35">
      <c r="A880" s="3">
        <v>45765</v>
      </c>
      <c r="B880" t="s">
        <v>38</v>
      </c>
      <c r="C880" t="s">
        <v>25</v>
      </c>
      <c r="D880" t="s">
        <v>1026</v>
      </c>
      <c r="E880" t="s">
        <v>55</v>
      </c>
      <c r="F880" t="s">
        <v>28</v>
      </c>
      <c r="G880" t="s">
        <v>35</v>
      </c>
      <c r="H880">
        <v>41.8</v>
      </c>
      <c r="I880">
        <v>3071</v>
      </c>
      <c r="J880">
        <v>47</v>
      </c>
      <c r="K880">
        <v>19.899999999999999</v>
      </c>
      <c r="L880" t="s">
        <v>49</v>
      </c>
      <c r="M880">
        <v>28613.18</v>
      </c>
      <c r="N880">
        <v>8105</v>
      </c>
      <c r="O880" t="s">
        <v>91</v>
      </c>
      <c r="P880" t="str">
        <f t="shared" si="117"/>
        <v>Yes</v>
      </c>
      <c r="Q880">
        <f t="shared" si="118"/>
        <v>73.47</v>
      </c>
      <c r="R880">
        <f t="shared" si="119"/>
        <v>9.32</v>
      </c>
      <c r="S880">
        <f t="shared" si="120"/>
        <v>3.53</v>
      </c>
      <c r="T880" t="str">
        <f t="shared" si="121"/>
        <v>Delayed</v>
      </c>
      <c r="U880" t="str">
        <f t="shared" si="122"/>
        <v>Medium</v>
      </c>
      <c r="V880" t="str">
        <f t="shared" si="123"/>
        <v>High Risk</v>
      </c>
      <c r="W880" t="str">
        <f t="shared" si="124"/>
        <v>Apr</v>
      </c>
      <c r="X880">
        <f t="shared" si="125"/>
        <v>2025</v>
      </c>
    </row>
    <row r="881" spans="1:24" x14ac:dyDescent="0.35">
      <c r="A881" s="3">
        <v>45890</v>
      </c>
      <c r="B881" t="s">
        <v>214</v>
      </c>
      <c r="C881" t="s">
        <v>69</v>
      </c>
      <c r="D881" t="s">
        <v>1027</v>
      </c>
      <c r="E881" t="s">
        <v>48</v>
      </c>
      <c r="F881" t="s">
        <v>27</v>
      </c>
      <c r="G881" t="s">
        <v>35</v>
      </c>
      <c r="H881">
        <v>73.400000000000006</v>
      </c>
      <c r="I881">
        <v>2474</v>
      </c>
      <c r="J881">
        <v>22</v>
      </c>
      <c r="K881">
        <v>10</v>
      </c>
      <c r="L881" t="s">
        <v>78</v>
      </c>
      <c r="M881">
        <v>40918.080000000002</v>
      </c>
      <c r="N881">
        <v>23060</v>
      </c>
      <c r="O881" t="s">
        <v>50</v>
      </c>
      <c r="P881" t="str">
        <f t="shared" si="117"/>
        <v>No</v>
      </c>
      <c r="Q881">
        <f t="shared" si="118"/>
        <v>33.71</v>
      </c>
      <c r="R881">
        <f t="shared" si="119"/>
        <v>16.54</v>
      </c>
      <c r="S881">
        <f t="shared" si="120"/>
        <v>1.77</v>
      </c>
      <c r="T881" t="str">
        <f t="shared" si="121"/>
        <v>On Time</v>
      </c>
      <c r="U881" t="str">
        <f t="shared" si="122"/>
        <v>High</v>
      </c>
      <c r="V881" t="str">
        <f t="shared" si="123"/>
        <v>Low Risk</v>
      </c>
      <c r="W881" t="str">
        <f t="shared" si="124"/>
        <v>Aug</v>
      </c>
      <c r="X881">
        <f t="shared" si="125"/>
        <v>2025</v>
      </c>
    </row>
    <row r="882" spans="1:24" x14ac:dyDescent="0.35">
      <c r="A882" s="3">
        <v>46019</v>
      </c>
      <c r="B882" t="s">
        <v>195</v>
      </c>
      <c r="C882" t="s">
        <v>52</v>
      </c>
      <c r="D882" t="s">
        <v>1028</v>
      </c>
      <c r="E882" t="s">
        <v>63</v>
      </c>
      <c r="F882" t="s">
        <v>41</v>
      </c>
      <c r="G882" t="s">
        <v>71</v>
      </c>
      <c r="H882">
        <v>50.4</v>
      </c>
      <c r="I882">
        <v>3119</v>
      </c>
      <c r="J882">
        <v>44</v>
      </c>
      <c r="K882">
        <v>13.1</v>
      </c>
      <c r="L882" t="s">
        <v>78</v>
      </c>
      <c r="M882">
        <v>26578.2</v>
      </c>
      <c r="N882">
        <v>21354</v>
      </c>
      <c r="O882" t="s">
        <v>44</v>
      </c>
      <c r="P882" t="str">
        <f t="shared" si="117"/>
        <v>No</v>
      </c>
      <c r="Q882">
        <f t="shared" si="118"/>
        <v>61.88</v>
      </c>
      <c r="R882">
        <f t="shared" si="119"/>
        <v>8.52</v>
      </c>
      <c r="S882">
        <f t="shared" si="120"/>
        <v>1.24</v>
      </c>
      <c r="T882" t="str">
        <f t="shared" si="121"/>
        <v>On Time</v>
      </c>
      <c r="U882" t="str">
        <f t="shared" si="122"/>
        <v>Medium</v>
      </c>
      <c r="V882" t="str">
        <f t="shared" si="123"/>
        <v>Low Risk</v>
      </c>
      <c r="W882" t="str">
        <f t="shared" si="124"/>
        <v>Dec</v>
      </c>
      <c r="X882">
        <f t="shared" si="125"/>
        <v>2025</v>
      </c>
    </row>
    <row r="883" spans="1:24" x14ac:dyDescent="0.35">
      <c r="A883" s="3">
        <v>45770</v>
      </c>
      <c r="B883" t="s">
        <v>159</v>
      </c>
      <c r="C883" t="s">
        <v>39</v>
      </c>
      <c r="D883" t="s">
        <v>1029</v>
      </c>
      <c r="E883" t="s">
        <v>55</v>
      </c>
      <c r="F883" t="s">
        <v>54</v>
      </c>
      <c r="G883" t="s">
        <v>42</v>
      </c>
      <c r="H883">
        <v>60.8</v>
      </c>
      <c r="I883">
        <v>4752</v>
      </c>
      <c r="J883">
        <v>62</v>
      </c>
      <c r="K883">
        <v>18.3</v>
      </c>
      <c r="L883" t="s">
        <v>43</v>
      </c>
      <c r="M883">
        <v>31777.61</v>
      </c>
      <c r="N883">
        <v>14189</v>
      </c>
      <c r="O883" t="s">
        <v>59</v>
      </c>
      <c r="P883" t="str">
        <f t="shared" si="117"/>
        <v>Yes</v>
      </c>
      <c r="Q883">
        <f t="shared" si="118"/>
        <v>78.16</v>
      </c>
      <c r="R883">
        <f t="shared" si="119"/>
        <v>6.69</v>
      </c>
      <c r="S883">
        <f t="shared" si="120"/>
        <v>2.2400000000000002</v>
      </c>
      <c r="T883" t="str">
        <f t="shared" si="121"/>
        <v>Delayed</v>
      </c>
      <c r="U883" t="str">
        <f t="shared" si="122"/>
        <v>High</v>
      </c>
      <c r="V883" t="str">
        <f t="shared" si="123"/>
        <v>Low Risk</v>
      </c>
      <c r="W883" t="str">
        <f t="shared" si="124"/>
        <v>Apr</v>
      </c>
      <c r="X883">
        <f t="shared" si="125"/>
        <v>2025</v>
      </c>
    </row>
    <row r="884" spans="1:24" x14ac:dyDescent="0.35">
      <c r="A884" s="3">
        <v>45836</v>
      </c>
      <c r="B884" t="s">
        <v>76</v>
      </c>
      <c r="C884" t="s">
        <v>57</v>
      </c>
      <c r="D884" t="s">
        <v>1030</v>
      </c>
      <c r="E884" t="s">
        <v>63</v>
      </c>
      <c r="F884" t="s">
        <v>48</v>
      </c>
      <c r="G884" t="s">
        <v>35</v>
      </c>
      <c r="H884">
        <v>66.400000000000006</v>
      </c>
      <c r="I884">
        <v>4846</v>
      </c>
      <c r="J884">
        <v>55</v>
      </c>
      <c r="K884">
        <v>15.9</v>
      </c>
      <c r="L884" t="s">
        <v>49</v>
      </c>
      <c r="M884">
        <v>35798.36</v>
      </c>
      <c r="N884">
        <v>10886</v>
      </c>
      <c r="O884" t="s">
        <v>59</v>
      </c>
      <c r="P884" t="str">
        <f t="shared" si="117"/>
        <v>Yes</v>
      </c>
      <c r="Q884">
        <f t="shared" si="118"/>
        <v>72.98</v>
      </c>
      <c r="R884">
        <f t="shared" si="119"/>
        <v>7.39</v>
      </c>
      <c r="S884">
        <f t="shared" si="120"/>
        <v>3.29</v>
      </c>
      <c r="T884" t="str">
        <f t="shared" si="121"/>
        <v>Delayed</v>
      </c>
      <c r="U884" t="str">
        <f t="shared" si="122"/>
        <v>High</v>
      </c>
      <c r="V884" t="str">
        <f t="shared" si="123"/>
        <v>High Risk</v>
      </c>
      <c r="W884" t="str">
        <f t="shared" si="124"/>
        <v>Jun</v>
      </c>
      <c r="X884">
        <f t="shared" si="125"/>
        <v>2025</v>
      </c>
    </row>
    <row r="885" spans="1:24" x14ac:dyDescent="0.35">
      <c r="A885" s="3">
        <v>45960</v>
      </c>
      <c r="B885" t="s">
        <v>430</v>
      </c>
      <c r="C885" t="s">
        <v>69</v>
      </c>
      <c r="D885" t="s">
        <v>1031</v>
      </c>
      <c r="E885" t="s">
        <v>28</v>
      </c>
      <c r="F885" t="s">
        <v>66</v>
      </c>
      <c r="G885" t="s">
        <v>71</v>
      </c>
      <c r="H885">
        <v>54.6</v>
      </c>
      <c r="I885">
        <v>2920</v>
      </c>
      <c r="J885">
        <v>63</v>
      </c>
      <c r="K885">
        <v>15.7</v>
      </c>
      <c r="L885" t="s">
        <v>78</v>
      </c>
      <c r="M885">
        <v>31231.360000000001</v>
      </c>
      <c r="N885">
        <v>12941</v>
      </c>
      <c r="O885" t="s">
        <v>50</v>
      </c>
      <c r="P885" t="str">
        <f t="shared" si="117"/>
        <v>No</v>
      </c>
      <c r="Q885">
        <f t="shared" si="118"/>
        <v>53.48</v>
      </c>
      <c r="R885">
        <f t="shared" si="119"/>
        <v>10.7</v>
      </c>
      <c r="S885">
        <f t="shared" si="120"/>
        <v>2.41</v>
      </c>
      <c r="T885" t="str">
        <f t="shared" si="121"/>
        <v>On Time</v>
      </c>
      <c r="U885" t="str">
        <f t="shared" si="122"/>
        <v>Medium</v>
      </c>
      <c r="V885" t="str">
        <f t="shared" si="123"/>
        <v>Low Risk</v>
      </c>
      <c r="W885" t="str">
        <f t="shared" si="124"/>
        <v>Oct</v>
      </c>
      <c r="X885">
        <f t="shared" si="125"/>
        <v>2025</v>
      </c>
    </row>
    <row r="886" spans="1:24" x14ac:dyDescent="0.35">
      <c r="A886" s="3">
        <v>45843</v>
      </c>
      <c r="B886" t="s">
        <v>123</v>
      </c>
      <c r="C886" t="s">
        <v>57</v>
      </c>
      <c r="D886" t="s">
        <v>1032</v>
      </c>
      <c r="E886" t="s">
        <v>28</v>
      </c>
      <c r="F886" t="s">
        <v>63</v>
      </c>
      <c r="G886" t="s">
        <v>29</v>
      </c>
      <c r="H886">
        <v>40.299999999999997</v>
      </c>
      <c r="I886">
        <v>4829</v>
      </c>
      <c r="J886">
        <v>104</v>
      </c>
      <c r="K886">
        <v>11.5</v>
      </c>
      <c r="L886" t="s">
        <v>78</v>
      </c>
      <c r="M886">
        <v>20263.330000000002</v>
      </c>
      <c r="N886">
        <v>11683</v>
      </c>
      <c r="O886" t="s">
        <v>31</v>
      </c>
      <c r="P886" t="str">
        <f t="shared" si="117"/>
        <v>No</v>
      </c>
      <c r="Q886">
        <f t="shared" si="118"/>
        <v>119.83</v>
      </c>
      <c r="R886">
        <f t="shared" si="119"/>
        <v>4.2</v>
      </c>
      <c r="S886">
        <f t="shared" si="120"/>
        <v>1.73</v>
      </c>
      <c r="T886" t="str">
        <f t="shared" si="121"/>
        <v>On Time</v>
      </c>
      <c r="U886" t="str">
        <f t="shared" si="122"/>
        <v>Medium</v>
      </c>
      <c r="V886" t="str">
        <f t="shared" si="123"/>
        <v>Low Risk</v>
      </c>
      <c r="W886" t="str">
        <f t="shared" si="124"/>
        <v>Jul</v>
      </c>
      <c r="X886">
        <f t="shared" si="125"/>
        <v>2025</v>
      </c>
    </row>
    <row r="887" spans="1:24" x14ac:dyDescent="0.35">
      <c r="A887" s="3">
        <v>45943</v>
      </c>
      <c r="B887" t="s">
        <v>157</v>
      </c>
      <c r="C887" t="s">
        <v>69</v>
      </c>
      <c r="D887" t="s">
        <v>1033</v>
      </c>
      <c r="E887" t="s">
        <v>66</v>
      </c>
      <c r="F887" t="s">
        <v>41</v>
      </c>
      <c r="G887" t="s">
        <v>29</v>
      </c>
      <c r="H887">
        <v>29.8</v>
      </c>
      <c r="I887">
        <v>2819</v>
      </c>
      <c r="J887">
        <v>60</v>
      </c>
      <c r="K887">
        <v>20.8</v>
      </c>
      <c r="L887" t="s">
        <v>43</v>
      </c>
      <c r="M887">
        <v>18198.11</v>
      </c>
      <c r="N887">
        <v>14661</v>
      </c>
      <c r="O887" t="s">
        <v>36</v>
      </c>
      <c r="P887" t="str">
        <f t="shared" si="117"/>
        <v>Yes</v>
      </c>
      <c r="Q887">
        <f t="shared" si="118"/>
        <v>94.6</v>
      </c>
      <c r="R887">
        <f t="shared" si="119"/>
        <v>6.46</v>
      </c>
      <c r="S887">
        <f t="shared" si="120"/>
        <v>1.24</v>
      </c>
      <c r="T887" t="str">
        <f t="shared" si="121"/>
        <v>Delayed</v>
      </c>
      <c r="U887" t="str">
        <f t="shared" si="122"/>
        <v>Low</v>
      </c>
      <c r="V887" t="str">
        <f t="shared" si="123"/>
        <v>Low Risk</v>
      </c>
      <c r="W887" t="str">
        <f t="shared" si="124"/>
        <v>Oct</v>
      </c>
      <c r="X887">
        <f t="shared" si="125"/>
        <v>2025</v>
      </c>
    </row>
    <row r="888" spans="1:24" x14ac:dyDescent="0.35">
      <c r="A888" s="3">
        <v>45688</v>
      </c>
      <c r="B888" t="s">
        <v>210</v>
      </c>
      <c r="C888" t="s">
        <v>52</v>
      </c>
      <c r="D888" t="s">
        <v>1034</v>
      </c>
      <c r="E888" t="s">
        <v>54</v>
      </c>
      <c r="F888" t="s">
        <v>41</v>
      </c>
      <c r="G888" t="s">
        <v>35</v>
      </c>
      <c r="H888">
        <v>32.1</v>
      </c>
      <c r="I888">
        <v>3047</v>
      </c>
      <c r="J888">
        <v>107</v>
      </c>
      <c r="K888">
        <v>19.100000000000001</v>
      </c>
      <c r="L888" t="s">
        <v>78</v>
      </c>
      <c r="M888">
        <v>17361.41</v>
      </c>
      <c r="N888">
        <v>20426</v>
      </c>
      <c r="O888" t="s">
        <v>67</v>
      </c>
      <c r="P888" t="str">
        <f t="shared" si="117"/>
        <v>No</v>
      </c>
      <c r="Q888">
        <f t="shared" si="118"/>
        <v>94.92</v>
      </c>
      <c r="R888">
        <f t="shared" si="119"/>
        <v>5.7</v>
      </c>
      <c r="S888">
        <f t="shared" si="120"/>
        <v>0.85</v>
      </c>
      <c r="T888" t="str">
        <f t="shared" si="121"/>
        <v>On Time</v>
      </c>
      <c r="U888" t="str">
        <f t="shared" si="122"/>
        <v>Low</v>
      </c>
      <c r="V888" t="str">
        <f t="shared" si="123"/>
        <v>Low Risk</v>
      </c>
      <c r="W888" t="str">
        <f t="shared" si="124"/>
        <v>Jan</v>
      </c>
      <c r="X888">
        <f t="shared" si="125"/>
        <v>2025</v>
      </c>
    </row>
    <row r="889" spans="1:24" x14ac:dyDescent="0.35">
      <c r="A889" s="3">
        <v>46006</v>
      </c>
      <c r="B889" t="s">
        <v>250</v>
      </c>
      <c r="C889" t="s">
        <v>95</v>
      </c>
      <c r="D889" t="s">
        <v>1035</v>
      </c>
      <c r="E889" t="s">
        <v>55</v>
      </c>
      <c r="F889" t="s">
        <v>28</v>
      </c>
      <c r="G889" t="s">
        <v>29</v>
      </c>
      <c r="H889">
        <v>79.099999999999994</v>
      </c>
      <c r="I889">
        <v>3054</v>
      </c>
      <c r="J889">
        <v>52</v>
      </c>
      <c r="K889">
        <v>14.1</v>
      </c>
      <c r="L889" t="s">
        <v>78</v>
      </c>
      <c r="M889">
        <v>44290.23</v>
      </c>
      <c r="N889">
        <v>18664</v>
      </c>
      <c r="O889" t="s">
        <v>67</v>
      </c>
      <c r="P889" t="str">
        <f t="shared" si="117"/>
        <v>No</v>
      </c>
      <c r="Q889">
        <f t="shared" si="118"/>
        <v>38.61</v>
      </c>
      <c r="R889">
        <f t="shared" si="119"/>
        <v>14.5</v>
      </c>
      <c r="S889">
        <f t="shared" si="120"/>
        <v>2.37</v>
      </c>
      <c r="T889" t="str">
        <f t="shared" si="121"/>
        <v>On Time</v>
      </c>
      <c r="U889" t="str">
        <f t="shared" si="122"/>
        <v>High</v>
      </c>
      <c r="V889" t="str">
        <f t="shared" si="123"/>
        <v>Low Risk</v>
      </c>
      <c r="W889" t="str">
        <f t="shared" si="124"/>
        <v>Dec</v>
      </c>
      <c r="X889">
        <f t="shared" si="125"/>
        <v>2025</v>
      </c>
    </row>
    <row r="890" spans="1:24" x14ac:dyDescent="0.35">
      <c r="A890" s="3">
        <v>45967</v>
      </c>
      <c r="B890" t="s">
        <v>89</v>
      </c>
      <c r="C890" t="s">
        <v>109</v>
      </c>
      <c r="D890" t="s">
        <v>1036</v>
      </c>
      <c r="E890" t="s">
        <v>27</v>
      </c>
      <c r="F890" t="s">
        <v>66</v>
      </c>
      <c r="G890" t="s">
        <v>35</v>
      </c>
      <c r="H890">
        <v>55.7</v>
      </c>
      <c r="I890">
        <v>2098</v>
      </c>
      <c r="J890">
        <v>94</v>
      </c>
      <c r="K890">
        <v>19.7</v>
      </c>
      <c r="L890" t="s">
        <v>49</v>
      </c>
      <c r="M890">
        <v>25458.39</v>
      </c>
      <c r="N890">
        <v>5996</v>
      </c>
      <c r="O890" t="s">
        <v>36</v>
      </c>
      <c r="P890" t="str">
        <f t="shared" si="117"/>
        <v>Yes</v>
      </c>
      <c r="Q890">
        <f t="shared" si="118"/>
        <v>37.67</v>
      </c>
      <c r="R890">
        <f t="shared" si="119"/>
        <v>12.13</v>
      </c>
      <c r="S890">
        <f t="shared" si="120"/>
        <v>4.25</v>
      </c>
      <c r="T890" t="str">
        <f t="shared" si="121"/>
        <v>Delayed</v>
      </c>
      <c r="U890" t="str">
        <f t="shared" si="122"/>
        <v>Medium</v>
      </c>
      <c r="V890" t="str">
        <f t="shared" si="123"/>
        <v>High Risk</v>
      </c>
      <c r="W890" t="str">
        <f t="shared" si="124"/>
        <v>Nov</v>
      </c>
      <c r="X890">
        <f t="shared" si="125"/>
        <v>2025</v>
      </c>
    </row>
    <row r="891" spans="1:24" x14ac:dyDescent="0.35">
      <c r="A891" s="3">
        <v>45792</v>
      </c>
      <c r="B891" t="s">
        <v>236</v>
      </c>
      <c r="C891" t="s">
        <v>109</v>
      </c>
      <c r="D891" t="s">
        <v>1037</v>
      </c>
      <c r="E891" t="s">
        <v>27</v>
      </c>
      <c r="F891" t="s">
        <v>55</v>
      </c>
      <c r="G891" t="s">
        <v>29</v>
      </c>
      <c r="H891">
        <v>44</v>
      </c>
      <c r="I891">
        <v>4044</v>
      </c>
      <c r="J891">
        <v>89</v>
      </c>
      <c r="K891">
        <v>18.5</v>
      </c>
      <c r="L891" t="s">
        <v>43</v>
      </c>
      <c r="M891">
        <v>28217.15</v>
      </c>
      <c r="N891">
        <v>20987</v>
      </c>
      <c r="O891" t="s">
        <v>59</v>
      </c>
      <c r="P891" t="str">
        <f t="shared" si="117"/>
        <v>Yes</v>
      </c>
      <c r="Q891">
        <f t="shared" si="118"/>
        <v>91.91</v>
      </c>
      <c r="R891">
        <f t="shared" si="119"/>
        <v>6.98</v>
      </c>
      <c r="S891">
        <f t="shared" si="120"/>
        <v>1.34</v>
      </c>
      <c r="T891" t="str">
        <f t="shared" si="121"/>
        <v>Delayed</v>
      </c>
      <c r="U891" t="str">
        <f t="shared" si="122"/>
        <v>Medium</v>
      </c>
      <c r="V891" t="str">
        <f t="shared" si="123"/>
        <v>Low Risk</v>
      </c>
      <c r="W891" t="str">
        <f t="shared" si="124"/>
        <v>May</v>
      </c>
      <c r="X891">
        <f t="shared" si="125"/>
        <v>2025</v>
      </c>
    </row>
    <row r="892" spans="1:24" x14ac:dyDescent="0.35">
      <c r="A892" s="3">
        <v>45834</v>
      </c>
      <c r="B892" t="s">
        <v>162</v>
      </c>
      <c r="C892" t="s">
        <v>109</v>
      </c>
      <c r="D892" t="s">
        <v>1038</v>
      </c>
      <c r="E892" t="s">
        <v>63</v>
      </c>
      <c r="F892" t="s">
        <v>66</v>
      </c>
      <c r="G892" t="s">
        <v>29</v>
      </c>
      <c r="H892">
        <v>50.6</v>
      </c>
      <c r="I892">
        <v>2369</v>
      </c>
      <c r="J892">
        <v>23</v>
      </c>
      <c r="K892">
        <v>12.3</v>
      </c>
      <c r="L892" t="s">
        <v>30</v>
      </c>
      <c r="M892">
        <v>24912.71</v>
      </c>
      <c r="N892">
        <v>27867</v>
      </c>
      <c r="O892" t="s">
        <v>36</v>
      </c>
      <c r="P892" t="str">
        <f t="shared" si="117"/>
        <v>Yes</v>
      </c>
      <c r="Q892">
        <f t="shared" si="118"/>
        <v>46.82</v>
      </c>
      <c r="R892">
        <f t="shared" si="119"/>
        <v>10.52</v>
      </c>
      <c r="S892">
        <f t="shared" si="120"/>
        <v>0.89</v>
      </c>
      <c r="T892" t="str">
        <f t="shared" si="121"/>
        <v>Delayed</v>
      </c>
      <c r="U892" t="str">
        <f t="shared" si="122"/>
        <v>Medium</v>
      </c>
      <c r="V892" t="str">
        <f t="shared" si="123"/>
        <v>Medium Risk</v>
      </c>
      <c r="W892" t="str">
        <f t="shared" si="124"/>
        <v>Jun</v>
      </c>
      <c r="X892">
        <f t="shared" si="125"/>
        <v>2025</v>
      </c>
    </row>
    <row r="893" spans="1:24" x14ac:dyDescent="0.35">
      <c r="A893" s="3">
        <v>45984</v>
      </c>
      <c r="B893" t="s">
        <v>188</v>
      </c>
      <c r="C893" t="s">
        <v>52</v>
      </c>
      <c r="D893" t="s">
        <v>1039</v>
      </c>
      <c r="E893" t="s">
        <v>55</v>
      </c>
      <c r="F893" t="s">
        <v>54</v>
      </c>
      <c r="G893" t="s">
        <v>71</v>
      </c>
      <c r="H893">
        <v>39.799999999999997</v>
      </c>
      <c r="I893">
        <v>3023</v>
      </c>
      <c r="J893">
        <v>46</v>
      </c>
      <c r="K893">
        <v>20.6</v>
      </c>
      <c r="L893" t="s">
        <v>43</v>
      </c>
      <c r="M893">
        <v>18334.79</v>
      </c>
      <c r="N893">
        <v>10700</v>
      </c>
      <c r="O893" t="s">
        <v>59</v>
      </c>
      <c r="P893" t="str">
        <f t="shared" si="117"/>
        <v>Yes</v>
      </c>
      <c r="Q893">
        <f t="shared" si="118"/>
        <v>75.95</v>
      </c>
      <c r="R893">
        <f t="shared" si="119"/>
        <v>6.07</v>
      </c>
      <c r="S893">
        <f t="shared" si="120"/>
        <v>1.71</v>
      </c>
      <c r="T893" t="str">
        <f t="shared" si="121"/>
        <v>Delayed</v>
      </c>
      <c r="U893" t="str">
        <f t="shared" si="122"/>
        <v>Low</v>
      </c>
      <c r="V893" t="str">
        <f t="shared" si="123"/>
        <v>Low Risk</v>
      </c>
      <c r="W893" t="str">
        <f t="shared" si="124"/>
        <v>Nov</v>
      </c>
      <c r="X893">
        <f t="shared" si="125"/>
        <v>2025</v>
      </c>
    </row>
    <row r="894" spans="1:24" x14ac:dyDescent="0.35">
      <c r="A894" s="3">
        <v>45693</v>
      </c>
      <c r="B894" t="s">
        <v>221</v>
      </c>
      <c r="C894" t="s">
        <v>69</v>
      </c>
      <c r="D894" t="s">
        <v>1040</v>
      </c>
      <c r="E894" t="s">
        <v>54</v>
      </c>
      <c r="F894" t="s">
        <v>55</v>
      </c>
      <c r="G894" t="s">
        <v>71</v>
      </c>
      <c r="H894">
        <v>40.700000000000003</v>
      </c>
      <c r="I894">
        <v>4394</v>
      </c>
      <c r="J894">
        <v>90</v>
      </c>
      <c r="K894">
        <v>13.2</v>
      </c>
      <c r="L894" t="s">
        <v>43</v>
      </c>
      <c r="M894">
        <v>24250.39</v>
      </c>
      <c r="N894">
        <v>20713</v>
      </c>
      <c r="O894" t="s">
        <v>36</v>
      </c>
      <c r="P894" t="str">
        <f t="shared" si="117"/>
        <v>Yes</v>
      </c>
      <c r="Q894">
        <f t="shared" si="118"/>
        <v>107.96</v>
      </c>
      <c r="R894">
        <f t="shared" si="119"/>
        <v>5.52</v>
      </c>
      <c r="S894">
        <f t="shared" si="120"/>
        <v>1.17</v>
      </c>
      <c r="T894" t="str">
        <f t="shared" si="121"/>
        <v>Delayed</v>
      </c>
      <c r="U894" t="str">
        <f t="shared" si="122"/>
        <v>Medium</v>
      </c>
      <c r="V894" t="str">
        <f t="shared" si="123"/>
        <v>Low Risk</v>
      </c>
      <c r="W894" t="str">
        <f t="shared" si="124"/>
        <v>Feb</v>
      </c>
      <c r="X894">
        <f t="shared" si="125"/>
        <v>2025</v>
      </c>
    </row>
    <row r="895" spans="1:24" x14ac:dyDescent="0.35">
      <c r="A895" s="3">
        <v>45695</v>
      </c>
      <c r="B895" t="s">
        <v>311</v>
      </c>
      <c r="C895" t="s">
        <v>57</v>
      </c>
      <c r="D895" t="s">
        <v>1041</v>
      </c>
      <c r="E895" t="s">
        <v>54</v>
      </c>
      <c r="F895" t="s">
        <v>27</v>
      </c>
      <c r="G895" t="s">
        <v>29</v>
      </c>
      <c r="H895">
        <v>50.9</v>
      </c>
      <c r="I895">
        <v>3224</v>
      </c>
      <c r="J895">
        <v>81</v>
      </c>
      <c r="K895">
        <v>17.2</v>
      </c>
      <c r="L895" t="s">
        <v>78</v>
      </c>
      <c r="M895">
        <v>27330.32</v>
      </c>
      <c r="N895">
        <v>13701</v>
      </c>
      <c r="O895" t="s">
        <v>67</v>
      </c>
      <c r="P895" t="str">
        <f t="shared" si="117"/>
        <v>No</v>
      </c>
      <c r="Q895">
        <f t="shared" si="118"/>
        <v>63.34</v>
      </c>
      <c r="R895">
        <f t="shared" si="119"/>
        <v>8.48</v>
      </c>
      <c r="S895">
        <f t="shared" si="120"/>
        <v>1.99</v>
      </c>
      <c r="T895" t="str">
        <f t="shared" si="121"/>
        <v>On Time</v>
      </c>
      <c r="U895" t="str">
        <f t="shared" si="122"/>
        <v>Medium</v>
      </c>
      <c r="V895" t="str">
        <f t="shared" si="123"/>
        <v>Low Risk</v>
      </c>
      <c r="W895" t="str">
        <f t="shared" si="124"/>
        <v>Feb</v>
      </c>
      <c r="X895">
        <f t="shared" si="125"/>
        <v>2025</v>
      </c>
    </row>
    <row r="896" spans="1:24" x14ac:dyDescent="0.35">
      <c r="A896" s="3">
        <v>45791</v>
      </c>
      <c r="B896" t="s">
        <v>76</v>
      </c>
      <c r="C896" t="s">
        <v>69</v>
      </c>
      <c r="D896" t="s">
        <v>1042</v>
      </c>
      <c r="E896" t="s">
        <v>28</v>
      </c>
      <c r="F896" t="s">
        <v>41</v>
      </c>
      <c r="G896" t="s">
        <v>42</v>
      </c>
      <c r="H896">
        <v>73.2</v>
      </c>
      <c r="I896">
        <v>1262</v>
      </c>
      <c r="J896">
        <v>68</v>
      </c>
      <c r="K896">
        <v>11.3</v>
      </c>
      <c r="L896" t="s">
        <v>78</v>
      </c>
      <c r="M896">
        <v>46305.37</v>
      </c>
      <c r="N896">
        <v>17518</v>
      </c>
      <c r="O896" t="s">
        <v>59</v>
      </c>
      <c r="P896" t="str">
        <f t="shared" si="117"/>
        <v>No</v>
      </c>
      <c r="Q896">
        <f t="shared" si="118"/>
        <v>17.239999999999998</v>
      </c>
      <c r="R896">
        <f t="shared" si="119"/>
        <v>36.69</v>
      </c>
      <c r="S896">
        <f t="shared" si="120"/>
        <v>2.64</v>
      </c>
      <c r="T896" t="str">
        <f t="shared" si="121"/>
        <v>On Time</v>
      </c>
      <c r="U896" t="str">
        <f t="shared" si="122"/>
        <v>High</v>
      </c>
      <c r="V896" t="str">
        <f t="shared" si="123"/>
        <v>Low Risk</v>
      </c>
      <c r="W896" t="str">
        <f t="shared" si="124"/>
        <v>May</v>
      </c>
      <c r="X896">
        <f t="shared" si="125"/>
        <v>2025</v>
      </c>
    </row>
    <row r="897" spans="1:24" x14ac:dyDescent="0.35">
      <c r="A897" s="3">
        <v>45855</v>
      </c>
      <c r="B897" t="s">
        <v>207</v>
      </c>
      <c r="C897" t="s">
        <v>109</v>
      </c>
      <c r="D897" t="s">
        <v>1043</v>
      </c>
      <c r="E897" t="s">
        <v>54</v>
      </c>
      <c r="F897" t="s">
        <v>41</v>
      </c>
      <c r="G897" t="s">
        <v>71</v>
      </c>
      <c r="H897">
        <v>49.9</v>
      </c>
      <c r="I897">
        <v>1438</v>
      </c>
      <c r="J897">
        <v>38</v>
      </c>
      <c r="K897">
        <v>12.9</v>
      </c>
      <c r="L897" t="s">
        <v>43</v>
      </c>
      <c r="M897">
        <v>33190.94</v>
      </c>
      <c r="N897">
        <v>8991</v>
      </c>
      <c r="O897" t="s">
        <v>59</v>
      </c>
      <c r="P897" t="str">
        <f t="shared" si="117"/>
        <v>Yes</v>
      </c>
      <c r="Q897">
        <f t="shared" si="118"/>
        <v>28.82</v>
      </c>
      <c r="R897">
        <f t="shared" si="119"/>
        <v>23.08</v>
      </c>
      <c r="S897">
        <f t="shared" si="120"/>
        <v>3.69</v>
      </c>
      <c r="T897" t="str">
        <f t="shared" si="121"/>
        <v>Delayed</v>
      </c>
      <c r="U897" t="str">
        <f t="shared" si="122"/>
        <v>Medium</v>
      </c>
      <c r="V897" t="str">
        <f t="shared" si="123"/>
        <v>Low Risk</v>
      </c>
      <c r="W897" t="str">
        <f t="shared" si="124"/>
        <v>Jul</v>
      </c>
      <c r="X897">
        <f t="shared" si="125"/>
        <v>2025</v>
      </c>
    </row>
    <row r="898" spans="1:24" x14ac:dyDescent="0.35">
      <c r="A898" s="3">
        <v>45728</v>
      </c>
      <c r="B898" t="s">
        <v>195</v>
      </c>
      <c r="C898" t="s">
        <v>39</v>
      </c>
      <c r="D898" t="s">
        <v>1044</v>
      </c>
      <c r="E898" t="s">
        <v>55</v>
      </c>
      <c r="F898" t="s">
        <v>28</v>
      </c>
      <c r="G898" t="s">
        <v>71</v>
      </c>
      <c r="H898">
        <v>52</v>
      </c>
      <c r="I898">
        <v>4777</v>
      </c>
      <c r="J898">
        <v>67</v>
      </c>
      <c r="K898">
        <v>14.8</v>
      </c>
      <c r="L898" t="s">
        <v>78</v>
      </c>
      <c r="M898">
        <v>33758.42</v>
      </c>
      <c r="N898">
        <v>10312</v>
      </c>
      <c r="O898" t="s">
        <v>91</v>
      </c>
      <c r="P898" t="str">
        <f t="shared" ref="P898:P961" si="126">IF(OR(L898="Rain",L898="Fog",L898="Storm"),"Yes","No")</f>
        <v>No</v>
      </c>
      <c r="Q898">
        <f t="shared" ref="Q898:Q961" si="127">ROUND(I898/H898,2)</f>
        <v>91.87</v>
      </c>
      <c r="R898">
        <f t="shared" ref="R898:R961" si="128">ROUND(M898/I898,2)</f>
        <v>7.07</v>
      </c>
      <c r="S898">
        <f t="shared" ref="S898:S961" si="129">ROUND(M898/N898,2)</f>
        <v>3.27</v>
      </c>
      <c r="T898" t="str">
        <f t="shared" ref="T898:T961" si="130">IF(P898="Yes","Delayed","On Time")</f>
        <v>On Time</v>
      </c>
      <c r="U898" t="str">
        <f t="shared" ref="U898:U961" si="131">IF(H898&gt;=60,"High",IF(H898&gt;=40,"Medium","Low"))</f>
        <v>Medium</v>
      </c>
      <c r="V898" t="str">
        <f t="shared" ref="V898:V961" si="132">IF(L898="Storm","High Risk",IF(L898="Rain","Medium Risk","Low Risk"))</f>
        <v>Low Risk</v>
      </c>
      <c r="W898" t="str">
        <f t="shared" ref="W898:W961" si="133">TEXT(A898,"mmm")</f>
        <v>Mar</v>
      </c>
      <c r="X898">
        <f t="shared" si="125"/>
        <v>2025</v>
      </c>
    </row>
    <row r="899" spans="1:24" x14ac:dyDescent="0.35">
      <c r="A899" s="3">
        <v>45890</v>
      </c>
      <c r="B899" t="s">
        <v>68</v>
      </c>
      <c r="C899" t="s">
        <v>39</v>
      </c>
      <c r="D899" t="s">
        <v>1045</v>
      </c>
      <c r="E899" t="s">
        <v>27</v>
      </c>
      <c r="F899" t="s">
        <v>66</v>
      </c>
      <c r="G899" t="s">
        <v>42</v>
      </c>
      <c r="H899">
        <v>46</v>
      </c>
      <c r="I899">
        <v>4565</v>
      </c>
      <c r="J899">
        <v>36</v>
      </c>
      <c r="K899">
        <v>10.199999999999999</v>
      </c>
      <c r="L899" t="s">
        <v>43</v>
      </c>
      <c r="M899">
        <v>31399.919999999998</v>
      </c>
      <c r="N899">
        <v>9033</v>
      </c>
      <c r="O899" t="s">
        <v>91</v>
      </c>
      <c r="P899" t="str">
        <f t="shared" si="126"/>
        <v>Yes</v>
      </c>
      <c r="Q899">
        <f t="shared" si="127"/>
        <v>99.24</v>
      </c>
      <c r="R899">
        <f t="shared" si="128"/>
        <v>6.88</v>
      </c>
      <c r="S899">
        <f t="shared" si="129"/>
        <v>3.48</v>
      </c>
      <c r="T899" t="str">
        <f t="shared" si="130"/>
        <v>Delayed</v>
      </c>
      <c r="U899" t="str">
        <f t="shared" si="131"/>
        <v>Medium</v>
      </c>
      <c r="V899" t="str">
        <f t="shared" si="132"/>
        <v>Low Risk</v>
      </c>
      <c r="W899" t="str">
        <f t="shared" si="133"/>
        <v>Aug</v>
      </c>
      <c r="X899">
        <f t="shared" ref="X899:X962" si="134">YEAR(A899)</f>
        <v>2025</v>
      </c>
    </row>
    <row r="900" spans="1:24" x14ac:dyDescent="0.35">
      <c r="A900" s="3">
        <v>45774</v>
      </c>
      <c r="B900" t="s">
        <v>142</v>
      </c>
      <c r="C900" t="s">
        <v>25</v>
      </c>
      <c r="D900" t="s">
        <v>1046</v>
      </c>
      <c r="E900" t="s">
        <v>54</v>
      </c>
      <c r="F900" t="s">
        <v>27</v>
      </c>
      <c r="G900" t="s">
        <v>42</v>
      </c>
      <c r="H900">
        <v>27.2</v>
      </c>
      <c r="I900">
        <v>3446</v>
      </c>
      <c r="J900">
        <v>106</v>
      </c>
      <c r="K900">
        <v>21.4</v>
      </c>
      <c r="L900" t="s">
        <v>43</v>
      </c>
      <c r="M900">
        <v>12767.08</v>
      </c>
      <c r="N900">
        <v>19890</v>
      </c>
      <c r="O900" t="s">
        <v>31</v>
      </c>
      <c r="P900" t="str">
        <f t="shared" si="126"/>
        <v>Yes</v>
      </c>
      <c r="Q900">
        <f t="shared" si="127"/>
        <v>126.69</v>
      </c>
      <c r="R900">
        <f t="shared" si="128"/>
        <v>3.7</v>
      </c>
      <c r="S900">
        <f t="shared" si="129"/>
        <v>0.64</v>
      </c>
      <c r="T900" t="str">
        <f t="shared" si="130"/>
        <v>Delayed</v>
      </c>
      <c r="U900" t="str">
        <f t="shared" si="131"/>
        <v>Low</v>
      </c>
      <c r="V900" t="str">
        <f t="shared" si="132"/>
        <v>Low Risk</v>
      </c>
      <c r="W900" t="str">
        <f t="shared" si="133"/>
        <v>Apr</v>
      </c>
      <c r="X900">
        <f t="shared" si="134"/>
        <v>2025</v>
      </c>
    </row>
    <row r="901" spans="1:24" x14ac:dyDescent="0.35">
      <c r="A901" s="3">
        <v>45752</v>
      </c>
      <c r="B901" t="s">
        <v>275</v>
      </c>
      <c r="C901" t="s">
        <v>95</v>
      </c>
      <c r="D901" t="s">
        <v>1047</v>
      </c>
      <c r="E901" t="s">
        <v>28</v>
      </c>
      <c r="F901" t="s">
        <v>54</v>
      </c>
      <c r="G901" t="s">
        <v>42</v>
      </c>
      <c r="H901">
        <v>54.9</v>
      </c>
      <c r="I901">
        <v>2787</v>
      </c>
      <c r="J901">
        <v>69</v>
      </c>
      <c r="K901">
        <v>12.4</v>
      </c>
      <c r="L901" t="s">
        <v>78</v>
      </c>
      <c r="M901">
        <v>37757.54</v>
      </c>
      <c r="N901">
        <v>12121</v>
      </c>
      <c r="O901" t="s">
        <v>59</v>
      </c>
      <c r="P901" t="str">
        <f t="shared" si="126"/>
        <v>No</v>
      </c>
      <c r="Q901">
        <f t="shared" si="127"/>
        <v>50.77</v>
      </c>
      <c r="R901">
        <f t="shared" si="128"/>
        <v>13.55</v>
      </c>
      <c r="S901">
        <f t="shared" si="129"/>
        <v>3.12</v>
      </c>
      <c r="T901" t="str">
        <f t="shared" si="130"/>
        <v>On Time</v>
      </c>
      <c r="U901" t="str">
        <f t="shared" si="131"/>
        <v>Medium</v>
      </c>
      <c r="V901" t="str">
        <f t="shared" si="132"/>
        <v>Low Risk</v>
      </c>
      <c r="W901" t="str">
        <f t="shared" si="133"/>
        <v>Apr</v>
      </c>
      <c r="X901">
        <f t="shared" si="134"/>
        <v>2025</v>
      </c>
    </row>
    <row r="902" spans="1:24" x14ac:dyDescent="0.35">
      <c r="A902" s="3">
        <v>45948</v>
      </c>
      <c r="B902" t="s">
        <v>311</v>
      </c>
      <c r="C902" t="s">
        <v>52</v>
      </c>
      <c r="D902" t="s">
        <v>1048</v>
      </c>
      <c r="E902" t="s">
        <v>48</v>
      </c>
      <c r="F902" t="s">
        <v>66</v>
      </c>
      <c r="G902" t="s">
        <v>71</v>
      </c>
      <c r="H902">
        <v>63.3</v>
      </c>
      <c r="I902">
        <v>2702</v>
      </c>
      <c r="J902">
        <v>111</v>
      </c>
      <c r="K902">
        <v>20.399999999999999</v>
      </c>
      <c r="L902" t="s">
        <v>49</v>
      </c>
      <c r="M902">
        <v>38842.15</v>
      </c>
      <c r="N902">
        <v>24651</v>
      </c>
      <c r="O902" t="s">
        <v>44</v>
      </c>
      <c r="P902" t="str">
        <f t="shared" si="126"/>
        <v>Yes</v>
      </c>
      <c r="Q902">
        <f t="shared" si="127"/>
        <v>42.69</v>
      </c>
      <c r="R902">
        <f t="shared" si="128"/>
        <v>14.38</v>
      </c>
      <c r="S902">
        <f t="shared" si="129"/>
        <v>1.58</v>
      </c>
      <c r="T902" t="str">
        <f t="shared" si="130"/>
        <v>Delayed</v>
      </c>
      <c r="U902" t="str">
        <f t="shared" si="131"/>
        <v>High</v>
      </c>
      <c r="V902" t="str">
        <f t="shared" si="132"/>
        <v>High Risk</v>
      </c>
      <c r="W902" t="str">
        <f t="shared" si="133"/>
        <v>Oct</v>
      </c>
      <c r="X902">
        <f t="shared" si="134"/>
        <v>2025</v>
      </c>
    </row>
    <row r="903" spans="1:24" x14ac:dyDescent="0.35">
      <c r="A903" s="3">
        <v>45999</v>
      </c>
      <c r="B903" t="s">
        <v>56</v>
      </c>
      <c r="C903" t="s">
        <v>109</v>
      </c>
      <c r="D903" t="s">
        <v>1049</v>
      </c>
      <c r="E903" t="s">
        <v>63</v>
      </c>
      <c r="F903" t="s">
        <v>48</v>
      </c>
      <c r="G903" t="s">
        <v>35</v>
      </c>
      <c r="H903">
        <v>77.099999999999994</v>
      </c>
      <c r="I903">
        <v>2665</v>
      </c>
      <c r="J903">
        <v>75</v>
      </c>
      <c r="K903">
        <v>20.8</v>
      </c>
      <c r="L903" t="s">
        <v>30</v>
      </c>
      <c r="M903">
        <v>39440.74</v>
      </c>
      <c r="N903">
        <v>24950</v>
      </c>
      <c r="O903" t="s">
        <v>91</v>
      </c>
      <c r="P903" t="str">
        <f t="shared" si="126"/>
        <v>Yes</v>
      </c>
      <c r="Q903">
        <f t="shared" si="127"/>
        <v>34.57</v>
      </c>
      <c r="R903">
        <f t="shared" si="128"/>
        <v>14.8</v>
      </c>
      <c r="S903">
        <f t="shared" si="129"/>
        <v>1.58</v>
      </c>
      <c r="T903" t="str">
        <f t="shared" si="130"/>
        <v>Delayed</v>
      </c>
      <c r="U903" t="str">
        <f t="shared" si="131"/>
        <v>High</v>
      </c>
      <c r="V903" t="str">
        <f t="shared" si="132"/>
        <v>Medium Risk</v>
      </c>
      <c r="W903" t="str">
        <f t="shared" si="133"/>
        <v>Dec</v>
      </c>
      <c r="X903">
        <f t="shared" si="134"/>
        <v>2025</v>
      </c>
    </row>
    <row r="904" spans="1:24" x14ac:dyDescent="0.35">
      <c r="A904" s="3">
        <v>45680</v>
      </c>
      <c r="B904" t="s">
        <v>104</v>
      </c>
      <c r="C904" t="s">
        <v>95</v>
      </c>
      <c r="D904" t="s">
        <v>1050</v>
      </c>
      <c r="E904" t="s">
        <v>63</v>
      </c>
      <c r="F904" t="s">
        <v>48</v>
      </c>
      <c r="G904" t="s">
        <v>35</v>
      </c>
      <c r="H904">
        <v>77.7</v>
      </c>
      <c r="I904">
        <v>4106</v>
      </c>
      <c r="J904">
        <v>96</v>
      </c>
      <c r="K904">
        <v>11.7</v>
      </c>
      <c r="L904" t="s">
        <v>30</v>
      </c>
      <c r="M904">
        <v>51958.89</v>
      </c>
      <c r="N904">
        <v>15491</v>
      </c>
      <c r="O904" t="s">
        <v>59</v>
      </c>
      <c r="P904" t="str">
        <f t="shared" si="126"/>
        <v>Yes</v>
      </c>
      <c r="Q904">
        <f t="shared" si="127"/>
        <v>52.84</v>
      </c>
      <c r="R904">
        <f t="shared" si="128"/>
        <v>12.65</v>
      </c>
      <c r="S904">
        <f t="shared" si="129"/>
        <v>3.35</v>
      </c>
      <c r="T904" t="str">
        <f t="shared" si="130"/>
        <v>Delayed</v>
      </c>
      <c r="U904" t="str">
        <f t="shared" si="131"/>
        <v>High</v>
      </c>
      <c r="V904" t="str">
        <f t="shared" si="132"/>
        <v>Medium Risk</v>
      </c>
      <c r="W904" t="str">
        <f t="shared" si="133"/>
        <v>Jan</v>
      </c>
      <c r="X904">
        <f t="shared" si="134"/>
        <v>2025</v>
      </c>
    </row>
    <row r="905" spans="1:24" x14ac:dyDescent="0.35">
      <c r="A905" s="3">
        <v>45915</v>
      </c>
      <c r="B905" t="s">
        <v>92</v>
      </c>
      <c r="C905" t="s">
        <v>57</v>
      </c>
      <c r="D905" t="s">
        <v>1051</v>
      </c>
      <c r="E905" t="s">
        <v>63</v>
      </c>
      <c r="F905" t="s">
        <v>48</v>
      </c>
      <c r="G905" t="s">
        <v>29</v>
      </c>
      <c r="H905">
        <v>35</v>
      </c>
      <c r="I905">
        <v>1770</v>
      </c>
      <c r="J905">
        <v>115</v>
      </c>
      <c r="K905">
        <v>13.2</v>
      </c>
      <c r="L905" t="s">
        <v>43</v>
      </c>
      <c r="M905">
        <v>16552.07</v>
      </c>
      <c r="N905">
        <v>7862</v>
      </c>
      <c r="O905" t="s">
        <v>59</v>
      </c>
      <c r="P905" t="str">
        <f t="shared" si="126"/>
        <v>Yes</v>
      </c>
      <c r="Q905">
        <f t="shared" si="127"/>
        <v>50.57</v>
      </c>
      <c r="R905">
        <f t="shared" si="128"/>
        <v>9.35</v>
      </c>
      <c r="S905">
        <f t="shared" si="129"/>
        <v>2.11</v>
      </c>
      <c r="T905" t="str">
        <f t="shared" si="130"/>
        <v>Delayed</v>
      </c>
      <c r="U905" t="str">
        <f t="shared" si="131"/>
        <v>Low</v>
      </c>
      <c r="V905" t="str">
        <f t="shared" si="132"/>
        <v>Low Risk</v>
      </c>
      <c r="W905" t="str">
        <f t="shared" si="133"/>
        <v>Sep</v>
      </c>
      <c r="X905">
        <f t="shared" si="134"/>
        <v>2025</v>
      </c>
    </row>
    <row r="906" spans="1:24" x14ac:dyDescent="0.35">
      <c r="A906" s="3">
        <v>45857</v>
      </c>
      <c r="B906" t="s">
        <v>250</v>
      </c>
      <c r="C906" t="s">
        <v>130</v>
      </c>
      <c r="D906" t="s">
        <v>1052</v>
      </c>
      <c r="E906" t="s">
        <v>66</v>
      </c>
      <c r="F906" t="s">
        <v>28</v>
      </c>
      <c r="G906" t="s">
        <v>42</v>
      </c>
      <c r="H906">
        <v>75.599999999999994</v>
      </c>
      <c r="I906">
        <v>4781</v>
      </c>
      <c r="J906">
        <v>56</v>
      </c>
      <c r="K906">
        <v>20.5</v>
      </c>
      <c r="L906" t="s">
        <v>78</v>
      </c>
      <c r="M906">
        <v>44588.62</v>
      </c>
      <c r="N906">
        <v>29048</v>
      </c>
      <c r="O906" t="s">
        <v>84</v>
      </c>
      <c r="P906" t="str">
        <f t="shared" si="126"/>
        <v>No</v>
      </c>
      <c r="Q906">
        <f t="shared" si="127"/>
        <v>63.24</v>
      </c>
      <c r="R906">
        <f t="shared" si="128"/>
        <v>9.33</v>
      </c>
      <c r="S906">
        <f t="shared" si="129"/>
        <v>1.53</v>
      </c>
      <c r="T906" t="str">
        <f t="shared" si="130"/>
        <v>On Time</v>
      </c>
      <c r="U906" t="str">
        <f t="shared" si="131"/>
        <v>High</v>
      </c>
      <c r="V906" t="str">
        <f t="shared" si="132"/>
        <v>Low Risk</v>
      </c>
      <c r="W906" t="str">
        <f t="shared" si="133"/>
        <v>Jul</v>
      </c>
      <c r="X906">
        <f t="shared" si="134"/>
        <v>2025</v>
      </c>
    </row>
    <row r="907" spans="1:24" x14ac:dyDescent="0.35">
      <c r="A907" s="3">
        <v>45667</v>
      </c>
      <c r="B907" t="s">
        <v>199</v>
      </c>
      <c r="C907" t="s">
        <v>69</v>
      </c>
      <c r="D907" t="s">
        <v>1053</v>
      </c>
      <c r="E907" t="s">
        <v>63</v>
      </c>
      <c r="F907" t="s">
        <v>27</v>
      </c>
      <c r="G907" t="s">
        <v>71</v>
      </c>
      <c r="H907">
        <v>63.8</v>
      </c>
      <c r="I907">
        <v>1371</v>
      </c>
      <c r="J907">
        <v>102</v>
      </c>
      <c r="K907">
        <v>13.9</v>
      </c>
      <c r="L907" t="s">
        <v>78</v>
      </c>
      <c r="M907">
        <v>39510.379999999997</v>
      </c>
      <c r="N907">
        <v>23500</v>
      </c>
      <c r="O907" t="s">
        <v>84</v>
      </c>
      <c r="P907" t="str">
        <f t="shared" si="126"/>
        <v>No</v>
      </c>
      <c r="Q907">
        <f t="shared" si="127"/>
        <v>21.49</v>
      </c>
      <c r="R907">
        <f t="shared" si="128"/>
        <v>28.82</v>
      </c>
      <c r="S907">
        <f t="shared" si="129"/>
        <v>1.68</v>
      </c>
      <c r="T907" t="str">
        <f t="shared" si="130"/>
        <v>On Time</v>
      </c>
      <c r="U907" t="str">
        <f t="shared" si="131"/>
        <v>High</v>
      </c>
      <c r="V907" t="str">
        <f t="shared" si="132"/>
        <v>Low Risk</v>
      </c>
      <c r="W907" t="str">
        <f t="shared" si="133"/>
        <v>Jan</v>
      </c>
      <c r="X907">
        <f t="shared" si="134"/>
        <v>2025</v>
      </c>
    </row>
    <row r="908" spans="1:24" x14ac:dyDescent="0.35">
      <c r="A908" s="3">
        <v>45820</v>
      </c>
      <c r="B908" t="s">
        <v>250</v>
      </c>
      <c r="C908" t="s">
        <v>95</v>
      </c>
      <c r="D908" t="s">
        <v>1054</v>
      </c>
      <c r="E908" t="s">
        <v>41</v>
      </c>
      <c r="F908" t="s">
        <v>55</v>
      </c>
      <c r="G908" t="s">
        <v>71</v>
      </c>
      <c r="H908">
        <v>67.2</v>
      </c>
      <c r="I908">
        <v>4932</v>
      </c>
      <c r="J908">
        <v>52</v>
      </c>
      <c r="K908">
        <v>17</v>
      </c>
      <c r="L908" t="s">
        <v>30</v>
      </c>
      <c r="M908">
        <v>35859.08</v>
      </c>
      <c r="N908">
        <v>18152</v>
      </c>
      <c r="O908" t="s">
        <v>91</v>
      </c>
      <c r="P908" t="str">
        <f t="shared" si="126"/>
        <v>Yes</v>
      </c>
      <c r="Q908">
        <f t="shared" si="127"/>
        <v>73.39</v>
      </c>
      <c r="R908">
        <f t="shared" si="128"/>
        <v>7.27</v>
      </c>
      <c r="S908">
        <f t="shared" si="129"/>
        <v>1.98</v>
      </c>
      <c r="T908" t="str">
        <f t="shared" si="130"/>
        <v>Delayed</v>
      </c>
      <c r="U908" t="str">
        <f t="shared" si="131"/>
        <v>High</v>
      </c>
      <c r="V908" t="str">
        <f t="shared" si="132"/>
        <v>Medium Risk</v>
      </c>
      <c r="W908" t="str">
        <f t="shared" si="133"/>
        <v>Jun</v>
      </c>
      <c r="X908">
        <f t="shared" si="134"/>
        <v>2025</v>
      </c>
    </row>
    <row r="909" spans="1:24" x14ac:dyDescent="0.35">
      <c r="A909" s="3">
        <v>45744</v>
      </c>
      <c r="B909" t="s">
        <v>417</v>
      </c>
      <c r="C909" t="s">
        <v>25</v>
      </c>
      <c r="D909" t="s">
        <v>1055</v>
      </c>
      <c r="E909" t="s">
        <v>66</v>
      </c>
      <c r="F909" t="s">
        <v>54</v>
      </c>
      <c r="G909" t="s">
        <v>29</v>
      </c>
      <c r="H909">
        <v>32.5</v>
      </c>
      <c r="I909">
        <v>769</v>
      </c>
      <c r="J909">
        <v>89</v>
      </c>
      <c r="K909">
        <v>16.100000000000001</v>
      </c>
      <c r="L909" t="s">
        <v>78</v>
      </c>
      <c r="M909">
        <v>17940.400000000001</v>
      </c>
      <c r="N909">
        <v>15917</v>
      </c>
      <c r="O909" t="s">
        <v>91</v>
      </c>
      <c r="P909" t="str">
        <f t="shared" si="126"/>
        <v>No</v>
      </c>
      <c r="Q909">
        <f t="shared" si="127"/>
        <v>23.66</v>
      </c>
      <c r="R909">
        <f t="shared" si="128"/>
        <v>23.33</v>
      </c>
      <c r="S909">
        <f t="shared" si="129"/>
        <v>1.1299999999999999</v>
      </c>
      <c r="T909" t="str">
        <f t="shared" si="130"/>
        <v>On Time</v>
      </c>
      <c r="U909" t="str">
        <f t="shared" si="131"/>
        <v>Low</v>
      </c>
      <c r="V909" t="str">
        <f t="shared" si="132"/>
        <v>Low Risk</v>
      </c>
      <c r="W909" t="str">
        <f t="shared" si="133"/>
        <v>Mar</v>
      </c>
      <c r="X909">
        <f t="shared" si="134"/>
        <v>2025</v>
      </c>
    </row>
    <row r="910" spans="1:24" x14ac:dyDescent="0.35">
      <c r="A910" s="3">
        <v>45960</v>
      </c>
      <c r="B910" t="s">
        <v>38</v>
      </c>
      <c r="C910" t="s">
        <v>69</v>
      </c>
      <c r="D910" t="s">
        <v>1056</v>
      </c>
      <c r="E910" t="s">
        <v>54</v>
      </c>
      <c r="F910" t="s">
        <v>28</v>
      </c>
      <c r="G910" t="s">
        <v>29</v>
      </c>
      <c r="H910">
        <v>66.2</v>
      </c>
      <c r="I910">
        <v>1430</v>
      </c>
      <c r="J910">
        <v>87</v>
      </c>
      <c r="K910">
        <v>11.5</v>
      </c>
      <c r="L910" t="s">
        <v>49</v>
      </c>
      <c r="M910">
        <v>31388.25</v>
      </c>
      <c r="N910">
        <v>8865</v>
      </c>
      <c r="O910" t="s">
        <v>44</v>
      </c>
      <c r="P910" t="str">
        <f t="shared" si="126"/>
        <v>Yes</v>
      </c>
      <c r="Q910">
        <f t="shared" si="127"/>
        <v>21.6</v>
      </c>
      <c r="R910">
        <f t="shared" si="128"/>
        <v>21.95</v>
      </c>
      <c r="S910">
        <f t="shared" si="129"/>
        <v>3.54</v>
      </c>
      <c r="T910" t="str">
        <f t="shared" si="130"/>
        <v>Delayed</v>
      </c>
      <c r="U910" t="str">
        <f t="shared" si="131"/>
        <v>High</v>
      </c>
      <c r="V910" t="str">
        <f t="shared" si="132"/>
        <v>High Risk</v>
      </c>
      <c r="W910" t="str">
        <f t="shared" si="133"/>
        <v>Oct</v>
      </c>
      <c r="X910">
        <f t="shared" si="134"/>
        <v>2025</v>
      </c>
    </row>
    <row r="911" spans="1:24" x14ac:dyDescent="0.35">
      <c r="A911" s="3">
        <v>45973</v>
      </c>
      <c r="B911" t="s">
        <v>217</v>
      </c>
      <c r="C911" t="s">
        <v>52</v>
      </c>
      <c r="D911" t="s">
        <v>1057</v>
      </c>
      <c r="E911" t="s">
        <v>27</v>
      </c>
      <c r="F911" t="s">
        <v>63</v>
      </c>
      <c r="G911" t="s">
        <v>35</v>
      </c>
      <c r="H911">
        <v>71</v>
      </c>
      <c r="I911">
        <v>766</v>
      </c>
      <c r="J911">
        <v>27</v>
      </c>
      <c r="K911">
        <v>10.5</v>
      </c>
      <c r="L911" t="s">
        <v>43</v>
      </c>
      <c r="M911">
        <v>34592.25</v>
      </c>
      <c r="N911">
        <v>21841</v>
      </c>
      <c r="O911" t="s">
        <v>31</v>
      </c>
      <c r="P911" t="str">
        <f t="shared" si="126"/>
        <v>Yes</v>
      </c>
      <c r="Q911">
        <f t="shared" si="127"/>
        <v>10.79</v>
      </c>
      <c r="R911">
        <f t="shared" si="128"/>
        <v>45.16</v>
      </c>
      <c r="S911">
        <f t="shared" si="129"/>
        <v>1.58</v>
      </c>
      <c r="T911" t="str">
        <f t="shared" si="130"/>
        <v>Delayed</v>
      </c>
      <c r="U911" t="str">
        <f t="shared" si="131"/>
        <v>High</v>
      </c>
      <c r="V911" t="str">
        <f t="shared" si="132"/>
        <v>Low Risk</v>
      </c>
      <c r="W911" t="str">
        <f t="shared" si="133"/>
        <v>Nov</v>
      </c>
      <c r="X911">
        <f t="shared" si="134"/>
        <v>2025</v>
      </c>
    </row>
    <row r="912" spans="1:24" x14ac:dyDescent="0.35">
      <c r="A912" s="3">
        <v>45790</v>
      </c>
      <c r="B912" t="s">
        <v>171</v>
      </c>
      <c r="C912" t="s">
        <v>95</v>
      </c>
      <c r="D912" t="s">
        <v>1058</v>
      </c>
      <c r="E912" t="s">
        <v>27</v>
      </c>
      <c r="F912" t="s">
        <v>48</v>
      </c>
      <c r="G912" t="s">
        <v>29</v>
      </c>
      <c r="H912">
        <v>63.2</v>
      </c>
      <c r="I912">
        <v>4201</v>
      </c>
      <c r="J912">
        <v>58</v>
      </c>
      <c r="K912">
        <v>20.8</v>
      </c>
      <c r="L912" t="s">
        <v>30</v>
      </c>
      <c r="M912">
        <v>42805.67</v>
      </c>
      <c r="N912">
        <v>17897</v>
      </c>
      <c r="O912" t="s">
        <v>91</v>
      </c>
      <c r="P912" t="str">
        <f t="shared" si="126"/>
        <v>Yes</v>
      </c>
      <c r="Q912">
        <f t="shared" si="127"/>
        <v>66.47</v>
      </c>
      <c r="R912">
        <f t="shared" si="128"/>
        <v>10.19</v>
      </c>
      <c r="S912">
        <f t="shared" si="129"/>
        <v>2.39</v>
      </c>
      <c r="T912" t="str">
        <f t="shared" si="130"/>
        <v>Delayed</v>
      </c>
      <c r="U912" t="str">
        <f t="shared" si="131"/>
        <v>High</v>
      </c>
      <c r="V912" t="str">
        <f t="shared" si="132"/>
        <v>Medium Risk</v>
      </c>
      <c r="W912" t="str">
        <f t="shared" si="133"/>
        <v>May</v>
      </c>
      <c r="X912">
        <f t="shared" si="134"/>
        <v>2025</v>
      </c>
    </row>
    <row r="913" spans="1:24" x14ac:dyDescent="0.35">
      <c r="A913" s="3">
        <v>45859</v>
      </c>
      <c r="B913" t="s">
        <v>250</v>
      </c>
      <c r="C913" t="s">
        <v>39</v>
      </c>
      <c r="D913" t="s">
        <v>1059</v>
      </c>
      <c r="E913" t="s">
        <v>55</v>
      </c>
      <c r="F913" t="s">
        <v>28</v>
      </c>
      <c r="G913" t="s">
        <v>29</v>
      </c>
      <c r="H913">
        <v>43.9</v>
      </c>
      <c r="I913">
        <v>3393</v>
      </c>
      <c r="J913">
        <v>55</v>
      </c>
      <c r="K913">
        <v>22</v>
      </c>
      <c r="L913" t="s">
        <v>43</v>
      </c>
      <c r="M913">
        <v>21280.41</v>
      </c>
      <c r="N913">
        <v>21453</v>
      </c>
      <c r="O913" t="s">
        <v>84</v>
      </c>
      <c r="P913" t="str">
        <f t="shared" si="126"/>
        <v>Yes</v>
      </c>
      <c r="Q913">
        <f t="shared" si="127"/>
        <v>77.290000000000006</v>
      </c>
      <c r="R913">
        <f t="shared" si="128"/>
        <v>6.27</v>
      </c>
      <c r="S913">
        <f t="shared" si="129"/>
        <v>0.99</v>
      </c>
      <c r="T913" t="str">
        <f t="shared" si="130"/>
        <v>Delayed</v>
      </c>
      <c r="U913" t="str">
        <f t="shared" si="131"/>
        <v>Medium</v>
      </c>
      <c r="V913" t="str">
        <f t="shared" si="132"/>
        <v>Low Risk</v>
      </c>
      <c r="W913" t="str">
        <f t="shared" si="133"/>
        <v>Jul</v>
      </c>
      <c r="X913">
        <f t="shared" si="134"/>
        <v>2025</v>
      </c>
    </row>
    <row r="914" spans="1:24" x14ac:dyDescent="0.35">
      <c r="A914" s="3">
        <v>45771</v>
      </c>
      <c r="B914" t="s">
        <v>24</v>
      </c>
      <c r="C914" t="s">
        <v>52</v>
      </c>
      <c r="D914" t="s">
        <v>1060</v>
      </c>
      <c r="E914" t="s">
        <v>27</v>
      </c>
      <c r="F914" t="s">
        <v>41</v>
      </c>
      <c r="G914" t="s">
        <v>29</v>
      </c>
      <c r="H914">
        <v>43.3</v>
      </c>
      <c r="I914">
        <v>1010</v>
      </c>
      <c r="J914">
        <v>29</v>
      </c>
      <c r="K914">
        <v>11.4</v>
      </c>
      <c r="L914" t="s">
        <v>49</v>
      </c>
      <c r="M914">
        <v>25373.29</v>
      </c>
      <c r="N914">
        <v>26125</v>
      </c>
      <c r="O914" t="s">
        <v>59</v>
      </c>
      <c r="P914" t="str">
        <f t="shared" si="126"/>
        <v>Yes</v>
      </c>
      <c r="Q914">
        <f t="shared" si="127"/>
        <v>23.33</v>
      </c>
      <c r="R914">
        <f t="shared" si="128"/>
        <v>25.12</v>
      </c>
      <c r="S914">
        <f t="shared" si="129"/>
        <v>0.97</v>
      </c>
      <c r="T914" t="str">
        <f t="shared" si="130"/>
        <v>Delayed</v>
      </c>
      <c r="U914" t="str">
        <f t="shared" si="131"/>
        <v>Medium</v>
      </c>
      <c r="V914" t="str">
        <f t="shared" si="132"/>
        <v>High Risk</v>
      </c>
      <c r="W914" t="str">
        <f t="shared" si="133"/>
        <v>Apr</v>
      </c>
      <c r="X914">
        <f t="shared" si="134"/>
        <v>2025</v>
      </c>
    </row>
    <row r="915" spans="1:24" x14ac:dyDescent="0.35">
      <c r="A915" s="3">
        <v>46010</v>
      </c>
      <c r="B915" t="s">
        <v>120</v>
      </c>
      <c r="C915" t="s">
        <v>130</v>
      </c>
      <c r="D915" t="s">
        <v>1061</v>
      </c>
      <c r="E915" t="s">
        <v>66</v>
      </c>
      <c r="F915" t="s">
        <v>41</v>
      </c>
      <c r="G915" t="s">
        <v>35</v>
      </c>
      <c r="H915">
        <v>79.5</v>
      </c>
      <c r="I915">
        <v>1942</v>
      </c>
      <c r="J915">
        <v>99</v>
      </c>
      <c r="K915">
        <v>14.6</v>
      </c>
      <c r="L915" t="s">
        <v>78</v>
      </c>
      <c r="M915">
        <v>40450.629999999997</v>
      </c>
      <c r="N915">
        <v>28264</v>
      </c>
      <c r="O915" t="s">
        <v>31</v>
      </c>
      <c r="P915" t="str">
        <f t="shared" si="126"/>
        <v>No</v>
      </c>
      <c r="Q915">
        <f t="shared" si="127"/>
        <v>24.43</v>
      </c>
      <c r="R915">
        <f t="shared" si="128"/>
        <v>20.83</v>
      </c>
      <c r="S915">
        <f t="shared" si="129"/>
        <v>1.43</v>
      </c>
      <c r="T915" t="str">
        <f t="shared" si="130"/>
        <v>On Time</v>
      </c>
      <c r="U915" t="str">
        <f t="shared" si="131"/>
        <v>High</v>
      </c>
      <c r="V915" t="str">
        <f t="shared" si="132"/>
        <v>Low Risk</v>
      </c>
      <c r="W915" t="str">
        <f t="shared" si="133"/>
        <v>Dec</v>
      </c>
      <c r="X915">
        <f t="shared" si="134"/>
        <v>2025</v>
      </c>
    </row>
    <row r="916" spans="1:24" x14ac:dyDescent="0.35">
      <c r="A916" s="3">
        <v>45706</v>
      </c>
      <c r="B916" t="s">
        <v>125</v>
      </c>
      <c r="C916" t="s">
        <v>95</v>
      </c>
      <c r="D916" t="s">
        <v>1062</v>
      </c>
      <c r="E916" t="s">
        <v>41</v>
      </c>
      <c r="F916" t="s">
        <v>54</v>
      </c>
      <c r="G916" t="s">
        <v>42</v>
      </c>
      <c r="H916">
        <v>54.9</v>
      </c>
      <c r="I916">
        <v>1158</v>
      </c>
      <c r="J916">
        <v>78</v>
      </c>
      <c r="K916">
        <v>15</v>
      </c>
      <c r="L916" t="s">
        <v>30</v>
      </c>
      <c r="M916">
        <v>29855.35</v>
      </c>
      <c r="N916">
        <v>6340</v>
      </c>
      <c r="O916" t="s">
        <v>50</v>
      </c>
      <c r="P916" t="str">
        <f t="shared" si="126"/>
        <v>Yes</v>
      </c>
      <c r="Q916">
        <f t="shared" si="127"/>
        <v>21.09</v>
      </c>
      <c r="R916">
        <f t="shared" si="128"/>
        <v>25.78</v>
      </c>
      <c r="S916">
        <f t="shared" si="129"/>
        <v>4.71</v>
      </c>
      <c r="T916" t="str">
        <f t="shared" si="130"/>
        <v>Delayed</v>
      </c>
      <c r="U916" t="str">
        <f t="shared" si="131"/>
        <v>Medium</v>
      </c>
      <c r="V916" t="str">
        <f t="shared" si="132"/>
        <v>Medium Risk</v>
      </c>
      <c r="W916" t="str">
        <f t="shared" si="133"/>
        <v>Feb</v>
      </c>
      <c r="X916">
        <f t="shared" si="134"/>
        <v>2025</v>
      </c>
    </row>
    <row r="917" spans="1:24" x14ac:dyDescent="0.35">
      <c r="A917" s="3">
        <v>45768</v>
      </c>
      <c r="B917" t="s">
        <v>256</v>
      </c>
      <c r="C917" t="s">
        <v>39</v>
      </c>
      <c r="D917" t="s">
        <v>1063</v>
      </c>
      <c r="E917" t="s">
        <v>66</v>
      </c>
      <c r="F917" t="s">
        <v>48</v>
      </c>
      <c r="G917" t="s">
        <v>42</v>
      </c>
      <c r="H917">
        <v>59.1</v>
      </c>
      <c r="I917">
        <v>3480</v>
      </c>
      <c r="J917">
        <v>86</v>
      </c>
      <c r="K917">
        <v>13.5</v>
      </c>
      <c r="L917" t="s">
        <v>49</v>
      </c>
      <c r="M917">
        <v>28455.9</v>
      </c>
      <c r="N917">
        <v>13765</v>
      </c>
      <c r="O917" t="s">
        <v>91</v>
      </c>
      <c r="P917" t="str">
        <f t="shared" si="126"/>
        <v>Yes</v>
      </c>
      <c r="Q917">
        <f t="shared" si="127"/>
        <v>58.88</v>
      </c>
      <c r="R917">
        <f t="shared" si="128"/>
        <v>8.18</v>
      </c>
      <c r="S917">
        <f t="shared" si="129"/>
        <v>2.0699999999999998</v>
      </c>
      <c r="T917" t="str">
        <f t="shared" si="130"/>
        <v>Delayed</v>
      </c>
      <c r="U917" t="str">
        <f t="shared" si="131"/>
        <v>Medium</v>
      </c>
      <c r="V917" t="str">
        <f t="shared" si="132"/>
        <v>High Risk</v>
      </c>
      <c r="W917" t="str">
        <f t="shared" si="133"/>
        <v>Apr</v>
      </c>
      <c r="X917">
        <f t="shared" si="134"/>
        <v>2025</v>
      </c>
    </row>
    <row r="918" spans="1:24" x14ac:dyDescent="0.35">
      <c r="A918" s="3">
        <v>45663</v>
      </c>
      <c r="B918" t="s">
        <v>195</v>
      </c>
      <c r="C918" t="s">
        <v>25</v>
      </c>
      <c r="D918" t="s">
        <v>1064</v>
      </c>
      <c r="E918" t="s">
        <v>63</v>
      </c>
      <c r="F918" t="s">
        <v>55</v>
      </c>
      <c r="G918" t="s">
        <v>35</v>
      </c>
      <c r="H918">
        <v>75</v>
      </c>
      <c r="I918">
        <v>2743</v>
      </c>
      <c r="J918">
        <v>37</v>
      </c>
      <c r="K918">
        <v>19.100000000000001</v>
      </c>
      <c r="L918" t="s">
        <v>78</v>
      </c>
      <c r="M918">
        <v>38659.370000000003</v>
      </c>
      <c r="N918">
        <v>20323</v>
      </c>
      <c r="O918" t="s">
        <v>91</v>
      </c>
      <c r="P918" t="str">
        <f t="shared" si="126"/>
        <v>No</v>
      </c>
      <c r="Q918">
        <f t="shared" si="127"/>
        <v>36.57</v>
      </c>
      <c r="R918">
        <f t="shared" si="128"/>
        <v>14.09</v>
      </c>
      <c r="S918">
        <f t="shared" si="129"/>
        <v>1.9</v>
      </c>
      <c r="T918" t="str">
        <f t="shared" si="130"/>
        <v>On Time</v>
      </c>
      <c r="U918" t="str">
        <f t="shared" si="131"/>
        <v>High</v>
      </c>
      <c r="V918" t="str">
        <f t="shared" si="132"/>
        <v>Low Risk</v>
      </c>
      <c r="W918" t="str">
        <f t="shared" si="133"/>
        <v>Jan</v>
      </c>
      <c r="X918">
        <f t="shared" si="134"/>
        <v>2025</v>
      </c>
    </row>
    <row r="919" spans="1:24" x14ac:dyDescent="0.35">
      <c r="A919" s="3">
        <v>45864</v>
      </c>
      <c r="B919" t="s">
        <v>92</v>
      </c>
      <c r="C919" t="s">
        <v>57</v>
      </c>
      <c r="D919" t="s">
        <v>1065</v>
      </c>
      <c r="E919" t="s">
        <v>63</v>
      </c>
      <c r="F919" t="s">
        <v>54</v>
      </c>
      <c r="G919" t="s">
        <v>35</v>
      </c>
      <c r="H919">
        <v>28</v>
      </c>
      <c r="I919">
        <v>3510</v>
      </c>
      <c r="J919">
        <v>62</v>
      </c>
      <c r="K919">
        <v>12.9</v>
      </c>
      <c r="L919" t="s">
        <v>49</v>
      </c>
      <c r="M919">
        <v>14850.56</v>
      </c>
      <c r="N919">
        <v>28517</v>
      </c>
      <c r="O919" t="s">
        <v>59</v>
      </c>
      <c r="P919" t="str">
        <f t="shared" si="126"/>
        <v>Yes</v>
      </c>
      <c r="Q919">
        <f t="shared" si="127"/>
        <v>125.36</v>
      </c>
      <c r="R919">
        <f t="shared" si="128"/>
        <v>4.2300000000000004</v>
      </c>
      <c r="S919">
        <f t="shared" si="129"/>
        <v>0.52</v>
      </c>
      <c r="T919" t="str">
        <f t="shared" si="130"/>
        <v>Delayed</v>
      </c>
      <c r="U919" t="str">
        <f t="shared" si="131"/>
        <v>Low</v>
      </c>
      <c r="V919" t="str">
        <f t="shared" si="132"/>
        <v>High Risk</v>
      </c>
      <c r="W919" t="str">
        <f t="shared" si="133"/>
        <v>Jul</v>
      </c>
      <c r="X919">
        <f t="shared" si="134"/>
        <v>2025</v>
      </c>
    </row>
    <row r="920" spans="1:24" x14ac:dyDescent="0.35">
      <c r="A920" s="3">
        <v>45728</v>
      </c>
      <c r="B920" t="s">
        <v>120</v>
      </c>
      <c r="C920" t="s">
        <v>39</v>
      </c>
      <c r="D920" t="s">
        <v>1066</v>
      </c>
      <c r="E920" t="s">
        <v>41</v>
      </c>
      <c r="F920" t="s">
        <v>27</v>
      </c>
      <c r="G920" t="s">
        <v>29</v>
      </c>
      <c r="H920">
        <v>32.200000000000003</v>
      </c>
      <c r="I920">
        <v>3076</v>
      </c>
      <c r="J920">
        <v>48</v>
      </c>
      <c r="K920">
        <v>16.899999999999999</v>
      </c>
      <c r="L920" t="s">
        <v>30</v>
      </c>
      <c r="M920">
        <v>18581.169999999998</v>
      </c>
      <c r="N920">
        <v>7628</v>
      </c>
      <c r="O920" t="s">
        <v>84</v>
      </c>
      <c r="P920" t="str">
        <f t="shared" si="126"/>
        <v>Yes</v>
      </c>
      <c r="Q920">
        <f t="shared" si="127"/>
        <v>95.53</v>
      </c>
      <c r="R920">
        <f t="shared" si="128"/>
        <v>6.04</v>
      </c>
      <c r="S920">
        <f t="shared" si="129"/>
        <v>2.44</v>
      </c>
      <c r="T920" t="str">
        <f t="shared" si="130"/>
        <v>Delayed</v>
      </c>
      <c r="U920" t="str">
        <f t="shared" si="131"/>
        <v>Low</v>
      </c>
      <c r="V920" t="str">
        <f t="shared" si="132"/>
        <v>Medium Risk</v>
      </c>
      <c r="W920" t="str">
        <f t="shared" si="133"/>
        <v>Mar</v>
      </c>
      <c r="X920">
        <f t="shared" si="134"/>
        <v>2025</v>
      </c>
    </row>
    <row r="921" spans="1:24" x14ac:dyDescent="0.35">
      <c r="A921" s="3">
        <v>45930</v>
      </c>
      <c r="B921" t="s">
        <v>61</v>
      </c>
      <c r="C921" t="s">
        <v>52</v>
      </c>
      <c r="D921" t="s">
        <v>1067</v>
      </c>
      <c r="E921" t="s">
        <v>27</v>
      </c>
      <c r="F921" t="s">
        <v>41</v>
      </c>
      <c r="G921" t="s">
        <v>42</v>
      </c>
      <c r="H921">
        <v>46.4</v>
      </c>
      <c r="I921">
        <v>4767</v>
      </c>
      <c r="J921">
        <v>96</v>
      </c>
      <c r="K921">
        <v>18.600000000000001</v>
      </c>
      <c r="L921" t="s">
        <v>78</v>
      </c>
      <c r="M921">
        <v>27391.51</v>
      </c>
      <c r="N921">
        <v>24101</v>
      </c>
      <c r="O921" t="s">
        <v>84</v>
      </c>
      <c r="P921" t="str">
        <f t="shared" si="126"/>
        <v>No</v>
      </c>
      <c r="Q921">
        <f t="shared" si="127"/>
        <v>102.74</v>
      </c>
      <c r="R921">
        <f t="shared" si="128"/>
        <v>5.75</v>
      </c>
      <c r="S921">
        <f t="shared" si="129"/>
        <v>1.1399999999999999</v>
      </c>
      <c r="T921" t="str">
        <f t="shared" si="130"/>
        <v>On Time</v>
      </c>
      <c r="U921" t="str">
        <f t="shared" si="131"/>
        <v>Medium</v>
      </c>
      <c r="V921" t="str">
        <f t="shared" si="132"/>
        <v>Low Risk</v>
      </c>
      <c r="W921" t="str">
        <f t="shared" si="133"/>
        <v>Sep</v>
      </c>
      <c r="X921">
        <f t="shared" si="134"/>
        <v>2025</v>
      </c>
    </row>
    <row r="922" spans="1:24" x14ac:dyDescent="0.35">
      <c r="A922" s="3">
        <v>45779</v>
      </c>
      <c r="B922" t="s">
        <v>193</v>
      </c>
      <c r="C922" t="s">
        <v>69</v>
      </c>
      <c r="D922" t="s">
        <v>1068</v>
      </c>
      <c r="E922" t="s">
        <v>27</v>
      </c>
      <c r="F922" t="s">
        <v>48</v>
      </c>
      <c r="G922" t="s">
        <v>71</v>
      </c>
      <c r="H922">
        <v>30.7</v>
      </c>
      <c r="I922">
        <v>1823</v>
      </c>
      <c r="J922">
        <v>111</v>
      </c>
      <c r="K922">
        <v>11</v>
      </c>
      <c r="L922" t="s">
        <v>49</v>
      </c>
      <c r="M922">
        <v>13864.53</v>
      </c>
      <c r="N922">
        <v>14952</v>
      </c>
      <c r="O922" t="s">
        <v>44</v>
      </c>
      <c r="P922" t="str">
        <f t="shared" si="126"/>
        <v>Yes</v>
      </c>
      <c r="Q922">
        <f t="shared" si="127"/>
        <v>59.38</v>
      </c>
      <c r="R922">
        <f t="shared" si="128"/>
        <v>7.61</v>
      </c>
      <c r="S922">
        <f t="shared" si="129"/>
        <v>0.93</v>
      </c>
      <c r="T922" t="str">
        <f t="shared" si="130"/>
        <v>Delayed</v>
      </c>
      <c r="U922" t="str">
        <f t="shared" si="131"/>
        <v>Low</v>
      </c>
      <c r="V922" t="str">
        <f t="shared" si="132"/>
        <v>High Risk</v>
      </c>
      <c r="W922" t="str">
        <f t="shared" si="133"/>
        <v>May</v>
      </c>
      <c r="X922">
        <f t="shared" si="134"/>
        <v>2025</v>
      </c>
    </row>
    <row r="923" spans="1:24" x14ac:dyDescent="0.35">
      <c r="A923" s="3">
        <v>45760</v>
      </c>
      <c r="B923" t="s">
        <v>76</v>
      </c>
      <c r="C923" t="s">
        <v>39</v>
      </c>
      <c r="D923" t="s">
        <v>1069</v>
      </c>
      <c r="E923" t="s">
        <v>28</v>
      </c>
      <c r="F923" t="s">
        <v>66</v>
      </c>
      <c r="G923" t="s">
        <v>71</v>
      </c>
      <c r="H923">
        <v>79.3</v>
      </c>
      <c r="I923">
        <v>4366</v>
      </c>
      <c r="J923">
        <v>54</v>
      </c>
      <c r="K923">
        <v>10.1</v>
      </c>
      <c r="L923" t="s">
        <v>43</v>
      </c>
      <c r="M923">
        <v>55026.400000000001</v>
      </c>
      <c r="N923">
        <v>7461</v>
      </c>
      <c r="O923" t="s">
        <v>44</v>
      </c>
      <c r="P923" t="str">
        <f t="shared" si="126"/>
        <v>Yes</v>
      </c>
      <c r="Q923">
        <f t="shared" si="127"/>
        <v>55.06</v>
      </c>
      <c r="R923">
        <f t="shared" si="128"/>
        <v>12.6</v>
      </c>
      <c r="S923">
        <f t="shared" si="129"/>
        <v>7.38</v>
      </c>
      <c r="T923" t="str">
        <f t="shared" si="130"/>
        <v>Delayed</v>
      </c>
      <c r="U923" t="str">
        <f t="shared" si="131"/>
        <v>High</v>
      </c>
      <c r="V923" t="str">
        <f t="shared" si="132"/>
        <v>Low Risk</v>
      </c>
      <c r="W923" t="str">
        <f t="shared" si="133"/>
        <v>Apr</v>
      </c>
      <c r="X923">
        <f t="shared" si="134"/>
        <v>2025</v>
      </c>
    </row>
    <row r="924" spans="1:24" x14ac:dyDescent="0.35">
      <c r="A924" s="3">
        <v>45778</v>
      </c>
      <c r="B924" t="s">
        <v>46</v>
      </c>
      <c r="C924" t="s">
        <v>109</v>
      </c>
      <c r="D924" t="s">
        <v>1070</v>
      </c>
      <c r="E924" t="s">
        <v>48</v>
      </c>
      <c r="F924" t="s">
        <v>66</v>
      </c>
      <c r="G924" t="s">
        <v>35</v>
      </c>
      <c r="H924">
        <v>62.7</v>
      </c>
      <c r="I924">
        <v>4906</v>
      </c>
      <c r="J924">
        <v>21</v>
      </c>
      <c r="K924">
        <v>15.3</v>
      </c>
      <c r="L924" t="s">
        <v>49</v>
      </c>
      <c r="M924">
        <v>33758.49</v>
      </c>
      <c r="N924">
        <v>26452</v>
      </c>
      <c r="O924" t="s">
        <v>84</v>
      </c>
      <c r="P924" t="str">
        <f t="shared" si="126"/>
        <v>Yes</v>
      </c>
      <c r="Q924">
        <f t="shared" si="127"/>
        <v>78.25</v>
      </c>
      <c r="R924">
        <f t="shared" si="128"/>
        <v>6.88</v>
      </c>
      <c r="S924">
        <f t="shared" si="129"/>
        <v>1.28</v>
      </c>
      <c r="T924" t="str">
        <f t="shared" si="130"/>
        <v>Delayed</v>
      </c>
      <c r="U924" t="str">
        <f t="shared" si="131"/>
        <v>High</v>
      </c>
      <c r="V924" t="str">
        <f t="shared" si="132"/>
        <v>High Risk</v>
      </c>
      <c r="W924" t="str">
        <f t="shared" si="133"/>
        <v>May</v>
      </c>
      <c r="X924">
        <f t="shared" si="134"/>
        <v>2025</v>
      </c>
    </row>
    <row r="925" spans="1:24" x14ac:dyDescent="0.35">
      <c r="A925" s="3">
        <v>45866</v>
      </c>
      <c r="B925" t="s">
        <v>92</v>
      </c>
      <c r="C925" t="s">
        <v>69</v>
      </c>
      <c r="D925" t="s">
        <v>1071</v>
      </c>
      <c r="E925" t="s">
        <v>55</v>
      </c>
      <c r="F925" t="s">
        <v>54</v>
      </c>
      <c r="G925" t="s">
        <v>71</v>
      </c>
      <c r="H925">
        <v>54.1</v>
      </c>
      <c r="I925">
        <v>1086</v>
      </c>
      <c r="J925">
        <v>60</v>
      </c>
      <c r="K925">
        <v>18.600000000000001</v>
      </c>
      <c r="L925" t="s">
        <v>78</v>
      </c>
      <c r="M925">
        <v>35629.08</v>
      </c>
      <c r="N925">
        <v>9684</v>
      </c>
      <c r="O925" t="s">
        <v>44</v>
      </c>
      <c r="P925" t="str">
        <f t="shared" si="126"/>
        <v>No</v>
      </c>
      <c r="Q925">
        <f t="shared" si="127"/>
        <v>20.07</v>
      </c>
      <c r="R925">
        <f t="shared" si="128"/>
        <v>32.81</v>
      </c>
      <c r="S925">
        <f t="shared" si="129"/>
        <v>3.68</v>
      </c>
      <c r="T925" t="str">
        <f t="shared" si="130"/>
        <v>On Time</v>
      </c>
      <c r="U925" t="str">
        <f t="shared" si="131"/>
        <v>Medium</v>
      </c>
      <c r="V925" t="str">
        <f t="shared" si="132"/>
        <v>Low Risk</v>
      </c>
      <c r="W925" t="str">
        <f t="shared" si="133"/>
        <v>Jul</v>
      </c>
      <c r="X925">
        <f t="shared" si="134"/>
        <v>2025</v>
      </c>
    </row>
    <row r="926" spans="1:24" x14ac:dyDescent="0.35">
      <c r="A926" s="3">
        <v>45867</v>
      </c>
      <c r="B926" t="s">
        <v>68</v>
      </c>
      <c r="C926" t="s">
        <v>109</v>
      </c>
      <c r="D926" t="s">
        <v>1072</v>
      </c>
      <c r="E926" t="s">
        <v>55</v>
      </c>
      <c r="F926" t="s">
        <v>41</v>
      </c>
      <c r="G926" t="s">
        <v>42</v>
      </c>
      <c r="H926">
        <v>73.3</v>
      </c>
      <c r="I926">
        <v>955</v>
      </c>
      <c r="J926">
        <v>83</v>
      </c>
      <c r="K926">
        <v>17.5</v>
      </c>
      <c r="L926" t="s">
        <v>49</v>
      </c>
      <c r="M926">
        <v>42928.7</v>
      </c>
      <c r="N926">
        <v>27233</v>
      </c>
      <c r="O926" t="s">
        <v>44</v>
      </c>
      <c r="P926" t="str">
        <f t="shared" si="126"/>
        <v>Yes</v>
      </c>
      <c r="Q926">
        <f t="shared" si="127"/>
        <v>13.03</v>
      </c>
      <c r="R926">
        <f t="shared" si="128"/>
        <v>44.95</v>
      </c>
      <c r="S926">
        <f t="shared" si="129"/>
        <v>1.58</v>
      </c>
      <c r="T926" t="str">
        <f t="shared" si="130"/>
        <v>Delayed</v>
      </c>
      <c r="U926" t="str">
        <f t="shared" si="131"/>
        <v>High</v>
      </c>
      <c r="V926" t="str">
        <f t="shared" si="132"/>
        <v>High Risk</v>
      </c>
      <c r="W926" t="str">
        <f t="shared" si="133"/>
        <v>Jul</v>
      </c>
      <c r="X926">
        <f t="shared" si="134"/>
        <v>2025</v>
      </c>
    </row>
    <row r="927" spans="1:24" x14ac:dyDescent="0.35">
      <c r="A927" s="3">
        <v>45921</v>
      </c>
      <c r="B927" t="s">
        <v>118</v>
      </c>
      <c r="C927" t="s">
        <v>39</v>
      </c>
      <c r="D927" t="s">
        <v>1073</v>
      </c>
      <c r="E927" t="s">
        <v>27</v>
      </c>
      <c r="F927" t="s">
        <v>41</v>
      </c>
      <c r="G927" t="s">
        <v>42</v>
      </c>
      <c r="H927">
        <v>72.400000000000006</v>
      </c>
      <c r="I927">
        <v>2003</v>
      </c>
      <c r="J927">
        <v>50</v>
      </c>
      <c r="K927">
        <v>11.5</v>
      </c>
      <c r="L927" t="s">
        <v>49</v>
      </c>
      <c r="M927">
        <v>46376.14</v>
      </c>
      <c r="N927">
        <v>26471</v>
      </c>
      <c r="O927" t="s">
        <v>31</v>
      </c>
      <c r="P927" t="str">
        <f t="shared" si="126"/>
        <v>Yes</v>
      </c>
      <c r="Q927">
        <f t="shared" si="127"/>
        <v>27.67</v>
      </c>
      <c r="R927">
        <f t="shared" si="128"/>
        <v>23.15</v>
      </c>
      <c r="S927">
        <f t="shared" si="129"/>
        <v>1.75</v>
      </c>
      <c r="T927" t="str">
        <f t="shared" si="130"/>
        <v>Delayed</v>
      </c>
      <c r="U927" t="str">
        <f t="shared" si="131"/>
        <v>High</v>
      </c>
      <c r="V927" t="str">
        <f t="shared" si="132"/>
        <v>High Risk</v>
      </c>
      <c r="W927" t="str">
        <f t="shared" si="133"/>
        <v>Sep</v>
      </c>
      <c r="X927">
        <f t="shared" si="134"/>
        <v>2025</v>
      </c>
    </row>
    <row r="928" spans="1:24" x14ac:dyDescent="0.35">
      <c r="A928" s="3">
        <v>45747</v>
      </c>
      <c r="B928" t="s">
        <v>24</v>
      </c>
      <c r="C928" t="s">
        <v>69</v>
      </c>
      <c r="D928" t="s">
        <v>1074</v>
      </c>
      <c r="E928" t="s">
        <v>63</v>
      </c>
      <c r="F928" t="s">
        <v>41</v>
      </c>
      <c r="G928" t="s">
        <v>35</v>
      </c>
      <c r="H928">
        <v>45.4</v>
      </c>
      <c r="I928">
        <v>4449</v>
      </c>
      <c r="J928">
        <v>120</v>
      </c>
      <c r="K928">
        <v>15.6</v>
      </c>
      <c r="L928" t="s">
        <v>43</v>
      </c>
      <c r="M928">
        <v>27849.86</v>
      </c>
      <c r="N928">
        <v>6745</v>
      </c>
      <c r="O928" t="s">
        <v>59</v>
      </c>
      <c r="P928" t="str">
        <f t="shared" si="126"/>
        <v>Yes</v>
      </c>
      <c r="Q928">
        <f t="shared" si="127"/>
        <v>98</v>
      </c>
      <c r="R928">
        <f t="shared" si="128"/>
        <v>6.26</v>
      </c>
      <c r="S928">
        <f t="shared" si="129"/>
        <v>4.13</v>
      </c>
      <c r="T928" t="str">
        <f t="shared" si="130"/>
        <v>Delayed</v>
      </c>
      <c r="U928" t="str">
        <f t="shared" si="131"/>
        <v>Medium</v>
      </c>
      <c r="V928" t="str">
        <f t="shared" si="132"/>
        <v>Low Risk</v>
      </c>
      <c r="W928" t="str">
        <f t="shared" si="133"/>
        <v>Mar</v>
      </c>
      <c r="X928">
        <f t="shared" si="134"/>
        <v>2025</v>
      </c>
    </row>
    <row r="929" spans="1:24" x14ac:dyDescent="0.35">
      <c r="A929" s="3">
        <v>45705</v>
      </c>
      <c r="B929" t="s">
        <v>127</v>
      </c>
      <c r="C929" t="s">
        <v>95</v>
      </c>
      <c r="D929" t="s">
        <v>1075</v>
      </c>
      <c r="E929" t="s">
        <v>28</v>
      </c>
      <c r="F929" t="s">
        <v>63</v>
      </c>
      <c r="G929" t="s">
        <v>71</v>
      </c>
      <c r="H929">
        <v>56.1</v>
      </c>
      <c r="I929">
        <v>1014</v>
      </c>
      <c r="J929">
        <v>94</v>
      </c>
      <c r="K929">
        <v>12</v>
      </c>
      <c r="L929" t="s">
        <v>43</v>
      </c>
      <c r="M929">
        <v>27894.85</v>
      </c>
      <c r="N929">
        <v>15120</v>
      </c>
      <c r="O929" t="s">
        <v>31</v>
      </c>
      <c r="P929" t="str">
        <f t="shared" si="126"/>
        <v>Yes</v>
      </c>
      <c r="Q929">
        <f t="shared" si="127"/>
        <v>18.07</v>
      </c>
      <c r="R929">
        <f t="shared" si="128"/>
        <v>27.51</v>
      </c>
      <c r="S929">
        <f t="shared" si="129"/>
        <v>1.84</v>
      </c>
      <c r="T929" t="str">
        <f t="shared" si="130"/>
        <v>Delayed</v>
      </c>
      <c r="U929" t="str">
        <f t="shared" si="131"/>
        <v>Medium</v>
      </c>
      <c r="V929" t="str">
        <f t="shared" si="132"/>
        <v>Low Risk</v>
      </c>
      <c r="W929" t="str">
        <f t="shared" si="133"/>
        <v>Feb</v>
      </c>
      <c r="X929">
        <f t="shared" si="134"/>
        <v>2025</v>
      </c>
    </row>
    <row r="930" spans="1:24" x14ac:dyDescent="0.35">
      <c r="A930" s="3">
        <v>45796</v>
      </c>
      <c r="B930" t="s">
        <v>87</v>
      </c>
      <c r="C930" t="s">
        <v>109</v>
      </c>
      <c r="D930" t="s">
        <v>1076</v>
      </c>
      <c r="E930" t="s">
        <v>28</v>
      </c>
      <c r="F930" t="s">
        <v>27</v>
      </c>
      <c r="G930" t="s">
        <v>29</v>
      </c>
      <c r="H930">
        <v>59.6</v>
      </c>
      <c r="I930">
        <v>3401</v>
      </c>
      <c r="J930">
        <v>72</v>
      </c>
      <c r="K930">
        <v>11.1</v>
      </c>
      <c r="L930" t="s">
        <v>49</v>
      </c>
      <c r="M930">
        <v>32966.81</v>
      </c>
      <c r="N930">
        <v>14202</v>
      </c>
      <c r="O930" t="s">
        <v>31</v>
      </c>
      <c r="P930" t="str">
        <f t="shared" si="126"/>
        <v>Yes</v>
      </c>
      <c r="Q930">
        <f t="shared" si="127"/>
        <v>57.06</v>
      </c>
      <c r="R930">
        <f t="shared" si="128"/>
        <v>9.69</v>
      </c>
      <c r="S930">
        <f t="shared" si="129"/>
        <v>2.3199999999999998</v>
      </c>
      <c r="T930" t="str">
        <f t="shared" si="130"/>
        <v>Delayed</v>
      </c>
      <c r="U930" t="str">
        <f t="shared" si="131"/>
        <v>Medium</v>
      </c>
      <c r="V930" t="str">
        <f t="shared" si="132"/>
        <v>High Risk</v>
      </c>
      <c r="W930" t="str">
        <f t="shared" si="133"/>
        <v>May</v>
      </c>
      <c r="X930">
        <f t="shared" si="134"/>
        <v>2025</v>
      </c>
    </row>
    <row r="931" spans="1:24" x14ac:dyDescent="0.35">
      <c r="A931" s="3">
        <v>45784</v>
      </c>
      <c r="B931" t="s">
        <v>125</v>
      </c>
      <c r="C931" t="s">
        <v>109</v>
      </c>
      <c r="D931" t="s">
        <v>1077</v>
      </c>
      <c r="E931" t="s">
        <v>28</v>
      </c>
      <c r="F931" t="s">
        <v>63</v>
      </c>
      <c r="G931" t="s">
        <v>42</v>
      </c>
      <c r="H931">
        <v>64.599999999999994</v>
      </c>
      <c r="I931">
        <v>911</v>
      </c>
      <c r="J931">
        <v>49</v>
      </c>
      <c r="K931">
        <v>20.7</v>
      </c>
      <c r="L931" t="s">
        <v>49</v>
      </c>
      <c r="M931">
        <v>34366.65</v>
      </c>
      <c r="N931">
        <v>10370</v>
      </c>
      <c r="O931" t="s">
        <v>91</v>
      </c>
      <c r="P931" t="str">
        <f t="shared" si="126"/>
        <v>Yes</v>
      </c>
      <c r="Q931">
        <f t="shared" si="127"/>
        <v>14.1</v>
      </c>
      <c r="R931">
        <f t="shared" si="128"/>
        <v>37.72</v>
      </c>
      <c r="S931">
        <f t="shared" si="129"/>
        <v>3.31</v>
      </c>
      <c r="T931" t="str">
        <f t="shared" si="130"/>
        <v>Delayed</v>
      </c>
      <c r="U931" t="str">
        <f t="shared" si="131"/>
        <v>High</v>
      </c>
      <c r="V931" t="str">
        <f t="shared" si="132"/>
        <v>High Risk</v>
      </c>
      <c r="W931" t="str">
        <f t="shared" si="133"/>
        <v>May</v>
      </c>
      <c r="X931">
        <f t="shared" si="134"/>
        <v>2025</v>
      </c>
    </row>
    <row r="932" spans="1:24" x14ac:dyDescent="0.35">
      <c r="A932" s="3">
        <v>45836</v>
      </c>
      <c r="B932" t="s">
        <v>56</v>
      </c>
      <c r="C932" t="s">
        <v>52</v>
      </c>
      <c r="D932" t="s">
        <v>1078</v>
      </c>
      <c r="E932" t="s">
        <v>27</v>
      </c>
      <c r="F932" t="s">
        <v>66</v>
      </c>
      <c r="G932" t="s">
        <v>42</v>
      </c>
      <c r="H932">
        <v>20.5</v>
      </c>
      <c r="I932">
        <v>2197</v>
      </c>
      <c r="J932">
        <v>69</v>
      </c>
      <c r="K932">
        <v>11.1</v>
      </c>
      <c r="L932" t="s">
        <v>30</v>
      </c>
      <c r="M932">
        <v>10770.22</v>
      </c>
      <c r="N932">
        <v>8487</v>
      </c>
      <c r="O932" t="s">
        <v>31</v>
      </c>
      <c r="P932" t="str">
        <f t="shared" si="126"/>
        <v>Yes</v>
      </c>
      <c r="Q932">
        <f t="shared" si="127"/>
        <v>107.17</v>
      </c>
      <c r="R932">
        <f t="shared" si="128"/>
        <v>4.9000000000000004</v>
      </c>
      <c r="S932">
        <f t="shared" si="129"/>
        <v>1.27</v>
      </c>
      <c r="T932" t="str">
        <f t="shared" si="130"/>
        <v>Delayed</v>
      </c>
      <c r="U932" t="str">
        <f t="shared" si="131"/>
        <v>Low</v>
      </c>
      <c r="V932" t="str">
        <f t="shared" si="132"/>
        <v>Medium Risk</v>
      </c>
      <c r="W932" t="str">
        <f t="shared" si="133"/>
        <v>Jun</v>
      </c>
      <c r="X932">
        <f t="shared" si="134"/>
        <v>2025</v>
      </c>
    </row>
    <row r="933" spans="1:24" x14ac:dyDescent="0.35">
      <c r="A933" s="3">
        <v>45752</v>
      </c>
      <c r="B933" t="s">
        <v>76</v>
      </c>
      <c r="C933" t="s">
        <v>69</v>
      </c>
      <c r="D933" t="s">
        <v>1079</v>
      </c>
      <c r="E933" t="s">
        <v>28</v>
      </c>
      <c r="F933" t="s">
        <v>55</v>
      </c>
      <c r="G933" t="s">
        <v>35</v>
      </c>
      <c r="H933">
        <v>40</v>
      </c>
      <c r="I933">
        <v>1278</v>
      </c>
      <c r="J933">
        <v>78</v>
      </c>
      <c r="K933">
        <v>16.399999999999999</v>
      </c>
      <c r="L933" t="s">
        <v>78</v>
      </c>
      <c r="M933">
        <v>20857.75</v>
      </c>
      <c r="N933">
        <v>11733</v>
      </c>
      <c r="O933" t="s">
        <v>84</v>
      </c>
      <c r="P933" t="str">
        <f t="shared" si="126"/>
        <v>No</v>
      </c>
      <c r="Q933">
        <f t="shared" si="127"/>
        <v>31.95</v>
      </c>
      <c r="R933">
        <f t="shared" si="128"/>
        <v>16.32</v>
      </c>
      <c r="S933">
        <f t="shared" si="129"/>
        <v>1.78</v>
      </c>
      <c r="T933" t="str">
        <f t="shared" si="130"/>
        <v>On Time</v>
      </c>
      <c r="U933" t="str">
        <f t="shared" si="131"/>
        <v>Medium</v>
      </c>
      <c r="V933" t="str">
        <f t="shared" si="132"/>
        <v>Low Risk</v>
      </c>
      <c r="W933" t="str">
        <f t="shared" si="133"/>
        <v>Apr</v>
      </c>
      <c r="X933">
        <f t="shared" si="134"/>
        <v>2025</v>
      </c>
    </row>
    <row r="934" spans="1:24" x14ac:dyDescent="0.35">
      <c r="A934" s="3">
        <v>45705</v>
      </c>
      <c r="B934" t="s">
        <v>171</v>
      </c>
      <c r="C934" t="s">
        <v>95</v>
      </c>
      <c r="D934" t="s">
        <v>1080</v>
      </c>
      <c r="E934" t="s">
        <v>28</v>
      </c>
      <c r="F934" t="s">
        <v>63</v>
      </c>
      <c r="G934" t="s">
        <v>71</v>
      </c>
      <c r="H934">
        <v>37.799999999999997</v>
      </c>
      <c r="I934">
        <v>4799</v>
      </c>
      <c r="J934">
        <v>73</v>
      </c>
      <c r="K934">
        <v>18.600000000000001</v>
      </c>
      <c r="L934" t="s">
        <v>30</v>
      </c>
      <c r="M934">
        <v>21949.52</v>
      </c>
      <c r="N934">
        <v>24897</v>
      </c>
      <c r="O934" t="s">
        <v>44</v>
      </c>
      <c r="P934" t="str">
        <f t="shared" si="126"/>
        <v>Yes</v>
      </c>
      <c r="Q934">
        <f t="shared" si="127"/>
        <v>126.96</v>
      </c>
      <c r="R934">
        <f t="shared" si="128"/>
        <v>4.57</v>
      </c>
      <c r="S934">
        <f t="shared" si="129"/>
        <v>0.88</v>
      </c>
      <c r="T934" t="str">
        <f t="shared" si="130"/>
        <v>Delayed</v>
      </c>
      <c r="U934" t="str">
        <f t="shared" si="131"/>
        <v>Low</v>
      </c>
      <c r="V934" t="str">
        <f t="shared" si="132"/>
        <v>Medium Risk</v>
      </c>
      <c r="W934" t="str">
        <f t="shared" si="133"/>
        <v>Feb</v>
      </c>
      <c r="X934">
        <f t="shared" si="134"/>
        <v>2025</v>
      </c>
    </row>
    <row r="935" spans="1:24" x14ac:dyDescent="0.35">
      <c r="A935" s="3">
        <v>45702</v>
      </c>
      <c r="B935" t="s">
        <v>366</v>
      </c>
      <c r="C935" t="s">
        <v>130</v>
      </c>
      <c r="D935" t="s">
        <v>1081</v>
      </c>
      <c r="E935" t="s">
        <v>27</v>
      </c>
      <c r="F935" t="s">
        <v>41</v>
      </c>
      <c r="G935" t="s">
        <v>71</v>
      </c>
      <c r="H935">
        <v>39.200000000000003</v>
      </c>
      <c r="I935">
        <v>4107</v>
      </c>
      <c r="J935">
        <v>115</v>
      </c>
      <c r="K935">
        <v>15.6</v>
      </c>
      <c r="L935" t="s">
        <v>78</v>
      </c>
      <c r="M935">
        <v>27092.639999999999</v>
      </c>
      <c r="N935">
        <v>15872</v>
      </c>
      <c r="O935" t="s">
        <v>31</v>
      </c>
      <c r="P935" t="str">
        <f t="shared" si="126"/>
        <v>No</v>
      </c>
      <c r="Q935">
        <f t="shared" si="127"/>
        <v>104.77</v>
      </c>
      <c r="R935">
        <f t="shared" si="128"/>
        <v>6.6</v>
      </c>
      <c r="S935">
        <f t="shared" si="129"/>
        <v>1.71</v>
      </c>
      <c r="T935" t="str">
        <f t="shared" si="130"/>
        <v>On Time</v>
      </c>
      <c r="U935" t="str">
        <f t="shared" si="131"/>
        <v>Low</v>
      </c>
      <c r="V935" t="str">
        <f t="shared" si="132"/>
        <v>Low Risk</v>
      </c>
      <c r="W935" t="str">
        <f t="shared" si="133"/>
        <v>Feb</v>
      </c>
      <c r="X935">
        <f t="shared" si="134"/>
        <v>2025</v>
      </c>
    </row>
    <row r="936" spans="1:24" x14ac:dyDescent="0.35">
      <c r="A936" s="3">
        <v>45853</v>
      </c>
      <c r="B936" t="s">
        <v>203</v>
      </c>
      <c r="C936" t="s">
        <v>39</v>
      </c>
      <c r="D936" t="s">
        <v>1082</v>
      </c>
      <c r="E936" t="s">
        <v>27</v>
      </c>
      <c r="F936" t="s">
        <v>41</v>
      </c>
      <c r="G936" t="s">
        <v>29</v>
      </c>
      <c r="H936">
        <v>73.3</v>
      </c>
      <c r="I936">
        <v>3936</v>
      </c>
      <c r="J936">
        <v>78</v>
      </c>
      <c r="K936">
        <v>11.6</v>
      </c>
      <c r="L936" t="s">
        <v>43</v>
      </c>
      <c r="M936">
        <v>41988.07</v>
      </c>
      <c r="N936">
        <v>20611</v>
      </c>
      <c r="O936" t="s">
        <v>31</v>
      </c>
      <c r="P936" t="str">
        <f t="shared" si="126"/>
        <v>Yes</v>
      </c>
      <c r="Q936">
        <f t="shared" si="127"/>
        <v>53.7</v>
      </c>
      <c r="R936">
        <f t="shared" si="128"/>
        <v>10.67</v>
      </c>
      <c r="S936">
        <f t="shared" si="129"/>
        <v>2.04</v>
      </c>
      <c r="T936" t="str">
        <f t="shared" si="130"/>
        <v>Delayed</v>
      </c>
      <c r="U936" t="str">
        <f t="shared" si="131"/>
        <v>High</v>
      </c>
      <c r="V936" t="str">
        <f t="shared" si="132"/>
        <v>Low Risk</v>
      </c>
      <c r="W936" t="str">
        <f t="shared" si="133"/>
        <v>Jul</v>
      </c>
      <c r="X936">
        <f t="shared" si="134"/>
        <v>2025</v>
      </c>
    </row>
    <row r="937" spans="1:24" x14ac:dyDescent="0.35">
      <c r="A937" s="3">
        <v>45772</v>
      </c>
      <c r="B937" t="s">
        <v>139</v>
      </c>
      <c r="C937" t="s">
        <v>52</v>
      </c>
      <c r="D937" t="s">
        <v>1083</v>
      </c>
      <c r="E937" t="s">
        <v>55</v>
      </c>
      <c r="F937" t="s">
        <v>28</v>
      </c>
      <c r="G937" t="s">
        <v>35</v>
      </c>
      <c r="H937">
        <v>78.599999999999994</v>
      </c>
      <c r="I937">
        <v>4665</v>
      </c>
      <c r="J937">
        <v>72</v>
      </c>
      <c r="K937">
        <v>16.3</v>
      </c>
      <c r="L937" t="s">
        <v>43</v>
      </c>
      <c r="M937">
        <v>39300.870000000003</v>
      </c>
      <c r="N937">
        <v>26651</v>
      </c>
      <c r="O937" t="s">
        <v>67</v>
      </c>
      <c r="P937" t="str">
        <f t="shared" si="126"/>
        <v>Yes</v>
      </c>
      <c r="Q937">
        <f t="shared" si="127"/>
        <v>59.35</v>
      </c>
      <c r="R937">
        <f t="shared" si="128"/>
        <v>8.42</v>
      </c>
      <c r="S937">
        <f t="shared" si="129"/>
        <v>1.47</v>
      </c>
      <c r="T937" t="str">
        <f t="shared" si="130"/>
        <v>Delayed</v>
      </c>
      <c r="U937" t="str">
        <f t="shared" si="131"/>
        <v>High</v>
      </c>
      <c r="V937" t="str">
        <f t="shared" si="132"/>
        <v>Low Risk</v>
      </c>
      <c r="W937" t="str">
        <f t="shared" si="133"/>
        <v>Apr</v>
      </c>
      <c r="X937">
        <f t="shared" si="134"/>
        <v>2025</v>
      </c>
    </row>
    <row r="938" spans="1:24" x14ac:dyDescent="0.35">
      <c r="A938" s="3">
        <v>45747</v>
      </c>
      <c r="B938" t="s">
        <v>221</v>
      </c>
      <c r="C938" t="s">
        <v>25</v>
      </c>
      <c r="D938" t="s">
        <v>1084</v>
      </c>
      <c r="E938" t="s">
        <v>54</v>
      </c>
      <c r="F938" t="s">
        <v>48</v>
      </c>
      <c r="G938" t="s">
        <v>35</v>
      </c>
      <c r="H938">
        <v>68.400000000000006</v>
      </c>
      <c r="I938">
        <v>3994</v>
      </c>
      <c r="J938">
        <v>75</v>
      </c>
      <c r="K938">
        <v>18.899999999999999</v>
      </c>
      <c r="L938" t="s">
        <v>43</v>
      </c>
      <c r="M938">
        <v>47493.71</v>
      </c>
      <c r="N938">
        <v>27819</v>
      </c>
      <c r="O938" t="s">
        <v>84</v>
      </c>
      <c r="P938" t="str">
        <f t="shared" si="126"/>
        <v>Yes</v>
      </c>
      <c r="Q938">
        <f t="shared" si="127"/>
        <v>58.39</v>
      </c>
      <c r="R938">
        <f t="shared" si="128"/>
        <v>11.89</v>
      </c>
      <c r="S938">
        <f t="shared" si="129"/>
        <v>1.71</v>
      </c>
      <c r="T938" t="str">
        <f t="shared" si="130"/>
        <v>Delayed</v>
      </c>
      <c r="U938" t="str">
        <f t="shared" si="131"/>
        <v>High</v>
      </c>
      <c r="V938" t="str">
        <f t="shared" si="132"/>
        <v>Low Risk</v>
      </c>
      <c r="W938" t="str">
        <f t="shared" si="133"/>
        <v>Mar</v>
      </c>
      <c r="X938">
        <f t="shared" si="134"/>
        <v>2025</v>
      </c>
    </row>
    <row r="939" spans="1:24" x14ac:dyDescent="0.35">
      <c r="A939" s="3">
        <v>45664</v>
      </c>
      <c r="B939" t="s">
        <v>80</v>
      </c>
      <c r="C939" t="s">
        <v>69</v>
      </c>
      <c r="D939" t="s">
        <v>1085</v>
      </c>
      <c r="E939" t="s">
        <v>55</v>
      </c>
      <c r="F939" t="s">
        <v>28</v>
      </c>
      <c r="G939" t="s">
        <v>42</v>
      </c>
      <c r="H939">
        <v>37.6</v>
      </c>
      <c r="I939">
        <v>897</v>
      </c>
      <c r="J939">
        <v>66</v>
      </c>
      <c r="K939">
        <v>20.6</v>
      </c>
      <c r="L939" t="s">
        <v>78</v>
      </c>
      <c r="M939">
        <v>25375.84</v>
      </c>
      <c r="N939">
        <v>5138</v>
      </c>
      <c r="O939" t="s">
        <v>67</v>
      </c>
      <c r="P939" t="str">
        <f t="shared" si="126"/>
        <v>No</v>
      </c>
      <c r="Q939">
        <f t="shared" si="127"/>
        <v>23.86</v>
      </c>
      <c r="R939">
        <f t="shared" si="128"/>
        <v>28.29</v>
      </c>
      <c r="S939">
        <f t="shared" si="129"/>
        <v>4.9400000000000004</v>
      </c>
      <c r="T939" t="str">
        <f t="shared" si="130"/>
        <v>On Time</v>
      </c>
      <c r="U939" t="str">
        <f t="shared" si="131"/>
        <v>Low</v>
      </c>
      <c r="V939" t="str">
        <f t="shared" si="132"/>
        <v>Low Risk</v>
      </c>
      <c r="W939" t="str">
        <f t="shared" si="133"/>
        <v>Jan</v>
      </c>
      <c r="X939">
        <f t="shared" si="134"/>
        <v>2025</v>
      </c>
    </row>
    <row r="940" spans="1:24" x14ac:dyDescent="0.35">
      <c r="A940" s="3">
        <v>45841</v>
      </c>
      <c r="B940" t="s">
        <v>33</v>
      </c>
      <c r="C940" t="s">
        <v>95</v>
      </c>
      <c r="D940" t="s">
        <v>1086</v>
      </c>
      <c r="E940" t="s">
        <v>66</v>
      </c>
      <c r="F940" t="s">
        <v>27</v>
      </c>
      <c r="G940" t="s">
        <v>35</v>
      </c>
      <c r="H940">
        <v>73.099999999999994</v>
      </c>
      <c r="I940">
        <v>5000</v>
      </c>
      <c r="J940">
        <v>80</v>
      </c>
      <c r="K940">
        <v>10.7</v>
      </c>
      <c r="L940" t="s">
        <v>30</v>
      </c>
      <c r="M940">
        <v>49608.04</v>
      </c>
      <c r="N940">
        <v>11590</v>
      </c>
      <c r="O940" t="s">
        <v>59</v>
      </c>
      <c r="P940" t="str">
        <f t="shared" si="126"/>
        <v>Yes</v>
      </c>
      <c r="Q940">
        <f t="shared" si="127"/>
        <v>68.400000000000006</v>
      </c>
      <c r="R940">
        <f t="shared" si="128"/>
        <v>9.92</v>
      </c>
      <c r="S940">
        <f t="shared" si="129"/>
        <v>4.28</v>
      </c>
      <c r="T940" t="str">
        <f t="shared" si="130"/>
        <v>Delayed</v>
      </c>
      <c r="U940" t="str">
        <f t="shared" si="131"/>
        <v>High</v>
      </c>
      <c r="V940" t="str">
        <f t="shared" si="132"/>
        <v>Medium Risk</v>
      </c>
      <c r="W940" t="str">
        <f t="shared" si="133"/>
        <v>Jul</v>
      </c>
      <c r="X940">
        <f t="shared" si="134"/>
        <v>2025</v>
      </c>
    </row>
    <row r="941" spans="1:24" x14ac:dyDescent="0.35">
      <c r="A941" s="3">
        <v>45696</v>
      </c>
      <c r="B941" t="s">
        <v>61</v>
      </c>
      <c r="C941" t="s">
        <v>25</v>
      </c>
      <c r="D941" t="s">
        <v>1087</v>
      </c>
      <c r="E941" t="s">
        <v>28</v>
      </c>
      <c r="F941" t="s">
        <v>66</v>
      </c>
      <c r="G941" t="s">
        <v>71</v>
      </c>
      <c r="H941">
        <v>27.1</v>
      </c>
      <c r="I941">
        <v>4303</v>
      </c>
      <c r="J941">
        <v>75</v>
      </c>
      <c r="K941">
        <v>17.7</v>
      </c>
      <c r="L941" t="s">
        <v>43</v>
      </c>
      <c r="M941">
        <v>12197.34</v>
      </c>
      <c r="N941">
        <v>8221</v>
      </c>
      <c r="O941" t="s">
        <v>84</v>
      </c>
      <c r="P941" t="str">
        <f t="shared" si="126"/>
        <v>Yes</v>
      </c>
      <c r="Q941">
        <f t="shared" si="127"/>
        <v>158.78</v>
      </c>
      <c r="R941">
        <f t="shared" si="128"/>
        <v>2.83</v>
      </c>
      <c r="S941">
        <f t="shared" si="129"/>
        <v>1.48</v>
      </c>
      <c r="T941" t="str">
        <f t="shared" si="130"/>
        <v>Delayed</v>
      </c>
      <c r="U941" t="str">
        <f t="shared" si="131"/>
        <v>Low</v>
      </c>
      <c r="V941" t="str">
        <f t="shared" si="132"/>
        <v>Low Risk</v>
      </c>
      <c r="W941" t="str">
        <f t="shared" si="133"/>
        <v>Feb</v>
      </c>
      <c r="X941">
        <f t="shared" si="134"/>
        <v>2025</v>
      </c>
    </row>
    <row r="942" spans="1:24" x14ac:dyDescent="0.35">
      <c r="A942" s="3">
        <v>45685</v>
      </c>
      <c r="B942" t="s">
        <v>368</v>
      </c>
      <c r="C942" t="s">
        <v>95</v>
      </c>
      <c r="D942" t="s">
        <v>1088</v>
      </c>
      <c r="E942" t="s">
        <v>54</v>
      </c>
      <c r="F942" t="s">
        <v>48</v>
      </c>
      <c r="G942" t="s">
        <v>42</v>
      </c>
      <c r="H942">
        <v>72.599999999999994</v>
      </c>
      <c r="I942">
        <v>3210</v>
      </c>
      <c r="J942">
        <v>31</v>
      </c>
      <c r="K942">
        <v>10.1</v>
      </c>
      <c r="L942" t="s">
        <v>78</v>
      </c>
      <c r="M942">
        <v>39499.300000000003</v>
      </c>
      <c r="N942">
        <v>18764</v>
      </c>
      <c r="O942" t="s">
        <v>36</v>
      </c>
      <c r="P942" t="str">
        <f t="shared" si="126"/>
        <v>No</v>
      </c>
      <c r="Q942">
        <f t="shared" si="127"/>
        <v>44.21</v>
      </c>
      <c r="R942">
        <f t="shared" si="128"/>
        <v>12.31</v>
      </c>
      <c r="S942">
        <f t="shared" si="129"/>
        <v>2.11</v>
      </c>
      <c r="T942" t="str">
        <f t="shared" si="130"/>
        <v>On Time</v>
      </c>
      <c r="U942" t="str">
        <f t="shared" si="131"/>
        <v>High</v>
      </c>
      <c r="V942" t="str">
        <f t="shared" si="132"/>
        <v>Low Risk</v>
      </c>
      <c r="W942" t="str">
        <f t="shared" si="133"/>
        <v>Jan</v>
      </c>
      <c r="X942">
        <f t="shared" si="134"/>
        <v>2025</v>
      </c>
    </row>
    <row r="943" spans="1:24" x14ac:dyDescent="0.35">
      <c r="A943" s="3">
        <v>45722</v>
      </c>
      <c r="B943" t="s">
        <v>317</v>
      </c>
      <c r="C943" t="s">
        <v>109</v>
      </c>
      <c r="D943" t="s">
        <v>1089</v>
      </c>
      <c r="E943" t="s">
        <v>28</v>
      </c>
      <c r="F943" t="s">
        <v>66</v>
      </c>
      <c r="G943" t="s">
        <v>29</v>
      </c>
      <c r="H943">
        <v>22.2</v>
      </c>
      <c r="I943">
        <v>1689</v>
      </c>
      <c r="J943">
        <v>31</v>
      </c>
      <c r="K943">
        <v>11.1</v>
      </c>
      <c r="L943" t="s">
        <v>30</v>
      </c>
      <c r="M943">
        <v>12172.15</v>
      </c>
      <c r="N943">
        <v>23440</v>
      </c>
      <c r="O943" t="s">
        <v>44</v>
      </c>
      <c r="P943" t="str">
        <f t="shared" si="126"/>
        <v>Yes</v>
      </c>
      <c r="Q943">
        <f t="shared" si="127"/>
        <v>76.08</v>
      </c>
      <c r="R943">
        <f t="shared" si="128"/>
        <v>7.21</v>
      </c>
      <c r="S943">
        <f t="shared" si="129"/>
        <v>0.52</v>
      </c>
      <c r="T943" t="str">
        <f t="shared" si="130"/>
        <v>Delayed</v>
      </c>
      <c r="U943" t="str">
        <f t="shared" si="131"/>
        <v>Low</v>
      </c>
      <c r="V943" t="str">
        <f t="shared" si="132"/>
        <v>Medium Risk</v>
      </c>
      <c r="W943" t="str">
        <f t="shared" si="133"/>
        <v>Mar</v>
      </c>
      <c r="X943">
        <f t="shared" si="134"/>
        <v>2025</v>
      </c>
    </row>
    <row r="944" spans="1:24" x14ac:dyDescent="0.35">
      <c r="A944" s="3">
        <v>45886</v>
      </c>
      <c r="B944" t="s">
        <v>94</v>
      </c>
      <c r="C944" t="s">
        <v>57</v>
      </c>
      <c r="D944" t="s">
        <v>1090</v>
      </c>
      <c r="E944" t="s">
        <v>27</v>
      </c>
      <c r="F944" t="s">
        <v>54</v>
      </c>
      <c r="G944" t="s">
        <v>29</v>
      </c>
      <c r="H944">
        <v>23.4</v>
      </c>
      <c r="I944">
        <v>832</v>
      </c>
      <c r="J944">
        <v>60</v>
      </c>
      <c r="K944">
        <v>17.100000000000001</v>
      </c>
      <c r="L944" t="s">
        <v>49</v>
      </c>
      <c r="M944">
        <v>11644.92</v>
      </c>
      <c r="N944">
        <v>14295</v>
      </c>
      <c r="O944" t="s">
        <v>59</v>
      </c>
      <c r="P944" t="str">
        <f t="shared" si="126"/>
        <v>Yes</v>
      </c>
      <c r="Q944">
        <f t="shared" si="127"/>
        <v>35.56</v>
      </c>
      <c r="R944">
        <f t="shared" si="128"/>
        <v>14</v>
      </c>
      <c r="S944">
        <f t="shared" si="129"/>
        <v>0.81</v>
      </c>
      <c r="T944" t="str">
        <f t="shared" si="130"/>
        <v>Delayed</v>
      </c>
      <c r="U944" t="str">
        <f t="shared" si="131"/>
        <v>Low</v>
      </c>
      <c r="V944" t="str">
        <f t="shared" si="132"/>
        <v>High Risk</v>
      </c>
      <c r="W944" t="str">
        <f t="shared" si="133"/>
        <v>Aug</v>
      </c>
      <c r="X944">
        <f t="shared" si="134"/>
        <v>2025</v>
      </c>
    </row>
    <row r="945" spans="1:24" x14ac:dyDescent="0.35">
      <c r="A945" s="3">
        <v>45864</v>
      </c>
      <c r="B945" t="s">
        <v>76</v>
      </c>
      <c r="C945" t="s">
        <v>57</v>
      </c>
      <c r="D945" t="s">
        <v>1091</v>
      </c>
      <c r="E945" t="s">
        <v>55</v>
      </c>
      <c r="F945" t="s">
        <v>28</v>
      </c>
      <c r="G945" t="s">
        <v>42</v>
      </c>
      <c r="H945">
        <v>31.1</v>
      </c>
      <c r="I945">
        <v>665</v>
      </c>
      <c r="J945">
        <v>89</v>
      </c>
      <c r="K945">
        <v>11.5</v>
      </c>
      <c r="L945" t="s">
        <v>49</v>
      </c>
      <c r="M945">
        <v>15728.01</v>
      </c>
      <c r="N945">
        <v>26751</v>
      </c>
      <c r="O945" t="s">
        <v>50</v>
      </c>
      <c r="P945" t="str">
        <f t="shared" si="126"/>
        <v>Yes</v>
      </c>
      <c r="Q945">
        <f t="shared" si="127"/>
        <v>21.38</v>
      </c>
      <c r="R945">
        <f t="shared" si="128"/>
        <v>23.65</v>
      </c>
      <c r="S945">
        <f t="shared" si="129"/>
        <v>0.59</v>
      </c>
      <c r="T945" t="str">
        <f t="shared" si="130"/>
        <v>Delayed</v>
      </c>
      <c r="U945" t="str">
        <f t="shared" si="131"/>
        <v>Low</v>
      </c>
      <c r="V945" t="str">
        <f t="shared" si="132"/>
        <v>High Risk</v>
      </c>
      <c r="W945" t="str">
        <f t="shared" si="133"/>
        <v>Jul</v>
      </c>
      <c r="X945">
        <f t="shared" si="134"/>
        <v>2025</v>
      </c>
    </row>
    <row r="946" spans="1:24" x14ac:dyDescent="0.35">
      <c r="A946" s="3">
        <v>45706</v>
      </c>
      <c r="B946" t="s">
        <v>217</v>
      </c>
      <c r="C946" t="s">
        <v>25</v>
      </c>
      <c r="D946" t="s">
        <v>1092</v>
      </c>
      <c r="E946" t="s">
        <v>41</v>
      </c>
      <c r="F946" t="s">
        <v>28</v>
      </c>
      <c r="G946" t="s">
        <v>71</v>
      </c>
      <c r="H946">
        <v>72.599999999999994</v>
      </c>
      <c r="I946">
        <v>3556</v>
      </c>
      <c r="J946">
        <v>41</v>
      </c>
      <c r="K946">
        <v>15.8</v>
      </c>
      <c r="L946" t="s">
        <v>30</v>
      </c>
      <c r="M946">
        <v>38030.35</v>
      </c>
      <c r="N946">
        <v>27452</v>
      </c>
      <c r="O946" t="s">
        <v>44</v>
      </c>
      <c r="P946" t="str">
        <f t="shared" si="126"/>
        <v>Yes</v>
      </c>
      <c r="Q946">
        <f t="shared" si="127"/>
        <v>48.98</v>
      </c>
      <c r="R946">
        <f t="shared" si="128"/>
        <v>10.69</v>
      </c>
      <c r="S946">
        <f t="shared" si="129"/>
        <v>1.39</v>
      </c>
      <c r="T946" t="str">
        <f t="shared" si="130"/>
        <v>Delayed</v>
      </c>
      <c r="U946" t="str">
        <f t="shared" si="131"/>
        <v>High</v>
      </c>
      <c r="V946" t="str">
        <f t="shared" si="132"/>
        <v>Medium Risk</v>
      </c>
      <c r="W946" t="str">
        <f t="shared" si="133"/>
        <v>Feb</v>
      </c>
      <c r="X946">
        <f t="shared" si="134"/>
        <v>2025</v>
      </c>
    </row>
    <row r="947" spans="1:24" x14ac:dyDescent="0.35">
      <c r="A947" s="3">
        <v>46015</v>
      </c>
      <c r="B947" t="s">
        <v>150</v>
      </c>
      <c r="C947" t="s">
        <v>109</v>
      </c>
      <c r="D947" t="s">
        <v>1093</v>
      </c>
      <c r="E947" t="s">
        <v>48</v>
      </c>
      <c r="F947" t="s">
        <v>55</v>
      </c>
      <c r="G947" t="s">
        <v>42</v>
      </c>
      <c r="H947">
        <v>34.6</v>
      </c>
      <c r="I947">
        <v>4523</v>
      </c>
      <c r="J947">
        <v>84</v>
      </c>
      <c r="K947">
        <v>19.5</v>
      </c>
      <c r="L947" t="s">
        <v>78</v>
      </c>
      <c r="M947">
        <v>20098.23</v>
      </c>
      <c r="N947">
        <v>10560</v>
      </c>
      <c r="O947" t="s">
        <v>91</v>
      </c>
      <c r="P947" t="str">
        <f t="shared" si="126"/>
        <v>No</v>
      </c>
      <c r="Q947">
        <f t="shared" si="127"/>
        <v>130.72</v>
      </c>
      <c r="R947">
        <f t="shared" si="128"/>
        <v>4.4400000000000004</v>
      </c>
      <c r="S947">
        <f t="shared" si="129"/>
        <v>1.9</v>
      </c>
      <c r="T947" t="str">
        <f t="shared" si="130"/>
        <v>On Time</v>
      </c>
      <c r="U947" t="str">
        <f t="shared" si="131"/>
        <v>Low</v>
      </c>
      <c r="V947" t="str">
        <f t="shared" si="132"/>
        <v>Low Risk</v>
      </c>
      <c r="W947" t="str">
        <f t="shared" si="133"/>
        <v>Dec</v>
      </c>
      <c r="X947">
        <f t="shared" si="134"/>
        <v>2025</v>
      </c>
    </row>
    <row r="948" spans="1:24" x14ac:dyDescent="0.35">
      <c r="A948" s="3">
        <v>45955</v>
      </c>
      <c r="B948" t="s">
        <v>89</v>
      </c>
      <c r="C948" t="s">
        <v>95</v>
      </c>
      <c r="D948" t="s">
        <v>1094</v>
      </c>
      <c r="E948" t="s">
        <v>55</v>
      </c>
      <c r="F948" t="s">
        <v>41</v>
      </c>
      <c r="G948" t="s">
        <v>71</v>
      </c>
      <c r="H948">
        <v>26</v>
      </c>
      <c r="I948">
        <v>1529</v>
      </c>
      <c r="J948">
        <v>115</v>
      </c>
      <c r="K948">
        <v>11.7</v>
      </c>
      <c r="L948" t="s">
        <v>78</v>
      </c>
      <c r="M948">
        <v>15991.12</v>
      </c>
      <c r="N948">
        <v>29777</v>
      </c>
      <c r="O948" t="s">
        <v>44</v>
      </c>
      <c r="P948" t="str">
        <f t="shared" si="126"/>
        <v>No</v>
      </c>
      <c r="Q948">
        <f t="shared" si="127"/>
        <v>58.81</v>
      </c>
      <c r="R948">
        <f t="shared" si="128"/>
        <v>10.46</v>
      </c>
      <c r="S948">
        <f t="shared" si="129"/>
        <v>0.54</v>
      </c>
      <c r="T948" t="str">
        <f t="shared" si="130"/>
        <v>On Time</v>
      </c>
      <c r="U948" t="str">
        <f t="shared" si="131"/>
        <v>Low</v>
      </c>
      <c r="V948" t="str">
        <f t="shared" si="132"/>
        <v>Low Risk</v>
      </c>
      <c r="W948" t="str">
        <f t="shared" si="133"/>
        <v>Oct</v>
      </c>
      <c r="X948">
        <f t="shared" si="134"/>
        <v>2025</v>
      </c>
    </row>
    <row r="949" spans="1:24" x14ac:dyDescent="0.35">
      <c r="A949" s="3">
        <v>45984</v>
      </c>
      <c r="B949" t="s">
        <v>108</v>
      </c>
      <c r="C949" t="s">
        <v>25</v>
      </c>
      <c r="D949" t="s">
        <v>1095</v>
      </c>
      <c r="E949" t="s">
        <v>55</v>
      </c>
      <c r="F949" t="s">
        <v>66</v>
      </c>
      <c r="G949" t="s">
        <v>29</v>
      </c>
      <c r="H949">
        <v>58.3</v>
      </c>
      <c r="I949">
        <v>4067</v>
      </c>
      <c r="J949">
        <v>75</v>
      </c>
      <c r="K949">
        <v>12</v>
      </c>
      <c r="L949" t="s">
        <v>49</v>
      </c>
      <c r="M949">
        <v>26349.11</v>
      </c>
      <c r="N949">
        <v>10608</v>
      </c>
      <c r="O949" t="s">
        <v>84</v>
      </c>
      <c r="P949" t="str">
        <f t="shared" si="126"/>
        <v>Yes</v>
      </c>
      <c r="Q949">
        <f t="shared" si="127"/>
        <v>69.760000000000005</v>
      </c>
      <c r="R949">
        <f t="shared" si="128"/>
        <v>6.48</v>
      </c>
      <c r="S949">
        <f t="shared" si="129"/>
        <v>2.48</v>
      </c>
      <c r="T949" t="str">
        <f t="shared" si="130"/>
        <v>Delayed</v>
      </c>
      <c r="U949" t="str">
        <f t="shared" si="131"/>
        <v>Medium</v>
      </c>
      <c r="V949" t="str">
        <f t="shared" si="132"/>
        <v>High Risk</v>
      </c>
      <c r="W949" t="str">
        <f t="shared" si="133"/>
        <v>Nov</v>
      </c>
      <c r="X949">
        <f t="shared" si="134"/>
        <v>2025</v>
      </c>
    </row>
    <row r="950" spans="1:24" x14ac:dyDescent="0.35">
      <c r="A950" s="3">
        <v>45795</v>
      </c>
      <c r="B950" t="s">
        <v>275</v>
      </c>
      <c r="C950" t="s">
        <v>57</v>
      </c>
      <c r="D950" t="s">
        <v>1096</v>
      </c>
      <c r="E950" t="s">
        <v>55</v>
      </c>
      <c r="F950" t="s">
        <v>27</v>
      </c>
      <c r="G950" t="s">
        <v>71</v>
      </c>
      <c r="H950">
        <v>32.1</v>
      </c>
      <c r="I950">
        <v>4461</v>
      </c>
      <c r="J950">
        <v>82</v>
      </c>
      <c r="K950">
        <v>12</v>
      </c>
      <c r="L950" t="s">
        <v>49</v>
      </c>
      <c r="M950">
        <v>20649.52</v>
      </c>
      <c r="N950">
        <v>26146</v>
      </c>
      <c r="O950" t="s">
        <v>91</v>
      </c>
      <c r="P950" t="str">
        <f t="shared" si="126"/>
        <v>Yes</v>
      </c>
      <c r="Q950">
        <f t="shared" si="127"/>
        <v>138.97</v>
      </c>
      <c r="R950">
        <f t="shared" si="128"/>
        <v>4.63</v>
      </c>
      <c r="S950">
        <f t="shared" si="129"/>
        <v>0.79</v>
      </c>
      <c r="T950" t="str">
        <f t="shared" si="130"/>
        <v>Delayed</v>
      </c>
      <c r="U950" t="str">
        <f t="shared" si="131"/>
        <v>Low</v>
      </c>
      <c r="V950" t="str">
        <f t="shared" si="132"/>
        <v>High Risk</v>
      </c>
      <c r="W950" t="str">
        <f t="shared" si="133"/>
        <v>May</v>
      </c>
      <c r="X950">
        <f t="shared" si="134"/>
        <v>2025</v>
      </c>
    </row>
    <row r="951" spans="1:24" x14ac:dyDescent="0.35">
      <c r="A951" s="3">
        <v>45997</v>
      </c>
      <c r="B951" t="s">
        <v>111</v>
      </c>
      <c r="C951" t="s">
        <v>25</v>
      </c>
      <c r="D951" t="s">
        <v>1097</v>
      </c>
      <c r="E951" t="s">
        <v>28</v>
      </c>
      <c r="F951" t="s">
        <v>55</v>
      </c>
      <c r="G951" t="s">
        <v>35</v>
      </c>
      <c r="H951">
        <v>77.099999999999994</v>
      </c>
      <c r="I951">
        <v>3529</v>
      </c>
      <c r="J951">
        <v>102</v>
      </c>
      <c r="K951">
        <v>17.5</v>
      </c>
      <c r="L951" t="s">
        <v>49</v>
      </c>
      <c r="M951">
        <v>35620.25</v>
      </c>
      <c r="N951">
        <v>10228</v>
      </c>
      <c r="O951" t="s">
        <v>50</v>
      </c>
      <c r="P951" t="str">
        <f t="shared" si="126"/>
        <v>Yes</v>
      </c>
      <c r="Q951">
        <f t="shared" si="127"/>
        <v>45.77</v>
      </c>
      <c r="R951">
        <f t="shared" si="128"/>
        <v>10.09</v>
      </c>
      <c r="S951">
        <f t="shared" si="129"/>
        <v>3.48</v>
      </c>
      <c r="T951" t="str">
        <f t="shared" si="130"/>
        <v>Delayed</v>
      </c>
      <c r="U951" t="str">
        <f t="shared" si="131"/>
        <v>High</v>
      </c>
      <c r="V951" t="str">
        <f t="shared" si="132"/>
        <v>High Risk</v>
      </c>
      <c r="W951" t="str">
        <f t="shared" si="133"/>
        <v>Dec</v>
      </c>
      <c r="X951">
        <f t="shared" si="134"/>
        <v>2025</v>
      </c>
    </row>
    <row r="952" spans="1:24" x14ac:dyDescent="0.35">
      <c r="A952" s="3">
        <v>45705</v>
      </c>
      <c r="B952" t="s">
        <v>217</v>
      </c>
      <c r="C952" t="s">
        <v>69</v>
      </c>
      <c r="D952" t="s">
        <v>1098</v>
      </c>
      <c r="E952" t="s">
        <v>48</v>
      </c>
      <c r="F952" t="s">
        <v>55</v>
      </c>
      <c r="G952" t="s">
        <v>35</v>
      </c>
      <c r="H952">
        <v>28.7</v>
      </c>
      <c r="I952">
        <v>2148</v>
      </c>
      <c r="J952">
        <v>95</v>
      </c>
      <c r="K952">
        <v>18.100000000000001</v>
      </c>
      <c r="L952" t="s">
        <v>43</v>
      </c>
      <c r="M952">
        <v>14233.26</v>
      </c>
      <c r="N952">
        <v>26837</v>
      </c>
      <c r="O952" t="s">
        <v>84</v>
      </c>
      <c r="P952" t="str">
        <f t="shared" si="126"/>
        <v>Yes</v>
      </c>
      <c r="Q952">
        <f t="shared" si="127"/>
        <v>74.84</v>
      </c>
      <c r="R952">
        <f t="shared" si="128"/>
        <v>6.63</v>
      </c>
      <c r="S952">
        <f t="shared" si="129"/>
        <v>0.53</v>
      </c>
      <c r="T952" t="str">
        <f t="shared" si="130"/>
        <v>Delayed</v>
      </c>
      <c r="U952" t="str">
        <f t="shared" si="131"/>
        <v>Low</v>
      </c>
      <c r="V952" t="str">
        <f t="shared" si="132"/>
        <v>Low Risk</v>
      </c>
      <c r="W952" t="str">
        <f t="shared" si="133"/>
        <v>Feb</v>
      </c>
      <c r="X952">
        <f t="shared" si="134"/>
        <v>2025</v>
      </c>
    </row>
    <row r="953" spans="1:24" x14ac:dyDescent="0.35">
      <c r="A953" s="3">
        <v>45956</v>
      </c>
      <c r="B953" t="s">
        <v>150</v>
      </c>
      <c r="C953" t="s">
        <v>57</v>
      </c>
      <c r="D953" t="s">
        <v>1099</v>
      </c>
      <c r="E953" t="s">
        <v>55</v>
      </c>
      <c r="F953" t="s">
        <v>41</v>
      </c>
      <c r="G953" t="s">
        <v>29</v>
      </c>
      <c r="H953">
        <v>47.9</v>
      </c>
      <c r="I953">
        <v>3812</v>
      </c>
      <c r="J953">
        <v>66</v>
      </c>
      <c r="K953">
        <v>15.6</v>
      </c>
      <c r="L953" t="s">
        <v>43</v>
      </c>
      <c r="M953">
        <v>32287.09</v>
      </c>
      <c r="N953">
        <v>23301</v>
      </c>
      <c r="O953" t="s">
        <v>50</v>
      </c>
      <c r="P953" t="str">
        <f t="shared" si="126"/>
        <v>Yes</v>
      </c>
      <c r="Q953">
        <f t="shared" si="127"/>
        <v>79.58</v>
      </c>
      <c r="R953">
        <f t="shared" si="128"/>
        <v>8.4700000000000006</v>
      </c>
      <c r="S953">
        <f t="shared" si="129"/>
        <v>1.39</v>
      </c>
      <c r="T953" t="str">
        <f t="shared" si="130"/>
        <v>Delayed</v>
      </c>
      <c r="U953" t="str">
        <f t="shared" si="131"/>
        <v>Medium</v>
      </c>
      <c r="V953" t="str">
        <f t="shared" si="132"/>
        <v>Low Risk</v>
      </c>
      <c r="W953" t="str">
        <f t="shared" si="133"/>
        <v>Oct</v>
      </c>
      <c r="X953">
        <f t="shared" si="134"/>
        <v>2025</v>
      </c>
    </row>
    <row r="954" spans="1:24" x14ac:dyDescent="0.35">
      <c r="A954" s="3">
        <v>45807</v>
      </c>
      <c r="B954" t="s">
        <v>233</v>
      </c>
      <c r="C954" t="s">
        <v>69</v>
      </c>
      <c r="D954" t="s">
        <v>1100</v>
      </c>
      <c r="E954" t="s">
        <v>54</v>
      </c>
      <c r="F954" t="s">
        <v>48</v>
      </c>
      <c r="G954" t="s">
        <v>29</v>
      </c>
      <c r="H954">
        <v>60.5</v>
      </c>
      <c r="I954">
        <v>1337</v>
      </c>
      <c r="J954">
        <v>73</v>
      </c>
      <c r="K954">
        <v>17.100000000000001</v>
      </c>
      <c r="L954" t="s">
        <v>49</v>
      </c>
      <c r="M954">
        <v>34936.46</v>
      </c>
      <c r="N954">
        <v>8981</v>
      </c>
      <c r="O954" t="s">
        <v>91</v>
      </c>
      <c r="P954" t="str">
        <f t="shared" si="126"/>
        <v>Yes</v>
      </c>
      <c r="Q954">
        <f t="shared" si="127"/>
        <v>22.1</v>
      </c>
      <c r="R954">
        <f t="shared" si="128"/>
        <v>26.13</v>
      </c>
      <c r="S954">
        <f t="shared" si="129"/>
        <v>3.89</v>
      </c>
      <c r="T954" t="str">
        <f t="shared" si="130"/>
        <v>Delayed</v>
      </c>
      <c r="U954" t="str">
        <f t="shared" si="131"/>
        <v>High</v>
      </c>
      <c r="V954" t="str">
        <f t="shared" si="132"/>
        <v>High Risk</v>
      </c>
      <c r="W954" t="str">
        <f t="shared" si="133"/>
        <v>May</v>
      </c>
      <c r="X954">
        <f t="shared" si="134"/>
        <v>2025</v>
      </c>
    </row>
    <row r="955" spans="1:24" x14ac:dyDescent="0.35">
      <c r="A955" s="3">
        <v>45722</v>
      </c>
      <c r="B955" t="s">
        <v>244</v>
      </c>
      <c r="C955" t="s">
        <v>109</v>
      </c>
      <c r="D955" t="s">
        <v>1101</v>
      </c>
      <c r="E955" t="s">
        <v>63</v>
      </c>
      <c r="F955" t="s">
        <v>48</v>
      </c>
      <c r="G955" t="s">
        <v>42</v>
      </c>
      <c r="H955">
        <v>34.6</v>
      </c>
      <c r="I955">
        <v>4668</v>
      </c>
      <c r="J955">
        <v>39</v>
      </c>
      <c r="K955">
        <v>10.9</v>
      </c>
      <c r="L955" t="s">
        <v>30</v>
      </c>
      <c r="M955">
        <v>17667.61</v>
      </c>
      <c r="N955">
        <v>29487</v>
      </c>
      <c r="O955" t="s">
        <v>50</v>
      </c>
      <c r="P955" t="str">
        <f t="shared" si="126"/>
        <v>Yes</v>
      </c>
      <c r="Q955">
        <f t="shared" si="127"/>
        <v>134.91</v>
      </c>
      <c r="R955">
        <f t="shared" si="128"/>
        <v>3.78</v>
      </c>
      <c r="S955">
        <f t="shared" si="129"/>
        <v>0.6</v>
      </c>
      <c r="T955" t="str">
        <f t="shared" si="130"/>
        <v>Delayed</v>
      </c>
      <c r="U955" t="str">
        <f t="shared" si="131"/>
        <v>Low</v>
      </c>
      <c r="V955" t="str">
        <f t="shared" si="132"/>
        <v>Medium Risk</v>
      </c>
      <c r="W955" t="str">
        <f t="shared" si="133"/>
        <v>Mar</v>
      </c>
      <c r="X955">
        <f t="shared" si="134"/>
        <v>2025</v>
      </c>
    </row>
    <row r="956" spans="1:24" x14ac:dyDescent="0.35">
      <c r="A956" s="3">
        <v>45983</v>
      </c>
      <c r="B956" t="s">
        <v>157</v>
      </c>
      <c r="C956" t="s">
        <v>25</v>
      </c>
      <c r="D956" t="s">
        <v>1102</v>
      </c>
      <c r="E956" t="s">
        <v>28</v>
      </c>
      <c r="F956" t="s">
        <v>54</v>
      </c>
      <c r="G956" t="s">
        <v>29</v>
      </c>
      <c r="H956">
        <v>60.9</v>
      </c>
      <c r="I956">
        <v>3564</v>
      </c>
      <c r="J956">
        <v>99</v>
      </c>
      <c r="K956">
        <v>13.2</v>
      </c>
      <c r="L956" t="s">
        <v>49</v>
      </c>
      <c r="M956">
        <v>41501.26</v>
      </c>
      <c r="N956">
        <v>6768</v>
      </c>
      <c r="O956" t="s">
        <v>44</v>
      </c>
      <c r="P956" t="str">
        <f t="shared" si="126"/>
        <v>Yes</v>
      </c>
      <c r="Q956">
        <f t="shared" si="127"/>
        <v>58.52</v>
      </c>
      <c r="R956">
        <f t="shared" si="128"/>
        <v>11.64</v>
      </c>
      <c r="S956">
        <f t="shared" si="129"/>
        <v>6.13</v>
      </c>
      <c r="T956" t="str">
        <f t="shared" si="130"/>
        <v>Delayed</v>
      </c>
      <c r="U956" t="str">
        <f t="shared" si="131"/>
        <v>High</v>
      </c>
      <c r="V956" t="str">
        <f t="shared" si="132"/>
        <v>High Risk</v>
      </c>
      <c r="W956" t="str">
        <f t="shared" si="133"/>
        <v>Nov</v>
      </c>
      <c r="X956">
        <f t="shared" si="134"/>
        <v>2025</v>
      </c>
    </row>
    <row r="957" spans="1:24" x14ac:dyDescent="0.35">
      <c r="A957" s="3">
        <v>45703</v>
      </c>
      <c r="B957" t="s">
        <v>167</v>
      </c>
      <c r="C957" t="s">
        <v>130</v>
      </c>
      <c r="D957" t="s">
        <v>1103</v>
      </c>
      <c r="E957" t="s">
        <v>28</v>
      </c>
      <c r="F957" t="s">
        <v>41</v>
      </c>
      <c r="G957" t="s">
        <v>29</v>
      </c>
      <c r="H957">
        <v>72.3</v>
      </c>
      <c r="I957">
        <v>3563</v>
      </c>
      <c r="J957">
        <v>97</v>
      </c>
      <c r="K957">
        <v>11.3</v>
      </c>
      <c r="L957" t="s">
        <v>43</v>
      </c>
      <c r="M957">
        <v>43758.36</v>
      </c>
      <c r="N957">
        <v>29110</v>
      </c>
      <c r="O957" t="s">
        <v>59</v>
      </c>
      <c r="P957" t="str">
        <f t="shared" si="126"/>
        <v>Yes</v>
      </c>
      <c r="Q957">
        <f t="shared" si="127"/>
        <v>49.28</v>
      </c>
      <c r="R957">
        <f t="shared" si="128"/>
        <v>12.28</v>
      </c>
      <c r="S957">
        <f t="shared" si="129"/>
        <v>1.5</v>
      </c>
      <c r="T957" t="str">
        <f t="shared" si="130"/>
        <v>Delayed</v>
      </c>
      <c r="U957" t="str">
        <f t="shared" si="131"/>
        <v>High</v>
      </c>
      <c r="V957" t="str">
        <f t="shared" si="132"/>
        <v>Low Risk</v>
      </c>
      <c r="W957" t="str">
        <f t="shared" si="133"/>
        <v>Feb</v>
      </c>
      <c r="X957">
        <f t="shared" si="134"/>
        <v>2025</v>
      </c>
    </row>
    <row r="958" spans="1:24" x14ac:dyDescent="0.35">
      <c r="A958" s="3">
        <v>45803</v>
      </c>
      <c r="B958" t="s">
        <v>154</v>
      </c>
      <c r="C958" t="s">
        <v>25</v>
      </c>
      <c r="D958" t="s">
        <v>1104</v>
      </c>
      <c r="E958" t="s">
        <v>41</v>
      </c>
      <c r="F958" t="s">
        <v>55</v>
      </c>
      <c r="G958" t="s">
        <v>29</v>
      </c>
      <c r="H958">
        <v>43.7</v>
      </c>
      <c r="I958">
        <v>3335</v>
      </c>
      <c r="J958">
        <v>46</v>
      </c>
      <c r="K958">
        <v>18.899999999999999</v>
      </c>
      <c r="L958" t="s">
        <v>49</v>
      </c>
      <c r="M958">
        <v>23516.799999999999</v>
      </c>
      <c r="N958">
        <v>21954</v>
      </c>
      <c r="O958" t="s">
        <v>31</v>
      </c>
      <c r="P958" t="str">
        <f t="shared" si="126"/>
        <v>Yes</v>
      </c>
      <c r="Q958">
        <f t="shared" si="127"/>
        <v>76.319999999999993</v>
      </c>
      <c r="R958">
        <f t="shared" si="128"/>
        <v>7.05</v>
      </c>
      <c r="S958">
        <f t="shared" si="129"/>
        <v>1.07</v>
      </c>
      <c r="T958" t="str">
        <f t="shared" si="130"/>
        <v>Delayed</v>
      </c>
      <c r="U958" t="str">
        <f t="shared" si="131"/>
        <v>Medium</v>
      </c>
      <c r="V958" t="str">
        <f t="shared" si="132"/>
        <v>High Risk</v>
      </c>
      <c r="W958" t="str">
        <f t="shared" si="133"/>
        <v>May</v>
      </c>
      <c r="X958">
        <f t="shared" si="134"/>
        <v>2025</v>
      </c>
    </row>
    <row r="959" spans="1:24" x14ac:dyDescent="0.35">
      <c r="A959" s="3">
        <v>45735</v>
      </c>
      <c r="B959" t="s">
        <v>430</v>
      </c>
      <c r="C959" t="s">
        <v>109</v>
      </c>
      <c r="D959" t="s">
        <v>1105</v>
      </c>
      <c r="E959" t="s">
        <v>66</v>
      </c>
      <c r="F959" t="s">
        <v>27</v>
      </c>
      <c r="G959" t="s">
        <v>42</v>
      </c>
      <c r="H959">
        <v>49.3</v>
      </c>
      <c r="I959">
        <v>3279</v>
      </c>
      <c r="J959">
        <v>82</v>
      </c>
      <c r="K959">
        <v>10.3</v>
      </c>
      <c r="L959" t="s">
        <v>30</v>
      </c>
      <c r="M959">
        <v>29592.639999999999</v>
      </c>
      <c r="N959">
        <v>9073</v>
      </c>
      <c r="O959" t="s">
        <v>67</v>
      </c>
      <c r="P959" t="str">
        <f t="shared" si="126"/>
        <v>Yes</v>
      </c>
      <c r="Q959">
        <f t="shared" si="127"/>
        <v>66.510000000000005</v>
      </c>
      <c r="R959">
        <f t="shared" si="128"/>
        <v>9.02</v>
      </c>
      <c r="S959">
        <f t="shared" si="129"/>
        <v>3.26</v>
      </c>
      <c r="T959" t="str">
        <f t="shared" si="130"/>
        <v>Delayed</v>
      </c>
      <c r="U959" t="str">
        <f t="shared" si="131"/>
        <v>Medium</v>
      </c>
      <c r="V959" t="str">
        <f t="shared" si="132"/>
        <v>Medium Risk</v>
      </c>
      <c r="W959" t="str">
        <f t="shared" si="133"/>
        <v>Mar</v>
      </c>
      <c r="X959">
        <f t="shared" si="134"/>
        <v>2025</v>
      </c>
    </row>
    <row r="960" spans="1:24" x14ac:dyDescent="0.35">
      <c r="A960" s="3">
        <v>45973</v>
      </c>
      <c r="B960" t="s">
        <v>317</v>
      </c>
      <c r="C960" t="s">
        <v>130</v>
      </c>
      <c r="D960" t="s">
        <v>1106</v>
      </c>
      <c r="E960" t="s">
        <v>55</v>
      </c>
      <c r="F960" t="s">
        <v>63</v>
      </c>
      <c r="G960" t="s">
        <v>71</v>
      </c>
      <c r="H960">
        <v>74.7</v>
      </c>
      <c r="I960">
        <v>717</v>
      </c>
      <c r="J960">
        <v>116</v>
      </c>
      <c r="K960">
        <v>21.5</v>
      </c>
      <c r="L960" t="s">
        <v>43</v>
      </c>
      <c r="M960">
        <v>40634.19</v>
      </c>
      <c r="N960">
        <v>13981</v>
      </c>
      <c r="O960" t="s">
        <v>67</v>
      </c>
      <c r="P960" t="str">
        <f t="shared" si="126"/>
        <v>Yes</v>
      </c>
      <c r="Q960">
        <f t="shared" si="127"/>
        <v>9.6</v>
      </c>
      <c r="R960">
        <f t="shared" si="128"/>
        <v>56.67</v>
      </c>
      <c r="S960">
        <f t="shared" si="129"/>
        <v>2.91</v>
      </c>
      <c r="T960" t="str">
        <f t="shared" si="130"/>
        <v>Delayed</v>
      </c>
      <c r="U960" t="str">
        <f t="shared" si="131"/>
        <v>High</v>
      </c>
      <c r="V960" t="str">
        <f t="shared" si="132"/>
        <v>Low Risk</v>
      </c>
      <c r="W960" t="str">
        <f t="shared" si="133"/>
        <v>Nov</v>
      </c>
      <c r="X960">
        <f t="shared" si="134"/>
        <v>2025</v>
      </c>
    </row>
    <row r="961" spans="1:24" x14ac:dyDescent="0.35">
      <c r="A961" s="3">
        <v>45979</v>
      </c>
      <c r="B961" t="s">
        <v>46</v>
      </c>
      <c r="C961" t="s">
        <v>95</v>
      </c>
      <c r="D961" t="s">
        <v>1107</v>
      </c>
      <c r="E961" t="s">
        <v>27</v>
      </c>
      <c r="F961" t="s">
        <v>66</v>
      </c>
      <c r="G961" t="s">
        <v>71</v>
      </c>
      <c r="H961">
        <v>45.9</v>
      </c>
      <c r="I961">
        <v>1575</v>
      </c>
      <c r="J961">
        <v>66</v>
      </c>
      <c r="K961">
        <v>20.8</v>
      </c>
      <c r="L961" t="s">
        <v>49</v>
      </c>
      <c r="M961">
        <v>26181.66</v>
      </c>
      <c r="N961">
        <v>9740</v>
      </c>
      <c r="O961" t="s">
        <v>31</v>
      </c>
      <c r="P961" t="str">
        <f t="shared" si="126"/>
        <v>Yes</v>
      </c>
      <c r="Q961">
        <f t="shared" si="127"/>
        <v>34.31</v>
      </c>
      <c r="R961">
        <f t="shared" si="128"/>
        <v>16.62</v>
      </c>
      <c r="S961">
        <f t="shared" si="129"/>
        <v>2.69</v>
      </c>
      <c r="T961" t="str">
        <f t="shared" si="130"/>
        <v>Delayed</v>
      </c>
      <c r="U961" t="str">
        <f t="shared" si="131"/>
        <v>Medium</v>
      </c>
      <c r="V961" t="str">
        <f t="shared" si="132"/>
        <v>High Risk</v>
      </c>
      <c r="W961" t="str">
        <f t="shared" si="133"/>
        <v>Nov</v>
      </c>
      <c r="X961">
        <f t="shared" si="134"/>
        <v>2025</v>
      </c>
    </row>
    <row r="962" spans="1:24" x14ac:dyDescent="0.35">
      <c r="A962" s="3">
        <v>45912</v>
      </c>
      <c r="B962" t="s">
        <v>217</v>
      </c>
      <c r="C962" t="s">
        <v>109</v>
      </c>
      <c r="D962" t="s">
        <v>1108</v>
      </c>
      <c r="E962" t="s">
        <v>48</v>
      </c>
      <c r="F962" t="s">
        <v>63</v>
      </c>
      <c r="G962" t="s">
        <v>35</v>
      </c>
      <c r="H962">
        <v>67.900000000000006</v>
      </c>
      <c r="I962">
        <v>3764</v>
      </c>
      <c r="J962">
        <v>89</v>
      </c>
      <c r="K962">
        <v>15.3</v>
      </c>
      <c r="L962" t="s">
        <v>43</v>
      </c>
      <c r="M962">
        <v>38063.93</v>
      </c>
      <c r="N962">
        <v>21278</v>
      </c>
      <c r="O962" t="s">
        <v>44</v>
      </c>
      <c r="P962" t="str">
        <f t="shared" ref="P962:P1001" si="135">IF(OR(L962="Rain",L962="Fog",L962="Storm"),"Yes","No")</f>
        <v>Yes</v>
      </c>
      <c r="Q962">
        <f t="shared" ref="Q962:Q1001" si="136">ROUND(I962/H962,2)</f>
        <v>55.43</v>
      </c>
      <c r="R962">
        <f t="shared" ref="R962:R1001" si="137">ROUND(M962/I962,2)</f>
        <v>10.11</v>
      </c>
      <c r="S962">
        <f t="shared" ref="S962:S1001" si="138">ROUND(M962/N962,2)</f>
        <v>1.79</v>
      </c>
      <c r="T962" t="str">
        <f t="shared" ref="T962:T1001" si="139">IF(P962="Yes","Delayed","On Time")</f>
        <v>Delayed</v>
      </c>
      <c r="U962" t="str">
        <f t="shared" ref="U962:U1001" si="140">IF(H962&gt;=60,"High",IF(H962&gt;=40,"Medium","Low"))</f>
        <v>High</v>
      </c>
      <c r="V962" t="str">
        <f t="shared" ref="V962:V1001" si="141">IF(L962="Storm","High Risk",IF(L962="Rain","Medium Risk","Low Risk"))</f>
        <v>Low Risk</v>
      </c>
      <c r="W962" t="str">
        <f t="shared" ref="W962:W1001" si="142">TEXT(A962,"mmm")</f>
        <v>Sep</v>
      </c>
      <c r="X962">
        <f t="shared" si="134"/>
        <v>2025</v>
      </c>
    </row>
    <row r="963" spans="1:24" x14ac:dyDescent="0.35">
      <c r="A963" s="3">
        <v>45667</v>
      </c>
      <c r="B963" t="s">
        <v>125</v>
      </c>
      <c r="C963" t="s">
        <v>39</v>
      </c>
      <c r="D963" t="s">
        <v>1109</v>
      </c>
      <c r="E963" t="s">
        <v>54</v>
      </c>
      <c r="F963" t="s">
        <v>66</v>
      </c>
      <c r="G963" t="s">
        <v>35</v>
      </c>
      <c r="H963">
        <v>24.8</v>
      </c>
      <c r="I963">
        <v>893</v>
      </c>
      <c r="J963">
        <v>118</v>
      </c>
      <c r="K963">
        <v>19.5</v>
      </c>
      <c r="L963" t="s">
        <v>49</v>
      </c>
      <c r="M963">
        <v>12144.07</v>
      </c>
      <c r="N963">
        <v>28840</v>
      </c>
      <c r="O963" t="s">
        <v>91</v>
      </c>
      <c r="P963" t="str">
        <f t="shared" si="135"/>
        <v>Yes</v>
      </c>
      <c r="Q963">
        <f t="shared" si="136"/>
        <v>36.01</v>
      </c>
      <c r="R963">
        <f t="shared" si="137"/>
        <v>13.6</v>
      </c>
      <c r="S963">
        <f t="shared" si="138"/>
        <v>0.42</v>
      </c>
      <c r="T963" t="str">
        <f t="shared" si="139"/>
        <v>Delayed</v>
      </c>
      <c r="U963" t="str">
        <f t="shared" si="140"/>
        <v>Low</v>
      </c>
      <c r="V963" t="str">
        <f t="shared" si="141"/>
        <v>High Risk</v>
      </c>
      <c r="W963" t="str">
        <f t="shared" si="142"/>
        <v>Jan</v>
      </c>
      <c r="X963">
        <f t="shared" ref="X963:X1001" si="143">YEAR(A963)</f>
        <v>2025</v>
      </c>
    </row>
    <row r="964" spans="1:24" x14ac:dyDescent="0.35">
      <c r="A964" s="3">
        <v>46015</v>
      </c>
      <c r="B964" t="s">
        <v>430</v>
      </c>
      <c r="C964" t="s">
        <v>25</v>
      </c>
      <c r="D964" t="s">
        <v>1110</v>
      </c>
      <c r="E964" t="s">
        <v>27</v>
      </c>
      <c r="F964" t="s">
        <v>66</v>
      </c>
      <c r="G964" t="s">
        <v>35</v>
      </c>
      <c r="H964">
        <v>50.9</v>
      </c>
      <c r="I964">
        <v>4090</v>
      </c>
      <c r="J964">
        <v>54</v>
      </c>
      <c r="K964">
        <v>17.8</v>
      </c>
      <c r="L964" t="s">
        <v>49</v>
      </c>
      <c r="M964">
        <v>34580.06</v>
      </c>
      <c r="N964">
        <v>12371</v>
      </c>
      <c r="O964" t="s">
        <v>91</v>
      </c>
      <c r="P964" t="str">
        <f t="shared" si="135"/>
        <v>Yes</v>
      </c>
      <c r="Q964">
        <f t="shared" si="136"/>
        <v>80.349999999999994</v>
      </c>
      <c r="R964">
        <f t="shared" si="137"/>
        <v>8.4499999999999993</v>
      </c>
      <c r="S964">
        <f t="shared" si="138"/>
        <v>2.8</v>
      </c>
      <c r="T964" t="str">
        <f t="shared" si="139"/>
        <v>Delayed</v>
      </c>
      <c r="U964" t="str">
        <f t="shared" si="140"/>
        <v>Medium</v>
      </c>
      <c r="V964" t="str">
        <f t="shared" si="141"/>
        <v>High Risk</v>
      </c>
      <c r="W964" t="str">
        <f t="shared" si="142"/>
        <v>Dec</v>
      </c>
      <c r="X964">
        <f t="shared" si="143"/>
        <v>2025</v>
      </c>
    </row>
    <row r="965" spans="1:24" x14ac:dyDescent="0.35">
      <c r="A965" s="3">
        <v>45947</v>
      </c>
      <c r="B965" t="s">
        <v>129</v>
      </c>
      <c r="C965" t="s">
        <v>95</v>
      </c>
      <c r="D965" t="s">
        <v>1111</v>
      </c>
      <c r="E965" t="s">
        <v>54</v>
      </c>
      <c r="F965" t="s">
        <v>48</v>
      </c>
      <c r="G965" t="s">
        <v>42</v>
      </c>
      <c r="H965">
        <v>75.3</v>
      </c>
      <c r="I965">
        <v>4523</v>
      </c>
      <c r="J965">
        <v>77</v>
      </c>
      <c r="K965">
        <v>14.2</v>
      </c>
      <c r="L965" t="s">
        <v>49</v>
      </c>
      <c r="M965">
        <v>35085.68</v>
      </c>
      <c r="N965">
        <v>17582</v>
      </c>
      <c r="O965" t="s">
        <v>36</v>
      </c>
      <c r="P965" t="str">
        <f t="shared" si="135"/>
        <v>Yes</v>
      </c>
      <c r="Q965">
        <f t="shared" si="136"/>
        <v>60.07</v>
      </c>
      <c r="R965">
        <f t="shared" si="137"/>
        <v>7.76</v>
      </c>
      <c r="S965">
        <f t="shared" si="138"/>
        <v>2</v>
      </c>
      <c r="T965" t="str">
        <f t="shared" si="139"/>
        <v>Delayed</v>
      </c>
      <c r="U965" t="str">
        <f t="shared" si="140"/>
        <v>High</v>
      </c>
      <c r="V965" t="str">
        <f t="shared" si="141"/>
        <v>High Risk</v>
      </c>
      <c r="W965" t="str">
        <f t="shared" si="142"/>
        <v>Oct</v>
      </c>
      <c r="X965">
        <f t="shared" si="143"/>
        <v>2025</v>
      </c>
    </row>
    <row r="966" spans="1:24" x14ac:dyDescent="0.35">
      <c r="A966" s="3">
        <v>45728</v>
      </c>
      <c r="B966" t="s">
        <v>188</v>
      </c>
      <c r="C966" t="s">
        <v>25</v>
      </c>
      <c r="D966" t="s">
        <v>1112</v>
      </c>
      <c r="E966" t="s">
        <v>66</v>
      </c>
      <c r="F966" t="s">
        <v>41</v>
      </c>
      <c r="G966" t="s">
        <v>35</v>
      </c>
      <c r="H966">
        <v>37.6</v>
      </c>
      <c r="I966">
        <v>3325</v>
      </c>
      <c r="J966">
        <v>57</v>
      </c>
      <c r="K966">
        <v>11.7</v>
      </c>
      <c r="L966" t="s">
        <v>49</v>
      </c>
      <c r="M966">
        <v>22734.85</v>
      </c>
      <c r="N966">
        <v>21427</v>
      </c>
      <c r="O966" t="s">
        <v>91</v>
      </c>
      <c r="P966" t="str">
        <f t="shared" si="135"/>
        <v>Yes</v>
      </c>
      <c r="Q966">
        <f t="shared" si="136"/>
        <v>88.43</v>
      </c>
      <c r="R966">
        <f t="shared" si="137"/>
        <v>6.84</v>
      </c>
      <c r="S966">
        <f t="shared" si="138"/>
        <v>1.06</v>
      </c>
      <c r="T966" t="str">
        <f t="shared" si="139"/>
        <v>Delayed</v>
      </c>
      <c r="U966" t="str">
        <f t="shared" si="140"/>
        <v>Low</v>
      </c>
      <c r="V966" t="str">
        <f t="shared" si="141"/>
        <v>High Risk</v>
      </c>
      <c r="W966" t="str">
        <f t="shared" si="142"/>
        <v>Mar</v>
      </c>
      <c r="X966">
        <f t="shared" si="143"/>
        <v>2025</v>
      </c>
    </row>
    <row r="967" spans="1:24" x14ac:dyDescent="0.35">
      <c r="A967" s="3">
        <v>45883</v>
      </c>
      <c r="B967" t="s">
        <v>120</v>
      </c>
      <c r="C967" t="s">
        <v>95</v>
      </c>
      <c r="D967" t="s">
        <v>1113</v>
      </c>
      <c r="E967" t="s">
        <v>28</v>
      </c>
      <c r="F967" t="s">
        <v>54</v>
      </c>
      <c r="G967" t="s">
        <v>35</v>
      </c>
      <c r="H967">
        <v>62.9</v>
      </c>
      <c r="I967">
        <v>4500</v>
      </c>
      <c r="J967">
        <v>100</v>
      </c>
      <c r="K967">
        <v>20.2</v>
      </c>
      <c r="L967" t="s">
        <v>49</v>
      </c>
      <c r="M967">
        <v>33020.51</v>
      </c>
      <c r="N967">
        <v>20441</v>
      </c>
      <c r="O967" t="s">
        <v>67</v>
      </c>
      <c r="P967" t="str">
        <f t="shared" si="135"/>
        <v>Yes</v>
      </c>
      <c r="Q967">
        <f t="shared" si="136"/>
        <v>71.540000000000006</v>
      </c>
      <c r="R967">
        <f t="shared" si="137"/>
        <v>7.34</v>
      </c>
      <c r="S967">
        <f t="shared" si="138"/>
        <v>1.62</v>
      </c>
      <c r="T967" t="str">
        <f t="shared" si="139"/>
        <v>Delayed</v>
      </c>
      <c r="U967" t="str">
        <f t="shared" si="140"/>
        <v>High</v>
      </c>
      <c r="V967" t="str">
        <f t="shared" si="141"/>
        <v>High Risk</v>
      </c>
      <c r="W967" t="str">
        <f t="shared" si="142"/>
        <v>Aug</v>
      </c>
      <c r="X967">
        <f t="shared" si="143"/>
        <v>2025</v>
      </c>
    </row>
    <row r="968" spans="1:24" x14ac:dyDescent="0.35">
      <c r="A968" s="3">
        <v>45816</v>
      </c>
      <c r="B968" t="s">
        <v>246</v>
      </c>
      <c r="C968" t="s">
        <v>109</v>
      </c>
      <c r="D968" t="s">
        <v>1114</v>
      </c>
      <c r="E968" t="s">
        <v>27</v>
      </c>
      <c r="F968" t="s">
        <v>63</v>
      </c>
      <c r="G968" t="s">
        <v>42</v>
      </c>
      <c r="H968">
        <v>71.7</v>
      </c>
      <c r="I968">
        <v>3304</v>
      </c>
      <c r="J968">
        <v>39</v>
      </c>
      <c r="K968">
        <v>20.2</v>
      </c>
      <c r="L968" t="s">
        <v>43</v>
      </c>
      <c r="M968">
        <v>36666.080000000002</v>
      </c>
      <c r="N968">
        <v>16713</v>
      </c>
      <c r="O968" t="s">
        <v>84</v>
      </c>
      <c r="P968" t="str">
        <f t="shared" si="135"/>
        <v>Yes</v>
      </c>
      <c r="Q968">
        <f t="shared" si="136"/>
        <v>46.08</v>
      </c>
      <c r="R968">
        <f t="shared" si="137"/>
        <v>11.1</v>
      </c>
      <c r="S968">
        <f t="shared" si="138"/>
        <v>2.19</v>
      </c>
      <c r="T968" t="str">
        <f t="shared" si="139"/>
        <v>Delayed</v>
      </c>
      <c r="U968" t="str">
        <f t="shared" si="140"/>
        <v>High</v>
      </c>
      <c r="V968" t="str">
        <f t="shared" si="141"/>
        <v>Low Risk</v>
      </c>
      <c r="W968" t="str">
        <f t="shared" si="142"/>
        <v>Jun</v>
      </c>
      <c r="X968">
        <f t="shared" si="143"/>
        <v>2025</v>
      </c>
    </row>
    <row r="969" spans="1:24" x14ac:dyDescent="0.35">
      <c r="A969" s="3">
        <v>45845</v>
      </c>
      <c r="B969" t="s">
        <v>92</v>
      </c>
      <c r="C969" t="s">
        <v>25</v>
      </c>
      <c r="D969" t="s">
        <v>1115</v>
      </c>
      <c r="E969" t="s">
        <v>28</v>
      </c>
      <c r="F969" t="s">
        <v>63</v>
      </c>
      <c r="G969" t="s">
        <v>29</v>
      </c>
      <c r="H969">
        <v>49.6</v>
      </c>
      <c r="I969">
        <v>2708</v>
      </c>
      <c r="J969">
        <v>20</v>
      </c>
      <c r="K969">
        <v>11.4</v>
      </c>
      <c r="L969" t="s">
        <v>49</v>
      </c>
      <c r="M969">
        <v>25541.599999999999</v>
      </c>
      <c r="N969">
        <v>7537</v>
      </c>
      <c r="O969" t="s">
        <v>59</v>
      </c>
      <c r="P969" t="str">
        <f t="shared" si="135"/>
        <v>Yes</v>
      </c>
      <c r="Q969">
        <f t="shared" si="136"/>
        <v>54.6</v>
      </c>
      <c r="R969">
        <f t="shared" si="137"/>
        <v>9.43</v>
      </c>
      <c r="S969">
        <f t="shared" si="138"/>
        <v>3.39</v>
      </c>
      <c r="T969" t="str">
        <f t="shared" si="139"/>
        <v>Delayed</v>
      </c>
      <c r="U969" t="str">
        <f t="shared" si="140"/>
        <v>Medium</v>
      </c>
      <c r="V969" t="str">
        <f t="shared" si="141"/>
        <v>High Risk</v>
      </c>
      <c r="W969" t="str">
        <f t="shared" si="142"/>
        <v>Jul</v>
      </c>
      <c r="X969">
        <f t="shared" si="143"/>
        <v>2025</v>
      </c>
    </row>
    <row r="970" spans="1:24" x14ac:dyDescent="0.35">
      <c r="A970" s="3">
        <v>46007</v>
      </c>
      <c r="B970" t="s">
        <v>256</v>
      </c>
      <c r="C970" t="s">
        <v>109</v>
      </c>
      <c r="D970" t="s">
        <v>1116</v>
      </c>
      <c r="E970" t="s">
        <v>55</v>
      </c>
      <c r="F970" t="s">
        <v>63</v>
      </c>
      <c r="G970" t="s">
        <v>29</v>
      </c>
      <c r="H970">
        <v>22.4</v>
      </c>
      <c r="I970">
        <v>806</v>
      </c>
      <c r="J970">
        <v>34</v>
      </c>
      <c r="K970">
        <v>18.600000000000001</v>
      </c>
      <c r="L970" t="s">
        <v>78</v>
      </c>
      <c r="M970">
        <v>13880.41</v>
      </c>
      <c r="N970">
        <v>22165</v>
      </c>
      <c r="O970" t="s">
        <v>50</v>
      </c>
      <c r="P970" t="str">
        <f t="shared" si="135"/>
        <v>No</v>
      </c>
      <c r="Q970">
        <f t="shared" si="136"/>
        <v>35.979999999999997</v>
      </c>
      <c r="R970">
        <f t="shared" si="137"/>
        <v>17.22</v>
      </c>
      <c r="S970">
        <f t="shared" si="138"/>
        <v>0.63</v>
      </c>
      <c r="T970" t="str">
        <f t="shared" si="139"/>
        <v>On Time</v>
      </c>
      <c r="U970" t="str">
        <f t="shared" si="140"/>
        <v>Low</v>
      </c>
      <c r="V970" t="str">
        <f t="shared" si="141"/>
        <v>Low Risk</v>
      </c>
      <c r="W970" t="str">
        <f t="shared" si="142"/>
        <v>Dec</v>
      </c>
      <c r="X970">
        <f t="shared" si="143"/>
        <v>2025</v>
      </c>
    </row>
    <row r="971" spans="1:24" x14ac:dyDescent="0.35">
      <c r="A971" s="3">
        <v>45824</v>
      </c>
      <c r="B971" t="s">
        <v>157</v>
      </c>
      <c r="C971" t="s">
        <v>130</v>
      </c>
      <c r="D971" t="s">
        <v>1117</v>
      </c>
      <c r="E971" t="s">
        <v>55</v>
      </c>
      <c r="F971" t="s">
        <v>66</v>
      </c>
      <c r="G971" t="s">
        <v>71</v>
      </c>
      <c r="H971">
        <v>76.599999999999994</v>
      </c>
      <c r="I971">
        <v>4736</v>
      </c>
      <c r="J971">
        <v>96</v>
      </c>
      <c r="K971">
        <v>18</v>
      </c>
      <c r="L971" t="s">
        <v>43</v>
      </c>
      <c r="M971">
        <v>53413</v>
      </c>
      <c r="N971">
        <v>12181</v>
      </c>
      <c r="O971" t="s">
        <v>31</v>
      </c>
      <c r="P971" t="str">
        <f t="shared" si="135"/>
        <v>Yes</v>
      </c>
      <c r="Q971">
        <f t="shared" si="136"/>
        <v>61.83</v>
      </c>
      <c r="R971">
        <f t="shared" si="137"/>
        <v>11.28</v>
      </c>
      <c r="S971">
        <f t="shared" si="138"/>
        <v>4.38</v>
      </c>
      <c r="T971" t="str">
        <f t="shared" si="139"/>
        <v>Delayed</v>
      </c>
      <c r="U971" t="str">
        <f t="shared" si="140"/>
        <v>High</v>
      </c>
      <c r="V971" t="str">
        <f t="shared" si="141"/>
        <v>Low Risk</v>
      </c>
      <c r="W971" t="str">
        <f t="shared" si="142"/>
        <v>Jun</v>
      </c>
      <c r="X971">
        <f t="shared" si="143"/>
        <v>2025</v>
      </c>
    </row>
    <row r="972" spans="1:24" x14ac:dyDescent="0.35">
      <c r="A972" s="3">
        <v>45897</v>
      </c>
      <c r="B972" t="s">
        <v>113</v>
      </c>
      <c r="C972" t="s">
        <v>130</v>
      </c>
      <c r="D972" t="s">
        <v>1118</v>
      </c>
      <c r="E972" t="s">
        <v>28</v>
      </c>
      <c r="F972" t="s">
        <v>66</v>
      </c>
      <c r="G972" t="s">
        <v>35</v>
      </c>
      <c r="H972">
        <v>66.5</v>
      </c>
      <c r="I972">
        <v>2215</v>
      </c>
      <c r="J972">
        <v>120</v>
      </c>
      <c r="K972">
        <v>17</v>
      </c>
      <c r="L972" t="s">
        <v>43</v>
      </c>
      <c r="M972">
        <v>36433.379999999997</v>
      </c>
      <c r="N972">
        <v>18683</v>
      </c>
      <c r="O972" t="s">
        <v>59</v>
      </c>
      <c r="P972" t="str">
        <f t="shared" si="135"/>
        <v>Yes</v>
      </c>
      <c r="Q972">
        <f t="shared" si="136"/>
        <v>33.31</v>
      </c>
      <c r="R972">
        <f t="shared" si="137"/>
        <v>16.45</v>
      </c>
      <c r="S972">
        <f t="shared" si="138"/>
        <v>1.95</v>
      </c>
      <c r="T972" t="str">
        <f t="shared" si="139"/>
        <v>Delayed</v>
      </c>
      <c r="U972" t="str">
        <f t="shared" si="140"/>
        <v>High</v>
      </c>
      <c r="V972" t="str">
        <f t="shared" si="141"/>
        <v>Low Risk</v>
      </c>
      <c r="W972" t="str">
        <f t="shared" si="142"/>
        <v>Aug</v>
      </c>
      <c r="X972">
        <f t="shared" si="143"/>
        <v>2025</v>
      </c>
    </row>
    <row r="973" spans="1:24" x14ac:dyDescent="0.35">
      <c r="A973" s="3">
        <v>45693</v>
      </c>
      <c r="B973" t="s">
        <v>300</v>
      </c>
      <c r="C973" t="s">
        <v>57</v>
      </c>
      <c r="D973" t="s">
        <v>1119</v>
      </c>
      <c r="E973" t="s">
        <v>55</v>
      </c>
      <c r="F973" t="s">
        <v>41</v>
      </c>
      <c r="G973" t="s">
        <v>42</v>
      </c>
      <c r="H973">
        <v>50.3</v>
      </c>
      <c r="I973">
        <v>4047</v>
      </c>
      <c r="J973">
        <v>48</v>
      </c>
      <c r="K973">
        <v>14</v>
      </c>
      <c r="L973" t="s">
        <v>49</v>
      </c>
      <c r="M973">
        <v>30154.48</v>
      </c>
      <c r="N973">
        <v>17871</v>
      </c>
      <c r="O973" t="s">
        <v>36</v>
      </c>
      <c r="P973" t="str">
        <f t="shared" si="135"/>
        <v>Yes</v>
      </c>
      <c r="Q973">
        <f t="shared" si="136"/>
        <v>80.459999999999994</v>
      </c>
      <c r="R973">
        <f t="shared" si="137"/>
        <v>7.45</v>
      </c>
      <c r="S973">
        <f t="shared" si="138"/>
        <v>1.69</v>
      </c>
      <c r="T973" t="str">
        <f t="shared" si="139"/>
        <v>Delayed</v>
      </c>
      <c r="U973" t="str">
        <f t="shared" si="140"/>
        <v>Medium</v>
      </c>
      <c r="V973" t="str">
        <f t="shared" si="141"/>
        <v>High Risk</v>
      </c>
      <c r="W973" t="str">
        <f t="shared" si="142"/>
        <v>Feb</v>
      </c>
      <c r="X973">
        <f t="shared" si="143"/>
        <v>2025</v>
      </c>
    </row>
    <row r="974" spans="1:24" x14ac:dyDescent="0.35">
      <c r="A974" s="3">
        <v>45909</v>
      </c>
      <c r="B974" t="s">
        <v>82</v>
      </c>
      <c r="C974" t="s">
        <v>25</v>
      </c>
      <c r="D974" t="s">
        <v>1120</v>
      </c>
      <c r="E974" t="s">
        <v>63</v>
      </c>
      <c r="F974" t="s">
        <v>54</v>
      </c>
      <c r="G974" t="s">
        <v>29</v>
      </c>
      <c r="H974">
        <v>53.7</v>
      </c>
      <c r="I974">
        <v>4398</v>
      </c>
      <c r="J974">
        <v>42</v>
      </c>
      <c r="K974">
        <v>11.1</v>
      </c>
      <c r="L974" t="s">
        <v>43</v>
      </c>
      <c r="M974">
        <v>37024.639999999999</v>
      </c>
      <c r="N974">
        <v>27540</v>
      </c>
      <c r="O974" t="s">
        <v>50</v>
      </c>
      <c r="P974" t="str">
        <f t="shared" si="135"/>
        <v>Yes</v>
      </c>
      <c r="Q974">
        <f t="shared" si="136"/>
        <v>81.900000000000006</v>
      </c>
      <c r="R974">
        <f t="shared" si="137"/>
        <v>8.42</v>
      </c>
      <c r="S974">
        <f t="shared" si="138"/>
        <v>1.34</v>
      </c>
      <c r="T974" t="str">
        <f t="shared" si="139"/>
        <v>Delayed</v>
      </c>
      <c r="U974" t="str">
        <f t="shared" si="140"/>
        <v>Medium</v>
      </c>
      <c r="V974" t="str">
        <f t="shared" si="141"/>
        <v>Low Risk</v>
      </c>
      <c r="W974" t="str">
        <f t="shared" si="142"/>
        <v>Sep</v>
      </c>
      <c r="X974">
        <f t="shared" si="143"/>
        <v>2025</v>
      </c>
    </row>
    <row r="975" spans="1:24" x14ac:dyDescent="0.35">
      <c r="A975" s="3">
        <v>45686</v>
      </c>
      <c r="B975" t="s">
        <v>193</v>
      </c>
      <c r="C975" t="s">
        <v>52</v>
      </c>
      <c r="D975" t="s">
        <v>1121</v>
      </c>
      <c r="E975" t="s">
        <v>55</v>
      </c>
      <c r="F975" t="s">
        <v>54</v>
      </c>
      <c r="G975" t="s">
        <v>35</v>
      </c>
      <c r="H975">
        <v>52</v>
      </c>
      <c r="I975">
        <v>1520</v>
      </c>
      <c r="J975">
        <v>94</v>
      </c>
      <c r="K975">
        <v>21.6</v>
      </c>
      <c r="L975" t="s">
        <v>78</v>
      </c>
      <c r="M975">
        <v>23406.67</v>
      </c>
      <c r="N975">
        <v>13018</v>
      </c>
      <c r="O975" t="s">
        <v>59</v>
      </c>
      <c r="P975" t="str">
        <f t="shared" si="135"/>
        <v>No</v>
      </c>
      <c r="Q975">
        <f t="shared" si="136"/>
        <v>29.23</v>
      </c>
      <c r="R975">
        <f t="shared" si="137"/>
        <v>15.4</v>
      </c>
      <c r="S975">
        <f t="shared" si="138"/>
        <v>1.8</v>
      </c>
      <c r="T975" t="str">
        <f t="shared" si="139"/>
        <v>On Time</v>
      </c>
      <c r="U975" t="str">
        <f t="shared" si="140"/>
        <v>Medium</v>
      </c>
      <c r="V975" t="str">
        <f t="shared" si="141"/>
        <v>Low Risk</v>
      </c>
      <c r="W975" t="str">
        <f t="shared" si="142"/>
        <v>Jan</v>
      </c>
      <c r="X975">
        <f t="shared" si="143"/>
        <v>2025</v>
      </c>
    </row>
    <row r="976" spans="1:24" x14ac:dyDescent="0.35">
      <c r="A976" s="3">
        <v>45808</v>
      </c>
      <c r="B976" t="s">
        <v>61</v>
      </c>
      <c r="C976" t="s">
        <v>57</v>
      </c>
      <c r="D976" t="s">
        <v>1122</v>
      </c>
      <c r="E976" t="s">
        <v>63</v>
      </c>
      <c r="F976" t="s">
        <v>54</v>
      </c>
      <c r="G976" t="s">
        <v>71</v>
      </c>
      <c r="H976">
        <v>23.7</v>
      </c>
      <c r="I976">
        <v>4022</v>
      </c>
      <c r="J976">
        <v>68</v>
      </c>
      <c r="K976">
        <v>15.2</v>
      </c>
      <c r="L976" t="s">
        <v>30</v>
      </c>
      <c r="M976">
        <v>15444.28</v>
      </c>
      <c r="N976">
        <v>14502</v>
      </c>
      <c r="O976" t="s">
        <v>84</v>
      </c>
      <c r="P976" t="str">
        <f t="shared" si="135"/>
        <v>Yes</v>
      </c>
      <c r="Q976">
        <f t="shared" si="136"/>
        <v>169.7</v>
      </c>
      <c r="R976">
        <f t="shared" si="137"/>
        <v>3.84</v>
      </c>
      <c r="S976">
        <f t="shared" si="138"/>
        <v>1.06</v>
      </c>
      <c r="T976" t="str">
        <f t="shared" si="139"/>
        <v>Delayed</v>
      </c>
      <c r="U976" t="str">
        <f t="shared" si="140"/>
        <v>Low</v>
      </c>
      <c r="V976" t="str">
        <f t="shared" si="141"/>
        <v>Medium Risk</v>
      </c>
      <c r="W976" t="str">
        <f t="shared" si="142"/>
        <v>May</v>
      </c>
      <c r="X976">
        <f t="shared" si="143"/>
        <v>2025</v>
      </c>
    </row>
    <row r="977" spans="1:24" x14ac:dyDescent="0.35">
      <c r="A977" s="3">
        <v>45820</v>
      </c>
      <c r="B977" t="s">
        <v>152</v>
      </c>
      <c r="C977" t="s">
        <v>109</v>
      </c>
      <c r="D977" t="s">
        <v>1123</v>
      </c>
      <c r="E977" t="s">
        <v>27</v>
      </c>
      <c r="F977" t="s">
        <v>28</v>
      </c>
      <c r="G977" t="s">
        <v>71</v>
      </c>
      <c r="H977">
        <v>76.099999999999994</v>
      </c>
      <c r="I977">
        <v>2855</v>
      </c>
      <c r="J977">
        <v>24</v>
      </c>
      <c r="K977">
        <v>20.9</v>
      </c>
      <c r="L977" t="s">
        <v>30</v>
      </c>
      <c r="M977">
        <v>45814.09</v>
      </c>
      <c r="N977">
        <v>18714</v>
      </c>
      <c r="O977" t="s">
        <v>36</v>
      </c>
      <c r="P977" t="str">
        <f t="shared" si="135"/>
        <v>Yes</v>
      </c>
      <c r="Q977">
        <f t="shared" si="136"/>
        <v>37.520000000000003</v>
      </c>
      <c r="R977">
        <f t="shared" si="137"/>
        <v>16.05</v>
      </c>
      <c r="S977">
        <f t="shared" si="138"/>
        <v>2.4500000000000002</v>
      </c>
      <c r="T977" t="str">
        <f t="shared" si="139"/>
        <v>Delayed</v>
      </c>
      <c r="U977" t="str">
        <f t="shared" si="140"/>
        <v>High</v>
      </c>
      <c r="V977" t="str">
        <f t="shared" si="141"/>
        <v>Medium Risk</v>
      </c>
      <c r="W977" t="str">
        <f t="shared" si="142"/>
        <v>Jun</v>
      </c>
      <c r="X977">
        <f t="shared" si="143"/>
        <v>2025</v>
      </c>
    </row>
    <row r="978" spans="1:24" x14ac:dyDescent="0.35">
      <c r="A978" s="3">
        <v>45735</v>
      </c>
      <c r="B978" t="s">
        <v>193</v>
      </c>
      <c r="C978" t="s">
        <v>57</v>
      </c>
      <c r="D978" t="s">
        <v>1124</v>
      </c>
      <c r="E978" t="s">
        <v>66</v>
      </c>
      <c r="F978" t="s">
        <v>48</v>
      </c>
      <c r="G978" t="s">
        <v>29</v>
      </c>
      <c r="H978">
        <v>63.7</v>
      </c>
      <c r="I978">
        <v>1430</v>
      </c>
      <c r="J978">
        <v>51</v>
      </c>
      <c r="K978">
        <v>11.6</v>
      </c>
      <c r="L978" t="s">
        <v>30</v>
      </c>
      <c r="M978">
        <v>43704.71</v>
      </c>
      <c r="N978">
        <v>19839</v>
      </c>
      <c r="O978" t="s">
        <v>31</v>
      </c>
      <c r="P978" t="str">
        <f t="shared" si="135"/>
        <v>Yes</v>
      </c>
      <c r="Q978">
        <f t="shared" si="136"/>
        <v>22.45</v>
      </c>
      <c r="R978">
        <f t="shared" si="137"/>
        <v>30.56</v>
      </c>
      <c r="S978">
        <f t="shared" si="138"/>
        <v>2.2000000000000002</v>
      </c>
      <c r="T978" t="str">
        <f t="shared" si="139"/>
        <v>Delayed</v>
      </c>
      <c r="U978" t="str">
        <f t="shared" si="140"/>
        <v>High</v>
      </c>
      <c r="V978" t="str">
        <f t="shared" si="141"/>
        <v>Medium Risk</v>
      </c>
      <c r="W978" t="str">
        <f t="shared" si="142"/>
        <v>Mar</v>
      </c>
      <c r="X978">
        <f t="shared" si="143"/>
        <v>2025</v>
      </c>
    </row>
    <row r="979" spans="1:24" x14ac:dyDescent="0.35">
      <c r="A979" s="3">
        <v>45960</v>
      </c>
      <c r="B979" t="s">
        <v>108</v>
      </c>
      <c r="C979" t="s">
        <v>130</v>
      </c>
      <c r="D979" t="s">
        <v>1125</v>
      </c>
      <c r="E979" t="s">
        <v>63</v>
      </c>
      <c r="F979" t="s">
        <v>41</v>
      </c>
      <c r="G979" t="s">
        <v>29</v>
      </c>
      <c r="H979">
        <v>46.6</v>
      </c>
      <c r="I979">
        <v>2199</v>
      </c>
      <c r="J979">
        <v>85</v>
      </c>
      <c r="K979">
        <v>11.6</v>
      </c>
      <c r="L979" t="s">
        <v>43</v>
      </c>
      <c r="M979">
        <v>23518.28</v>
      </c>
      <c r="N979">
        <v>19592</v>
      </c>
      <c r="O979" t="s">
        <v>84</v>
      </c>
      <c r="P979" t="str">
        <f t="shared" si="135"/>
        <v>Yes</v>
      </c>
      <c r="Q979">
        <f t="shared" si="136"/>
        <v>47.19</v>
      </c>
      <c r="R979">
        <f t="shared" si="137"/>
        <v>10.69</v>
      </c>
      <c r="S979">
        <f t="shared" si="138"/>
        <v>1.2</v>
      </c>
      <c r="T979" t="str">
        <f t="shared" si="139"/>
        <v>Delayed</v>
      </c>
      <c r="U979" t="str">
        <f t="shared" si="140"/>
        <v>Medium</v>
      </c>
      <c r="V979" t="str">
        <f t="shared" si="141"/>
        <v>Low Risk</v>
      </c>
      <c r="W979" t="str">
        <f t="shared" si="142"/>
        <v>Oct</v>
      </c>
      <c r="X979">
        <f t="shared" si="143"/>
        <v>2025</v>
      </c>
    </row>
    <row r="980" spans="1:24" x14ac:dyDescent="0.35">
      <c r="A980" s="3">
        <v>45915</v>
      </c>
      <c r="B980" t="s">
        <v>291</v>
      </c>
      <c r="C980" t="s">
        <v>130</v>
      </c>
      <c r="D980" t="s">
        <v>1126</v>
      </c>
      <c r="E980" t="s">
        <v>41</v>
      </c>
      <c r="F980" t="s">
        <v>63</v>
      </c>
      <c r="G980" t="s">
        <v>35</v>
      </c>
      <c r="H980">
        <v>69.099999999999994</v>
      </c>
      <c r="I980">
        <v>1063</v>
      </c>
      <c r="J980">
        <v>82</v>
      </c>
      <c r="K980">
        <v>10.199999999999999</v>
      </c>
      <c r="L980" t="s">
        <v>43</v>
      </c>
      <c r="M980">
        <v>36948.9</v>
      </c>
      <c r="N980">
        <v>26748</v>
      </c>
      <c r="O980" t="s">
        <v>44</v>
      </c>
      <c r="P980" t="str">
        <f t="shared" si="135"/>
        <v>Yes</v>
      </c>
      <c r="Q980">
        <f t="shared" si="136"/>
        <v>15.38</v>
      </c>
      <c r="R980">
        <f t="shared" si="137"/>
        <v>34.76</v>
      </c>
      <c r="S980">
        <f t="shared" si="138"/>
        <v>1.38</v>
      </c>
      <c r="T980" t="str">
        <f t="shared" si="139"/>
        <v>Delayed</v>
      </c>
      <c r="U980" t="str">
        <f t="shared" si="140"/>
        <v>High</v>
      </c>
      <c r="V980" t="str">
        <f t="shared" si="141"/>
        <v>Low Risk</v>
      </c>
      <c r="W980" t="str">
        <f t="shared" si="142"/>
        <v>Sep</v>
      </c>
      <c r="X980">
        <f t="shared" si="143"/>
        <v>2025</v>
      </c>
    </row>
    <row r="981" spans="1:24" x14ac:dyDescent="0.35">
      <c r="A981" s="3">
        <v>45761</v>
      </c>
      <c r="B981" t="s">
        <v>250</v>
      </c>
      <c r="C981" t="s">
        <v>57</v>
      </c>
      <c r="D981" t="s">
        <v>1127</v>
      </c>
      <c r="E981" t="s">
        <v>63</v>
      </c>
      <c r="F981" t="s">
        <v>55</v>
      </c>
      <c r="G981" t="s">
        <v>29</v>
      </c>
      <c r="H981">
        <v>60.1</v>
      </c>
      <c r="I981">
        <v>603</v>
      </c>
      <c r="J981">
        <v>96</v>
      </c>
      <c r="K981">
        <v>11.9</v>
      </c>
      <c r="L981" t="s">
        <v>30</v>
      </c>
      <c r="M981">
        <v>41704.839999999997</v>
      </c>
      <c r="N981">
        <v>15235</v>
      </c>
      <c r="O981" t="s">
        <v>50</v>
      </c>
      <c r="P981" t="str">
        <f t="shared" si="135"/>
        <v>Yes</v>
      </c>
      <c r="Q981">
        <f t="shared" si="136"/>
        <v>10.029999999999999</v>
      </c>
      <c r="R981">
        <f t="shared" si="137"/>
        <v>69.16</v>
      </c>
      <c r="S981">
        <f t="shared" si="138"/>
        <v>2.74</v>
      </c>
      <c r="T981" t="str">
        <f t="shared" si="139"/>
        <v>Delayed</v>
      </c>
      <c r="U981" t="str">
        <f t="shared" si="140"/>
        <v>High</v>
      </c>
      <c r="V981" t="str">
        <f t="shared" si="141"/>
        <v>Medium Risk</v>
      </c>
      <c r="W981" t="str">
        <f t="shared" si="142"/>
        <v>Apr</v>
      </c>
      <c r="X981">
        <f t="shared" si="143"/>
        <v>2025</v>
      </c>
    </row>
    <row r="982" spans="1:24" x14ac:dyDescent="0.35">
      <c r="A982" s="3">
        <v>45831</v>
      </c>
      <c r="B982" t="s">
        <v>46</v>
      </c>
      <c r="C982" t="s">
        <v>25</v>
      </c>
      <c r="D982" t="s">
        <v>1128</v>
      </c>
      <c r="E982" t="s">
        <v>66</v>
      </c>
      <c r="F982" t="s">
        <v>48</v>
      </c>
      <c r="G982" t="s">
        <v>29</v>
      </c>
      <c r="H982">
        <v>26.4</v>
      </c>
      <c r="I982">
        <v>1360</v>
      </c>
      <c r="J982">
        <v>72</v>
      </c>
      <c r="K982">
        <v>11.6</v>
      </c>
      <c r="L982" t="s">
        <v>43</v>
      </c>
      <c r="M982">
        <v>16052.58</v>
      </c>
      <c r="N982">
        <v>20335</v>
      </c>
      <c r="O982" t="s">
        <v>31</v>
      </c>
      <c r="P982" t="str">
        <f t="shared" si="135"/>
        <v>Yes</v>
      </c>
      <c r="Q982">
        <f t="shared" si="136"/>
        <v>51.52</v>
      </c>
      <c r="R982">
        <f t="shared" si="137"/>
        <v>11.8</v>
      </c>
      <c r="S982">
        <f t="shared" si="138"/>
        <v>0.79</v>
      </c>
      <c r="T982" t="str">
        <f t="shared" si="139"/>
        <v>Delayed</v>
      </c>
      <c r="U982" t="str">
        <f t="shared" si="140"/>
        <v>Low</v>
      </c>
      <c r="V982" t="str">
        <f t="shared" si="141"/>
        <v>Low Risk</v>
      </c>
      <c r="W982" t="str">
        <f t="shared" si="142"/>
        <v>Jun</v>
      </c>
      <c r="X982">
        <f t="shared" si="143"/>
        <v>2025</v>
      </c>
    </row>
    <row r="983" spans="1:24" x14ac:dyDescent="0.35">
      <c r="A983" s="3">
        <v>45761</v>
      </c>
      <c r="B983" t="s">
        <v>136</v>
      </c>
      <c r="C983" t="s">
        <v>52</v>
      </c>
      <c r="D983" t="s">
        <v>1129</v>
      </c>
      <c r="E983" t="s">
        <v>55</v>
      </c>
      <c r="F983" t="s">
        <v>54</v>
      </c>
      <c r="G983" t="s">
        <v>35</v>
      </c>
      <c r="H983">
        <v>50.4</v>
      </c>
      <c r="I983">
        <v>4594</v>
      </c>
      <c r="J983">
        <v>85</v>
      </c>
      <c r="K983">
        <v>16.2</v>
      </c>
      <c r="L983" t="s">
        <v>30</v>
      </c>
      <c r="M983">
        <v>34648.5</v>
      </c>
      <c r="N983">
        <v>17086</v>
      </c>
      <c r="O983" t="s">
        <v>59</v>
      </c>
      <c r="P983" t="str">
        <f t="shared" si="135"/>
        <v>Yes</v>
      </c>
      <c r="Q983">
        <f t="shared" si="136"/>
        <v>91.15</v>
      </c>
      <c r="R983">
        <f t="shared" si="137"/>
        <v>7.54</v>
      </c>
      <c r="S983">
        <f t="shared" si="138"/>
        <v>2.0299999999999998</v>
      </c>
      <c r="T983" t="str">
        <f t="shared" si="139"/>
        <v>Delayed</v>
      </c>
      <c r="U983" t="str">
        <f t="shared" si="140"/>
        <v>Medium</v>
      </c>
      <c r="V983" t="str">
        <f t="shared" si="141"/>
        <v>Medium Risk</v>
      </c>
      <c r="W983" t="str">
        <f t="shared" si="142"/>
        <v>Apr</v>
      </c>
      <c r="X983">
        <f t="shared" si="143"/>
        <v>2025</v>
      </c>
    </row>
    <row r="984" spans="1:24" x14ac:dyDescent="0.35">
      <c r="A984" s="3">
        <v>45930</v>
      </c>
      <c r="B984" t="s">
        <v>309</v>
      </c>
      <c r="C984" t="s">
        <v>25</v>
      </c>
      <c r="D984" t="s">
        <v>1130</v>
      </c>
      <c r="E984" t="s">
        <v>41</v>
      </c>
      <c r="F984" t="s">
        <v>55</v>
      </c>
      <c r="G984" t="s">
        <v>29</v>
      </c>
      <c r="H984">
        <v>33.299999999999997</v>
      </c>
      <c r="I984">
        <v>2369</v>
      </c>
      <c r="J984">
        <v>83</v>
      </c>
      <c r="K984">
        <v>15.6</v>
      </c>
      <c r="L984" t="s">
        <v>49</v>
      </c>
      <c r="M984">
        <v>22829.69</v>
      </c>
      <c r="N984">
        <v>22398</v>
      </c>
      <c r="O984" t="s">
        <v>36</v>
      </c>
      <c r="P984" t="str">
        <f t="shared" si="135"/>
        <v>Yes</v>
      </c>
      <c r="Q984">
        <f t="shared" si="136"/>
        <v>71.14</v>
      </c>
      <c r="R984">
        <f t="shared" si="137"/>
        <v>9.64</v>
      </c>
      <c r="S984">
        <f t="shared" si="138"/>
        <v>1.02</v>
      </c>
      <c r="T984" t="str">
        <f t="shared" si="139"/>
        <v>Delayed</v>
      </c>
      <c r="U984" t="str">
        <f t="shared" si="140"/>
        <v>Low</v>
      </c>
      <c r="V984" t="str">
        <f t="shared" si="141"/>
        <v>High Risk</v>
      </c>
      <c r="W984" t="str">
        <f t="shared" si="142"/>
        <v>Sep</v>
      </c>
      <c r="X984">
        <f t="shared" si="143"/>
        <v>2025</v>
      </c>
    </row>
    <row r="985" spans="1:24" x14ac:dyDescent="0.35">
      <c r="A985" s="3">
        <v>45729</v>
      </c>
      <c r="B985" t="s">
        <v>56</v>
      </c>
      <c r="C985" t="s">
        <v>57</v>
      </c>
      <c r="D985" t="s">
        <v>1131</v>
      </c>
      <c r="E985" t="s">
        <v>55</v>
      </c>
      <c r="F985" t="s">
        <v>54</v>
      </c>
      <c r="G985" t="s">
        <v>29</v>
      </c>
      <c r="H985">
        <v>65.3</v>
      </c>
      <c r="I985">
        <v>2103</v>
      </c>
      <c r="J985">
        <v>57</v>
      </c>
      <c r="K985">
        <v>21.2</v>
      </c>
      <c r="L985" t="s">
        <v>78</v>
      </c>
      <c r="M985">
        <v>29958.23</v>
      </c>
      <c r="N985">
        <v>17442</v>
      </c>
      <c r="O985" t="s">
        <v>67</v>
      </c>
      <c r="P985" t="str">
        <f t="shared" si="135"/>
        <v>No</v>
      </c>
      <c r="Q985">
        <f t="shared" si="136"/>
        <v>32.21</v>
      </c>
      <c r="R985">
        <f t="shared" si="137"/>
        <v>14.25</v>
      </c>
      <c r="S985">
        <f t="shared" si="138"/>
        <v>1.72</v>
      </c>
      <c r="T985" t="str">
        <f t="shared" si="139"/>
        <v>On Time</v>
      </c>
      <c r="U985" t="str">
        <f t="shared" si="140"/>
        <v>High</v>
      </c>
      <c r="V985" t="str">
        <f t="shared" si="141"/>
        <v>Low Risk</v>
      </c>
      <c r="W985" t="str">
        <f t="shared" si="142"/>
        <v>Mar</v>
      </c>
      <c r="X985">
        <f t="shared" si="143"/>
        <v>2025</v>
      </c>
    </row>
    <row r="986" spans="1:24" x14ac:dyDescent="0.35">
      <c r="A986" s="3">
        <v>45716</v>
      </c>
      <c r="B986" t="s">
        <v>300</v>
      </c>
      <c r="C986" t="s">
        <v>109</v>
      </c>
      <c r="D986" t="s">
        <v>1132</v>
      </c>
      <c r="E986" t="s">
        <v>28</v>
      </c>
      <c r="F986" t="s">
        <v>54</v>
      </c>
      <c r="G986" t="s">
        <v>71</v>
      </c>
      <c r="H986">
        <v>59.4</v>
      </c>
      <c r="I986">
        <v>1045</v>
      </c>
      <c r="J986">
        <v>53</v>
      </c>
      <c r="K986">
        <v>16</v>
      </c>
      <c r="L986" t="s">
        <v>78</v>
      </c>
      <c r="M986">
        <v>35710.43</v>
      </c>
      <c r="N986">
        <v>11268</v>
      </c>
      <c r="O986" t="s">
        <v>36</v>
      </c>
      <c r="P986" t="str">
        <f t="shared" si="135"/>
        <v>No</v>
      </c>
      <c r="Q986">
        <f t="shared" si="136"/>
        <v>17.59</v>
      </c>
      <c r="R986">
        <f t="shared" si="137"/>
        <v>34.17</v>
      </c>
      <c r="S986">
        <f t="shared" si="138"/>
        <v>3.17</v>
      </c>
      <c r="T986" t="str">
        <f t="shared" si="139"/>
        <v>On Time</v>
      </c>
      <c r="U986" t="str">
        <f t="shared" si="140"/>
        <v>Medium</v>
      </c>
      <c r="V986" t="str">
        <f t="shared" si="141"/>
        <v>Low Risk</v>
      </c>
      <c r="W986" t="str">
        <f t="shared" si="142"/>
        <v>Feb</v>
      </c>
      <c r="X986">
        <f t="shared" si="143"/>
        <v>2025</v>
      </c>
    </row>
    <row r="987" spans="1:24" x14ac:dyDescent="0.35">
      <c r="A987" s="3">
        <v>45759</v>
      </c>
      <c r="B987" t="s">
        <v>76</v>
      </c>
      <c r="C987" t="s">
        <v>109</v>
      </c>
      <c r="D987" t="s">
        <v>1133</v>
      </c>
      <c r="E987" t="s">
        <v>28</v>
      </c>
      <c r="F987" t="s">
        <v>41</v>
      </c>
      <c r="G987" t="s">
        <v>71</v>
      </c>
      <c r="H987">
        <v>46.7</v>
      </c>
      <c r="I987">
        <v>3756</v>
      </c>
      <c r="J987">
        <v>66</v>
      </c>
      <c r="K987">
        <v>17.3</v>
      </c>
      <c r="L987" t="s">
        <v>49</v>
      </c>
      <c r="M987">
        <v>27554.19</v>
      </c>
      <c r="N987">
        <v>16413</v>
      </c>
      <c r="O987" t="s">
        <v>59</v>
      </c>
      <c r="P987" t="str">
        <f t="shared" si="135"/>
        <v>Yes</v>
      </c>
      <c r="Q987">
        <f t="shared" si="136"/>
        <v>80.430000000000007</v>
      </c>
      <c r="R987">
        <f t="shared" si="137"/>
        <v>7.34</v>
      </c>
      <c r="S987">
        <f t="shared" si="138"/>
        <v>1.68</v>
      </c>
      <c r="T987" t="str">
        <f t="shared" si="139"/>
        <v>Delayed</v>
      </c>
      <c r="U987" t="str">
        <f t="shared" si="140"/>
        <v>Medium</v>
      </c>
      <c r="V987" t="str">
        <f t="shared" si="141"/>
        <v>High Risk</v>
      </c>
      <c r="W987" t="str">
        <f t="shared" si="142"/>
        <v>Apr</v>
      </c>
      <c r="X987">
        <f t="shared" si="143"/>
        <v>2025</v>
      </c>
    </row>
    <row r="988" spans="1:24" x14ac:dyDescent="0.35">
      <c r="A988" s="3">
        <v>45680</v>
      </c>
      <c r="B988" t="s">
        <v>102</v>
      </c>
      <c r="C988" t="s">
        <v>109</v>
      </c>
      <c r="D988" t="s">
        <v>1134</v>
      </c>
      <c r="E988" t="s">
        <v>54</v>
      </c>
      <c r="F988" t="s">
        <v>66</v>
      </c>
      <c r="G988" t="s">
        <v>42</v>
      </c>
      <c r="H988">
        <v>37.799999999999997</v>
      </c>
      <c r="I988">
        <v>3592</v>
      </c>
      <c r="J988">
        <v>85</v>
      </c>
      <c r="K988">
        <v>21.9</v>
      </c>
      <c r="L988" t="s">
        <v>43</v>
      </c>
      <c r="M988">
        <v>18333.46</v>
      </c>
      <c r="N988">
        <v>29970</v>
      </c>
      <c r="O988" t="s">
        <v>50</v>
      </c>
      <c r="P988" t="str">
        <f t="shared" si="135"/>
        <v>Yes</v>
      </c>
      <c r="Q988">
        <f t="shared" si="136"/>
        <v>95.03</v>
      </c>
      <c r="R988">
        <f t="shared" si="137"/>
        <v>5.0999999999999996</v>
      </c>
      <c r="S988">
        <f t="shared" si="138"/>
        <v>0.61</v>
      </c>
      <c r="T988" t="str">
        <f t="shared" si="139"/>
        <v>Delayed</v>
      </c>
      <c r="U988" t="str">
        <f t="shared" si="140"/>
        <v>Low</v>
      </c>
      <c r="V988" t="str">
        <f t="shared" si="141"/>
        <v>Low Risk</v>
      </c>
      <c r="W988" t="str">
        <f t="shared" si="142"/>
        <v>Jan</v>
      </c>
      <c r="X988">
        <f t="shared" si="143"/>
        <v>2025</v>
      </c>
    </row>
    <row r="989" spans="1:24" x14ac:dyDescent="0.35">
      <c r="A989" s="3">
        <v>45810</v>
      </c>
      <c r="B989" t="s">
        <v>159</v>
      </c>
      <c r="C989" t="s">
        <v>130</v>
      </c>
      <c r="D989" t="s">
        <v>1135</v>
      </c>
      <c r="E989" t="s">
        <v>48</v>
      </c>
      <c r="F989" t="s">
        <v>66</v>
      </c>
      <c r="G989" t="s">
        <v>35</v>
      </c>
      <c r="H989">
        <v>30.8</v>
      </c>
      <c r="I989">
        <v>4458</v>
      </c>
      <c r="J989">
        <v>43</v>
      </c>
      <c r="K989">
        <v>16.8</v>
      </c>
      <c r="L989" t="s">
        <v>78</v>
      </c>
      <c r="M989">
        <v>16929.759999999998</v>
      </c>
      <c r="N989">
        <v>9007</v>
      </c>
      <c r="O989" t="s">
        <v>31</v>
      </c>
      <c r="P989" t="str">
        <f t="shared" si="135"/>
        <v>No</v>
      </c>
      <c r="Q989">
        <f t="shared" si="136"/>
        <v>144.74</v>
      </c>
      <c r="R989">
        <f t="shared" si="137"/>
        <v>3.8</v>
      </c>
      <c r="S989">
        <f t="shared" si="138"/>
        <v>1.88</v>
      </c>
      <c r="T989" t="str">
        <f t="shared" si="139"/>
        <v>On Time</v>
      </c>
      <c r="U989" t="str">
        <f t="shared" si="140"/>
        <v>Low</v>
      </c>
      <c r="V989" t="str">
        <f t="shared" si="141"/>
        <v>Low Risk</v>
      </c>
      <c r="W989" t="str">
        <f t="shared" si="142"/>
        <v>Jun</v>
      </c>
      <c r="X989">
        <f t="shared" si="143"/>
        <v>2025</v>
      </c>
    </row>
    <row r="990" spans="1:24" x14ac:dyDescent="0.35">
      <c r="A990" s="3">
        <v>45711</v>
      </c>
      <c r="B990" t="s">
        <v>108</v>
      </c>
      <c r="C990" t="s">
        <v>130</v>
      </c>
      <c r="D990" t="s">
        <v>1136</v>
      </c>
      <c r="E990" t="s">
        <v>54</v>
      </c>
      <c r="F990" t="s">
        <v>28</v>
      </c>
      <c r="G990" t="s">
        <v>29</v>
      </c>
      <c r="H990">
        <v>54.7</v>
      </c>
      <c r="I990">
        <v>2571</v>
      </c>
      <c r="J990">
        <v>54</v>
      </c>
      <c r="K990">
        <v>14.8</v>
      </c>
      <c r="L990" t="s">
        <v>78</v>
      </c>
      <c r="M990">
        <v>33434.36</v>
      </c>
      <c r="N990">
        <v>9096</v>
      </c>
      <c r="O990" t="s">
        <v>84</v>
      </c>
      <c r="P990" t="str">
        <f t="shared" si="135"/>
        <v>No</v>
      </c>
      <c r="Q990">
        <f t="shared" si="136"/>
        <v>47</v>
      </c>
      <c r="R990">
        <f t="shared" si="137"/>
        <v>13</v>
      </c>
      <c r="S990">
        <f t="shared" si="138"/>
        <v>3.68</v>
      </c>
      <c r="T990" t="str">
        <f t="shared" si="139"/>
        <v>On Time</v>
      </c>
      <c r="U990" t="str">
        <f t="shared" si="140"/>
        <v>Medium</v>
      </c>
      <c r="V990" t="str">
        <f t="shared" si="141"/>
        <v>Low Risk</v>
      </c>
      <c r="W990" t="str">
        <f t="shared" si="142"/>
        <v>Feb</v>
      </c>
      <c r="X990">
        <f t="shared" si="143"/>
        <v>2025</v>
      </c>
    </row>
    <row r="991" spans="1:24" x14ac:dyDescent="0.35">
      <c r="A991" s="3">
        <v>45810</v>
      </c>
      <c r="B991" t="s">
        <v>148</v>
      </c>
      <c r="C991" t="s">
        <v>39</v>
      </c>
      <c r="D991" t="s">
        <v>1137</v>
      </c>
      <c r="E991" t="s">
        <v>28</v>
      </c>
      <c r="F991" t="s">
        <v>66</v>
      </c>
      <c r="G991" t="s">
        <v>29</v>
      </c>
      <c r="H991">
        <v>68.599999999999994</v>
      </c>
      <c r="I991">
        <v>4892</v>
      </c>
      <c r="J991">
        <v>45</v>
      </c>
      <c r="K991">
        <v>10.5</v>
      </c>
      <c r="L991" t="s">
        <v>43</v>
      </c>
      <c r="M991">
        <v>40097.71</v>
      </c>
      <c r="N991">
        <v>15088</v>
      </c>
      <c r="O991" t="s">
        <v>59</v>
      </c>
      <c r="P991" t="str">
        <f t="shared" si="135"/>
        <v>Yes</v>
      </c>
      <c r="Q991">
        <f t="shared" si="136"/>
        <v>71.31</v>
      </c>
      <c r="R991">
        <f t="shared" si="137"/>
        <v>8.1999999999999993</v>
      </c>
      <c r="S991">
        <f t="shared" si="138"/>
        <v>2.66</v>
      </c>
      <c r="T991" t="str">
        <f t="shared" si="139"/>
        <v>Delayed</v>
      </c>
      <c r="U991" t="str">
        <f t="shared" si="140"/>
        <v>High</v>
      </c>
      <c r="V991" t="str">
        <f t="shared" si="141"/>
        <v>Low Risk</v>
      </c>
      <c r="W991" t="str">
        <f t="shared" si="142"/>
        <v>Jun</v>
      </c>
      <c r="X991">
        <f t="shared" si="143"/>
        <v>2025</v>
      </c>
    </row>
    <row r="992" spans="1:24" x14ac:dyDescent="0.35">
      <c r="A992" s="3">
        <v>45798</v>
      </c>
      <c r="B992" t="s">
        <v>159</v>
      </c>
      <c r="C992" t="s">
        <v>25</v>
      </c>
      <c r="D992" t="s">
        <v>1138</v>
      </c>
      <c r="E992" t="s">
        <v>66</v>
      </c>
      <c r="F992" t="s">
        <v>55</v>
      </c>
      <c r="G992" t="s">
        <v>71</v>
      </c>
      <c r="H992">
        <v>44.1</v>
      </c>
      <c r="I992">
        <v>1786</v>
      </c>
      <c r="J992">
        <v>117</v>
      </c>
      <c r="K992">
        <v>13</v>
      </c>
      <c r="L992" t="s">
        <v>43</v>
      </c>
      <c r="M992">
        <v>22497.01</v>
      </c>
      <c r="N992">
        <v>19154</v>
      </c>
      <c r="O992" t="s">
        <v>59</v>
      </c>
      <c r="P992" t="str">
        <f t="shared" si="135"/>
        <v>Yes</v>
      </c>
      <c r="Q992">
        <f t="shared" si="136"/>
        <v>40.5</v>
      </c>
      <c r="R992">
        <f t="shared" si="137"/>
        <v>12.6</v>
      </c>
      <c r="S992">
        <f t="shared" si="138"/>
        <v>1.17</v>
      </c>
      <c r="T992" t="str">
        <f t="shared" si="139"/>
        <v>Delayed</v>
      </c>
      <c r="U992" t="str">
        <f t="shared" si="140"/>
        <v>Medium</v>
      </c>
      <c r="V992" t="str">
        <f t="shared" si="141"/>
        <v>Low Risk</v>
      </c>
      <c r="W992" t="str">
        <f t="shared" si="142"/>
        <v>May</v>
      </c>
      <c r="X992">
        <f t="shared" si="143"/>
        <v>2025</v>
      </c>
    </row>
    <row r="993" spans="1:24" x14ac:dyDescent="0.35">
      <c r="A993" s="3">
        <v>45877</v>
      </c>
      <c r="B993" t="s">
        <v>152</v>
      </c>
      <c r="C993" t="s">
        <v>57</v>
      </c>
      <c r="D993" t="s">
        <v>1139</v>
      </c>
      <c r="E993" t="s">
        <v>27</v>
      </c>
      <c r="F993" t="s">
        <v>41</v>
      </c>
      <c r="G993" t="s">
        <v>29</v>
      </c>
      <c r="H993">
        <v>74.400000000000006</v>
      </c>
      <c r="I993">
        <v>3268</v>
      </c>
      <c r="J993">
        <v>37</v>
      </c>
      <c r="K993">
        <v>14.3</v>
      </c>
      <c r="L993" t="s">
        <v>30</v>
      </c>
      <c r="M993">
        <v>40394.120000000003</v>
      </c>
      <c r="N993">
        <v>13502</v>
      </c>
      <c r="O993" t="s">
        <v>84</v>
      </c>
      <c r="P993" t="str">
        <f t="shared" si="135"/>
        <v>Yes</v>
      </c>
      <c r="Q993">
        <f t="shared" si="136"/>
        <v>43.92</v>
      </c>
      <c r="R993">
        <f t="shared" si="137"/>
        <v>12.36</v>
      </c>
      <c r="S993">
        <f t="shared" si="138"/>
        <v>2.99</v>
      </c>
      <c r="T993" t="str">
        <f t="shared" si="139"/>
        <v>Delayed</v>
      </c>
      <c r="U993" t="str">
        <f t="shared" si="140"/>
        <v>High</v>
      </c>
      <c r="V993" t="str">
        <f t="shared" si="141"/>
        <v>Medium Risk</v>
      </c>
      <c r="W993" t="str">
        <f t="shared" si="142"/>
        <v>Aug</v>
      </c>
      <c r="X993">
        <f t="shared" si="143"/>
        <v>2025</v>
      </c>
    </row>
    <row r="994" spans="1:24" x14ac:dyDescent="0.35">
      <c r="A994" s="3">
        <v>45865</v>
      </c>
      <c r="B994" t="s">
        <v>275</v>
      </c>
      <c r="C994" t="s">
        <v>109</v>
      </c>
      <c r="D994" t="s">
        <v>1140</v>
      </c>
      <c r="E994" t="s">
        <v>28</v>
      </c>
      <c r="F994" t="s">
        <v>48</v>
      </c>
      <c r="G994" t="s">
        <v>71</v>
      </c>
      <c r="H994">
        <v>26.2</v>
      </c>
      <c r="I994">
        <v>2994</v>
      </c>
      <c r="J994">
        <v>104</v>
      </c>
      <c r="K994">
        <v>19.2</v>
      </c>
      <c r="L994" t="s">
        <v>78</v>
      </c>
      <c r="M994">
        <v>15341.28</v>
      </c>
      <c r="N994">
        <v>12461</v>
      </c>
      <c r="O994" t="s">
        <v>36</v>
      </c>
      <c r="P994" t="str">
        <f t="shared" si="135"/>
        <v>No</v>
      </c>
      <c r="Q994">
        <f t="shared" si="136"/>
        <v>114.27</v>
      </c>
      <c r="R994">
        <f t="shared" si="137"/>
        <v>5.12</v>
      </c>
      <c r="S994">
        <f t="shared" si="138"/>
        <v>1.23</v>
      </c>
      <c r="T994" t="str">
        <f t="shared" si="139"/>
        <v>On Time</v>
      </c>
      <c r="U994" t="str">
        <f t="shared" si="140"/>
        <v>Low</v>
      </c>
      <c r="V994" t="str">
        <f t="shared" si="141"/>
        <v>Low Risk</v>
      </c>
      <c r="W994" t="str">
        <f t="shared" si="142"/>
        <v>Jul</v>
      </c>
      <c r="X994">
        <f t="shared" si="143"/>
        <v>2025</v>
      </c>
    </row>
    <row r="995" spans="1:24" x14ac:dyDescent="0.35">
      <c r="A995" s="3">
        <v>45710</v>
      </c>
      <c r="B995" t="s">
        <v>80</v>
      </c>
      <c r="C995" t="s">
        <v>25</v>
      </c>
      <c r="D995" t="s">
        <v>1141</v>
      </c>
      <c r="E995" t="s">
        <v>55</v>
      </c>
      <c r="F995" t="s">
        <v>41</v>
      </c>
      <c r="G995" t="s">
        <v>29</v>
      </c>
      <c r="H995">
        <v>36</v>
      </c>
      <c r="I995">
        <v>669</v>
      </c>
      <c r="J995">
        <v>57</v>
      </c>
      <c r="K995">
        <v>16.8</v>
      </c>
      <c r="L995" t="s">
        <v>49</v>
      </c>
      <c r="M995">
        <v>19555.86</v>
      </c>
      <c r="N995">
        <v>27881</v>
      </c>
      <c r="O995" t="s">
        <v>67</v>
      </c>
      <c r="P995" t="str">
        <f t="shared" si="135"/>
        <v>Yes</v>
      </c>
      <c r="Q995">
        <f t="shared" si="136"/>
        <v>18.579999999999998</v>
      </c>
      <c r="R995">
        <f t="shared" si="137"/>
        <v>29.23</v>
      </c>
      <c r="S995">
        <f t="shared" si="138"/>
        <v>0.7</v>
      </c>
      <c r="T995" t="str">
        <f t="shared" si="139"/>
        <v>Delayed</v>
      </c>
      <c r="U995" t="str">
        <f t="shared" si="140"/>
        <v>Low</v>
      </c>
      <c r="V995" t="str">
        <f t="shared" si="141"/>
        <v>High Risk</v>
      </c>
      <c r="W995" t="str">
        <f t="shared" si="142"/>
        <v>Feb</v>
      </c>
      <c r="X995">
        <f t="shared" si="143"/>
        <v>2025</v>
      </c>
    </row>
    <row r="996" spans="1:24" x14ac:dyDescent="0.35">
      <c r="A996" s="3">
        <v>45893</v>
      </c>
      <c r="B996" t="s">
        <v>87</v>
      </c>
      <c r="C996" t="s">
        <v>52</v>
      </c>
      <c r="D996" t="s">
        <v>1142</v>
      </c>
      <c r="E996" t="s">
        <v>48</v>
      </c>
      <c r="F996" t="s">
        <v>66</v>
      </c>
      <c r="G996" t="s">
        <v>71</v>
      </c>
      <c r="H996">
        <v>31.9</v>
      </c>
      <c r="I996">
        <v>4316</v>
      </c>
      <c r="J996">
        <v>87</v>
      </c>
      <c r="K996">
        <v>12.6</v>
      </c>
      <c r="L996" t="s">
        <v>78</v>
      </c>
      <c r="M996">
        <v>15467.07</v>
      </c>
      <c r="N996">
        <v>19934</v>
      </c>
      <c r="O996" t="s">
        <v>91</v>
      </c>
      <c r="P996" t="str">
        <f t="shared" si="135"/>
        <v>No</v>
      </c>
      <c r="Q996">
        <f t="shared" si="136"/>
        <v>135.30000000000001</v>
      </c>
      <c r="R996">
        <f t="shared" si="137"/>
        <v>3.58</v>
      </c>
      <c r="S996">
        <f t="shared" si="138"/>
        <v>0.78</v>
      </c>
      <c r="T996" t="str">
        <f t="shared" si="139"/>
        <v>On Time</v>
      </c>
      <c r="U996" t="str">
        <f t="shared" si="140"/>
        <v>Low</v>
      </c>
      <c r="V996" t="str">
        <f t="shared" si="141"/>
        <v>Low Risk</v>
      </c>
      <c r="W996" t="str">
        <f t="shared" si="142"/>
        <v>Aug</v>
      </c>
      <c r="X996">
        <f t="shared" si="143"/>
        <v>2025</v>
      </c>
    </row>
    <row r="997" spans="1:24" x14ac:dyDescent="0.35">
      <c r="A997" s="3">
        <v>45895</v>
      </c>
      <c r="B997" t="s">
        <v>80</v>
      </c>
      <c r="C997" t="s">
        <v>57</v>
      </c>
      <c r="D997" t="s">
        <v>1143</v>
      </c>
      <c r="E997" t="s">
        <v>41</v>
      </c>
      <c r="F997" t="s">
        <v>27</v>
      </c>
      <c r="G997" t="s">
        <v>71</v>
      </c>
      <c r="H997">
        <v>68.900000000000006</v>
      </c>
      <c r="I997">
        <v>4524</v>
      </c>
      <c r="J997">
        <v>29</v>
      </c>
      <c r="K997">
        <v>19.2</v>
      </c>
      <c r="L997" t="s">
        <v>30</v>
      </c>
      <c r="M997">
        <v>34328.43</v>
      </c>
      <c r="N997">
        <v>28806</v>
      </c>
      <c r="O997" t="s">
        <v>36</v>
      </c>
      <c r="P997" t="str">
        <f t="shared" si="135"/>
        <v>Yes</v>
      </c>
      <c r="Q997">
        <f t="shared" si="136"/>
        <v>65.66</v>
      </c>
      <c r="R997">
        <f t="shared" si="137"/>
        <v>7.59</v>
      </c>
      <c r="S997">
        <f t="shared" si="138"/>
        <v>1.19</v>
      </c>
      <c r="T997" t="str">
        <f t="shared" si="139"/>
        <v>Delayed</v>
      </c>
      <c r="U997" t="str">
        <f t="shared" si="140"/>
        <v>High</v>
      </c>
      <c r="V997" t="str">
        <f t="shared" si="141"/>
        <v>Medium Risk</v>
      </c>
      <c r="W997" t="str">
        <f t="shared" si="142"/>
        <v>Aug</v>
      </c>
      <c r="X997">
        <f t="shared" si="143"/>
        <v>2025</v>
      </c>
    </row>
    <row r="998" spans="1:24" x14ac:dyDescent="0.35">
      <c r="A998" s="3">
        <v>45754</v>
      </c>
      <c r="B998" t="s">
        <v>167</v>
      </c>
      <c r="C998" t="s">
        <v>57</v>
      </c>
      <c r="D998" t="s">
        <v>1144</v>
      </c>
      <c r="E998" t="s">
        <v>54</v>
      </c>
      <c r="F998" t="s">
        <v>41</v>
      </c>
      <c r="G998" t="s">
        <v>71</v>
      </c>
      <c r="H998">
        <v>45.1</v>
      </c>
      <c r="I998">
        <v>4451</v>
      </c>
      <c r="J998">
        <v>43</v>
      </c>
      <c r="K998">
        <v>19</v>
      </c>
      <c r="L998" t="s">
        <v>78</v>
      </c>
      <c r="M998">
        <v>31535.61</v>
      </c>
      <c r="N998">
        <v>12255</v>
      </c>
      <c r="O998" t="s">
        <v>31</v>
      </c>
      <c r="P998" t="str">
        <f t="shared" si="135"/>
        <v>No</v>
      </c>
      <c r="Q998">
        <f t="shared" si="136"/>
        <v>98.69</v>
      </c>
      <c r="R998">
        <f t="shared" si="137"/>
        <v>7.09</v>
      </c>
      <c r="S998">
        <f t="shared" si="138"/>
        <v>2.57</v>
      </c>
      <c r="T998" t="str">
        <f t="shared" si="139"/>
        <v>On Time</v>
      </c>
      <c r="U998" t="str">
        <f t="shared" si="140"/>
        <v>Medium</v>
      </c>
      <c r="V998" t="str">
        <f t="shared" si="141"/>
        <v>Low Risk</v>
      </c>
      <c r="W998" t="str">
        <f t="shared" si="142"/>
        <v>Apr</v>
      </c>
      <c r="X998">
        <f t="shared" si="143"/>
        <v>2025</v>
      </c>
    </row>
    <row r="999" spans="1:24" x14ac:dyDescent="0.35">
      <c r="A999" s="3">
        <v>45913</v>
      </c>
      <c r="B999" t="s">
        <v>46</v>
      </c>
      <c r="C999" t="s">
        <v>95</v>
      </c>
      <c r="D999" t="s">
        <v>1145</v>
      </c>
      <c r="E999" t="s">
        <v>54</v>
      </c>
      <c r="F999" t="s">
        <v>63</v>
      </c>
      <c r="G999" t="s">
        <v>71</v>
      </c>
      <c r="H999">
        <v>70.7</v>
      </c>
      <c r="I999">
        <v>2095</v>
      </c>
      <c r="J999">
        <v>51</v>
      </c>
      <c r="K999">
        <v>13.5</v>
      </c>
      <c r="L999" t="s">
        <v>43</v>
      </c>
      <c r="M999">
        <v>48361.55</v>
      </c>
      <c r="N999">
        <v>12520</v>
      </c>
      <c r="O999" t="s">
        <v>44</v>
      </c>
      <c r="P999" t="str">
        <f t="shared" si="135"/>
        <v>Yes</v>
      </c>
      <c r="Q999">
        <f t="shared" si="136"/>
        <v>29.63</v>
      </c>
      <c r="R999">
        <f t="shared" si="137"/>
        <v>23.08</v>
      </c>
      <c r="S999">
        <f t="shared" si="138"/>
        <v>3.86</v>
      </c>
      <c r="T999" t="str">
        <f t="shared" si="139"/>
        <v>Delayed</v>
      </c>
      <c r="U999" t="str">
        <f t="shared" si="140"/>
        <v>High</v>
      </c>
      <c r="V999" t="str">
        <f t="shared" si="141"/>
        <v>Low Risk</v>
      </c>
      <c r="W999" t="str">
        <f t="shared" si="142"/>
        <v>Sep</v>
      </c>
      <c r="X999">
        <f t="shared" si="143"/>
        <v>2025</v>
      </c>
    </row>
    <row r="1000" spans="1:24" x14ac:dyDescent="0.35">
      <c r="A1000" s="3">
        <v>45738</v>
      </c>
      <c r="B1000" t="s">
        <v>157</v>
      </c>
      <c r="C1000" t="s">
        <v>57</v>
      </c>
      <c r="D1000" t="s">
        <v>1146</v>
      </c>
      <c r="E1000" t="s">
        <v>63</v>
      </c>
      <c r="F1000" t="s">
        <v>66</v>
      </c>
      <c r="G1000" t="s">
        <v>29</v>
      </c>
      <c r="H1000">
        <v>55.8</v>
      </c>
      <c r="I1000">
        <v>4525</v>
      </c>
      <c r="J1000">
        <v>89</v>
      </c>
      <c r="K1000">
        <v>19.5</v>
      </c>
      <c r="L1000" t="s">
        <v>78</v>
      </c>
      <c r="M1000">
        <v>36467.699999999997</v>
      </c>
      <c r="N1000">
        <v>20860</v>
      </c>
      <c r="O1000" t="s">
        <v>59</v>
      </c>
      <c r="P1000" t="str">
        <f t="shared" si="135"/>
        <v>No</v>
      </c>
      <c r="Q1000">
        <f t="shared" si="136"/>
        <v>81.09</v>
      </c>
      <c r="R1000">
        <f t="shared" si="137"/>
        <v>8.06</v>
      </c>
      <c r="S1000">
        <f t="shared" si="138"/>
        <v>1.75</v>
      </c>
      <c r="T1000" t="str">
        <f t="shared" si="139"/>
        <v>On Time</v>
      </c>
      <c r="U1000" t="str">
        <f t="shared" si="140"/>
        <v>Medium</v>
      </c>
      <c r="V1000" t="str">
        <f t="shared" si="141"/>
        <v>Low Risk</v>
      </c>
      <c r="W1000" t="str">
        <f t="shared" si="142"/>
        <v>Mar</v>
      </c>
      <c r="X1000">
        <f t="shared" si="143"/>
        <v>2025</v>
      </c>
    </row>
    <row r="1001" spans="1:24" x14ac:dyDescent="0.35">
      <c r="A1001" s="3">
        <v>45771</v>
      </c>
      <c r="B1001" t="s">
        <v>136</v>
      </c>
      <c r="C1001" t="s">
        <v>95</v>
      </c>
      <c r="D1001" t="s">
        <v>1147</v>
      </c>
      <c r="E1001" t="s">
        <v>54</v>
      </c>
      <c r="F1001" t="s">
        <v>28</v>
      </c>
      <c r="G1001" t="s">
        <v>35</v>
      </c>
      <c r="H1001">
        <v>72</v>
      </c>
      <c r="I1001">
        <v>1319</v>
      </c>
      <c r="J1001">
        <v>83</v>
      </c>
      <c r="K1001">
        <v>21.8</v>
      </c>
      <c r="L1001" t="s">
        <v>78</v>
      </c>
      <c r="M1001">
        <v>49169.43</v>
      </c>
      <c r="N1001">
        <v>5186</v>
      </c>
      <c r="O1001" t="s">
        <v>44</v>
      </c>
      <c r="P1001" t="str">
        <f t="shared" si="135"/>
        <v>No</v>
      </c>
      <c r="Q1001">
        <f t="shared" si="136"/>
        <v>18.32</v>
      </c>
      <c r="R1001">
        <f t="shared" si="137"/>
        <v>37.28</v>
      </c>
      <c r="S1001">
        <f t="shared" si="138"/>
        <v>9.48</v>
      </c>
      <c r="T1001" t="str">
        <f t="shared" si="139"/>
        <v>On Time</v>
      </c>
      <c r="U1001" t="str">
        <f t="shared" si="140"/>
        <v>High</v>
      </c>
      <c r="V1001" t="str">
        <f t="shared" si="141"/>
        <v>Low Risk</v>
      </c>
      <c r="W1001" t="str">
        <f t="shared" si="142"/>
        <v>Apr</v>
      </c>
      <c r="X1001">
        <f t="shared" si="143"/>
        <v>2025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D493-75B4-4D4D-B043-5C139C91F879}">
  <dimension ref="A1:X1001"/>
  <sheetViews>
    <sheetView zoomScale="59" workbookViewId="0">
      <selection activeCell="H1016" sqref="H1016"/>
    </sheetView>
  </sheetViews>
  <sheetFormatPr defaultRowHeight="14.5" x14ac:dyDescent="0.35"/>
  <cols>
    <col min="1" max="1" width="10.90625" bestFit="1" customWidth="1"/>
    <col min="2" max="2" width="10.54296875" bestFit="1" customWidth="1"/>
    <col min="3" max="3" width="14" bestFit="1" customWidth="1"/>
    <col min="4" max="4" width="11" bestFit="1" customWidth="1"/>
    <col min="5" max="5" width="18" bestFit="1" customWidth="1"/>
    <col min="6" max="6" width="14.54296875" bestFit="1" customWidth="1"/>
    <col min="7" max="7" width="12.90625" bestFit="1" customWidth="1"/>
    <col min="8" max="8" width="22.453125" bestFit="1" customWidth="1"/>
    <col min="9" max="9" width="16.7265625" bestFit="1" customWidth="1"/>
    <col min="10" max="10" width="15.81640625" bestFit="1" customWidth="1"/>
    <col min="11" max="11" width="13.6328125" bestFit="1" customWidth="1"/>
    <col min="12" max="12" width="12.453125" bestFit="1" customWidth="1"/>
    <col min="13" max="13" width="17.6328125" bestFit="1" customWidth="1"/>
    <col min="14" max="14" width="22" bestFit="1" customWidth="1"/>
    <col min="15" max="15" width="11.1796875" bestFit="1" customWidth="1"/>
    <col min="16" max="16" width="9.453125" bestFit="1" customWidth="1"/>
    <col min="17" max="17" width="16.90625" bestFit="1" customWidth="1"/>
    <col min="18" max="18" width="15.1796875" bestFit="1" customWidth="1"/>
    <col min="19" max="19" width="15" bestFit="1" customWidth="1"/>
    <col min="20" max="20" width="16.26953125" bestFit="1" customWidth="1"/>
    <col min="21" max="21" width="15.81640625" bestFit="1" customWidth="1"/>
    <col min="22" max="22" width="15.453125" bestFit="1" customWidth="1"/>
    <col min="23" max="23" width="10.54296875" bestFit="1" customWidth="1"/>
    <col min="24" max="24" width="8.7265625" bestFit="1" customWidth="1"/>
  </cols>
  <sheetData>
    <row r="1" spans="1:24"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2" t="s">
        <v>21</v>
      </c>
      <c r="W1" s="1" t="s">
        <v>22</v>
      </c>
      <c r="X1" s="1" t="s">
        <v>23</v>
      </c>
    </row>
    <row r="2" spans="1:24" x14ac:dyDescent="0.35">
      <c r="A2" s="3">
        <v>45733</v>
      </c>
      <c r="B2" t="s">
        <v>24</v>
      </c>
      <c r="C2" t="s">
        <v>25</v>
      </c>
      <c r="D2" t="s">
        <v>26</v>
      </c>
      <c r="E2" t="s">
        <v>27</v>
      </c>
      <c r="F2" t="s">
        <v>28</v>
      </c>
      <c r="G2" t="s">
        <v>29</v>
      </c>
      <c r="H2">
        <v>39.5</v>
      </c>
      <c r="I2">
        <v>3970</v>
      </c>
      <c r="J2">
        <v>74</v>
      </c>
      <c r="K2">
        <v>15.1</v>
      </c>
      <c r="L2" t="s">
        <v>30</v>
      </c>
      <c r="M2">
        <v>17870.599999999999</v>
      </c>
      <c r="N2">
        <v>19856</v>
      </c>
      <c r="O2" t="s">
        <v>31</v>
      </c>
      <c r="P2" t="str">
        <f t="shared" ref="P2:P65" si="0">IF(OR(L2="Rain",L2="Fog",L2="Storm"),"Yes","No")</f>
        <v>Yes</v>
      </c>
      <c r="Q2">
        <f t="shared" ref="Q2:Q65" si="1">ROUND(I2/H2,2)</f>
        <v>100.51</v>
      </c>
      <c r="R2">
        <f t="shared" ref="R2:R65" si="2">ROUND(M2/I2,2)</f>
        <v>4.5</v>
      </c>
      <c r="S2">
        <f t="shared" ref="S2:S65" si="3">ROUND(M2/N2,2)</f>
        <v>0.9</v>
      </c>
      <c r="T2" t="str">
        <f t="shared" ref="T2:T65" si="4">IF(P2="Yes","Delayed","On Time")</f>
        <v>Delayed</v>
      </c>
      <c r="U2" t="str">
        <f t="shared" ref="U2:U65" si="5">IF(H2&gt;=60,"High",IF(H2&gt;=40,"Medium","Low"))</f>
        <v>Low</v>
      </c>
      <c r="V2" t="str">
        <f t="shared" ref="V2:V65" si="6">IF(L2="Storm","High Risk",IF(L2="Rain","Medium Risk","Low Risk"))</f>
        <v>Medium Risk</v>
      </c>
      <c r="W2" t="str">
        <f t="shared" ref="W2:W65" si="7">TEXT(A2,"mmm")</f>
        <v>Mar</v>
      </c>
      <c r="X2">
        <f>YEAR(A2)</f>
        <v>2025</v>
      </c>
    </row>
    <row r="3" spans="1:24" x14ac:dyDescent="0.35">
      <c r="A3" s="3">
        <v>45810</v>
      </c>
      <c r="B3" t="s">
        <v>33</v>
      </c>
      <c r="C3" t="s">
        <v>25</v>
      </c>
      <c r="D3" t="s">
        <v>34</v>
      </c>
      <c r="E3" t="s">
        <v>28</v>
      </c>
      <c r="F3" t="s">
        <v>27</v>
      </c>
      <c r="G3" t="s">
        <v>35</v>
      </c>
      <c r="H3">
        <v>63</v>
      </c>
      <c r="I3">
        <v>869</v>
      </c>
      <c r="J3">
        <v>52</v>
      </c>
      <c r="K3">
        <v>17.399999999999999</v>
      </c>
      <c r="L3" t="s">
        <v>30</v>
      </c>
      <c r="M3">
        <v>37907.49</v>
      </c>
      <c r="N3">
        <v>6641</v>
      </c>
      <c r="O3" t="s">
        <v>36</v>
      </c>
      <c r="P3" t="str">
        <f t="shared" si="0"/>
        <v>Yes</v>
      </c>
      <c r="Q3">
        <f t="shared" si="1"/>
        <v>13.79</v>
      </c>
      <c r="R3">
        <f t="shared" si="2"/>
        <v>43.62</v>
      </c>
      <c r="S3">
        <f t="shared" si="3"/>
        <v>5.71</v>
      </c>
      <c r="T3" t="str">
        <f t="shared" si="4"/>
        <v>Delayed</v>
      </c>
      <c r="U3" t="str">
        <f t="shared" si="5"/>
        <v>High</v>
      </c>
      <c r="V3" t="str">
        <f t="shared" si="6"/>
        <v>Medium Risk</v>
      </c>
      <c r="W3" t="str">
        <f t="shared" si="7"/>
        <v>Jun</v>
      </c>
      <c r="X3">
        <f t="shared" ref="X3:X66" si="8">YEAR(A3)</f>
        <v>2025</v>
      </c>
    </row>
    <row r="4" spans="1:24" x14ac:dyDescent="0.35">
      <c r="A4" s="3">
        <v>45773</v>
      </c>
      <c r="B4" t="s">
        <v>38</v>
      </c>
      <c r="C4" t="s">
        <v>39</v>
      </c>
      <c r="D4" t="s">
        <v>40</v>
      </c>
      <c r="E4" t="s">
        <v>41</v>
      </c>
      <c r="F4" t="s">
        <v>27</v>
      </c>
      <c r="G4" t="s">
        <v>42</v>
      </c>
      <c r="H4">
        <v>78.400000000000006</v>
      </c>
      <c r="I4">
        <v>4515</v>
      </c>
      <c r="J4">
        <v>99</v>
      </c>
      <c r="K4">
        <v>10.5</v>
      </c>
      <c r="L4" t="s">
        <v>43</v>
      </c>
      <c r="M4">
        <v>44977.43</v>
      </c>
      <c r="N4">
        <v>17249</v>
      </c>
      <c r="O4" t="s">
        <v>44</v>
      </c>
      <c r="P4" t="str">
        <f t="shared" si="0"/>
        <v>Yes</v>
      </c>
      <c r="Q4">
        <f t="shared" si="1"/>
        <v>57.59</v>
      </c>
      <c r="R4">
        <f t="shared" si="2"/>
        <v>9.9600000000000009</v>
      </c>
      <c r="S4">
        <f t="shared" si="3"/>
        <v>2.61</v>
      </c>
      <c r="T4" t="str">
        <f t="shared" si="4"/>
        <v>Delayed</v>
      </c>
      <c r="U4" t="str">
        <f t="shared" si="5"/>
        <v>High</v>
      </c>
      <c r="V4" t="str">
        <f t="shared" si="6"/>
        <v>Low Risk</v>
      </c>
      <c r="W4" t="str">
        <f t="shared" si="7"/>
        <v>Apr</v>
      </c>
      <c r="X4">
        <f t="shared" si="8"/>
        <v>2025</v>
      </c>
    </row>
    <row r="5" spans="1:24" x14ac:dyDescent="0.35">
      <c r="A5" s="3">
        <v>46001</v>
      </c>
      <c r="B5" t="s">
        <v>46</v>
      </c>
      <c r="C5" t="s">
        <v>25</v>
      </c>
      <c r="D5" t="s">
        <v>47</v>
      </c>
      <c r="E5" t="s">
        <v>27</v>
      </c>
      <c r="F5" t="s">
        <v>48</v>
      </c>
      <c r="G5" t="s">
        <v>42</v>
      </c>
      <c r="H5">
        <v>41.8</v>
      </c>
      <c r="I5">
        <v>1658</v>
      </c>
      <c r="J5">
        <v>53</v>
      </c>
      <c r="K5">
        <v>11</v>
      </c>
      <c r="L5" t="s">
        <v>49</v>
      </c>
      <c r="M5">
        <v>27960.2</v>
      </c>
      <c r="N5">
        <v>21070</v>
      </c>
      <c r="O5" t="s">
        <v>50</v>
      </c>
      <c r="P5" t="str">
        <f t="shared" si="0"/>
        <v>Yes</v>
      </c>
      <c r="Q5">
        <f t="shared" si="1"/>
        <v>39.67</v>
      </c>
      <c r="R5">
        <f t="shared" si="2"/>
        <v>16.86</v>
      </c>
      <c r="S5">
        <f t="shared" si="3"/>
        <v>1.33</v>
      </c>
      <c r="T5" t="str">
        <f t="shared" si="4"/>
        <v>Delayed</v>
      </c>
      <c r="U5" t="str">
        <f t="shared" si="5"/>
        <v>Medium</v>
      </c>
      <c r="V5" t="str">
        <f t="shared" si="6"/>
        <v>High Risk</v>
      </c>
      <c r="W5" t="str">
        <f t="shared" si="7"/>
        <v>Dec</v>
      </c>
      <c r="X5">
        <f t="shared" si="8"/>
        <v>2025</v>
      </c>
    </row>
    <row r="6" spans="1:24" x14ac:dyDescent="0.35">
      <c r="A6" s="3">
        <v>46009</v>
      </c>
      <c r="B6" t="s">
        <v>24</v>
      </c>
      <c r="C6" t="s">
        <v>52</v>
      </c>
      <c r="D6" t="s">
        <v>53</v>
      </c>
      <c r="E6" t="s">
        <v>54</v>
      </c>
      <c r="F6" t="s">
        <v>55</v>
      </c>
      <c r="G6" t="s">
        <v>35</v>
      </c>
      <c r="H6">
        <v>41.5</v>
      </c>
      <c r="I6">
        <v>4765</v>
      </c>
      <c r="J6">
        <v>68</v>
      </c>
      <c r="K6">
        <v>13.9</v>
      </c>
      <c r="L6" t="s">
        <v>30</v>
      </c>
      <c r="M6">
        <v>28336.29</v>
      </c>
      <c r="N6">
        <v>26589</v>
      </c>
      <c r="O6" t="s">
        <v>31</v>
      </c>
      <c r="P6" t="str">
        <f t="shared" si="0"/>
        <v>Yes</v>
      </c>
      <c r="Q6">
        <f t="shared" si="1"/>
        <v>114.82</v>
      </c>
      <c r="R6">
        <f t="shared" si="2"/>
        <v>5.95</v>
      </c>
      <c r="S6">
        <f t="shared" si="3"/>
        <v>1.07</v>
      </c>
      <c r="T6" t="str">
        <f t="shared" si="4"/>
        <v>Delayed</v>
      </c>
      <c r="U6" t="str">
        <f t="shared" si="5"/>
        <v>Medium</v>
      </c>
      <c r="V6" t="str">
        <f t="shared" si="6"/>
        <v>Medium Risk</v>
      </c>
      <c r="W6" t="str">
        <f t="shared" si="7"/>
        <v>Dec</v>
      </c>
      <c r="X6">
        <f t="shared" si="8"/>
        <v>2025</v>
      </c>
    </row>
    <row r="7" spans="1:24" x14ac:dyDescent="0.35">
      <c r="A7" s="3">
        <v>45980</v>
      </c>
      <c r="B7" t="s">
        <v>56</v>
      </c>
      <c r="C7" t="s">
        <v>57</v>
      </c>
      <c r="D7" t="s">
        <v>58</v>
      </c>
      <c r="E7" t="s">
        <v>54</v>
      </c>
      <c r="F7" t="s">
        <v>28</v>
      </c>
      <c r="G7" t="s">
        <v>35</v>
      </c>
      <c r="H7">
        <v>51.9</v>
      </c>
      <c r="I7">
        <v>4847</v>
      </c>
      <c r="J7">
        <v>69</v>
      </c>
      <c r="K7">
        <v>17.600000000000001</v>
      </c>
      <c r="L7" t="s">
        <v>43</v>
      </c>
      <c r="M7">
        <v>32552.799999999999</v>
      </c>
      <c r="N7">
        <v>11621</v>
      </c>
      <c r="O7" t="s">
        <v>59</v>
      </c>
      <c r="P7" t="str">
        <f t="shared" si="0"/>
        <v>Yes</v>
      </c>
      <c r="Q7">
        <f t="shared" si="1"/>
        <v>93.39</v>
      </c>
      <c r="R7">
        <f t="shared" si="2"/>
        <v>6.72</v>
      </c>
      <c r="S7">
        <f t="shared" si="3"/>
        <v>2.8</v>
      </c>
      <c r="T7" t="str">
        <f t="shared" si="4"/>
        <v>Delayed</v>
      </c>
      <c r="U7" t="str">
        <f t="shared" si="5"/>
        <v>Medium</v>
      </c>
      <c r="V7" t="str">
        <f t="shared" si="6"/>
        <v>Low Risk</v>
      </c>
      <c r="W7" t="str">
        <f t="shared" si="7"/>
        <v>Nov</v>
      </c>
      <c r="X7">
        <f t="shared" si="8"/>
        <v>2025</v>
      </c>
    </row>
    <row r="8" spans="1:24" x14ac:dyDescent="0.35">
      <c r="A8" s="3">
        <v>45766</v>
      </c>
      <c r="B8" t="s">
        <v>61</v>
      </c>
      <c r="C8" t="s">
        <v>52</v>
      </c>
      <c r="D8" t="s">
        <v>62</v>
      </c>
      <c r="E8" t="s">
        <v>63</v>
      </c>
      <c r="F8" t="s">
        <v>48</v>
      </c>
      <c r="G8" t="s">
        <v>42</v>
      </c>
      <c r="H8">
        <v>77.3</v>
      </c>
      <c r="I8">
        <v>3652</v>
      </c>
      <c r="J8">
        <v>22</v>
      </c>
      <c r="K8">
        <v>17</v>
      </c>
      <c r="L8" t="s">
        <v>43</v>
      </c>
      <c r="M8">
        <v>47055.839999999997</v>
      </c>
      <c r="N8">
        <v>22644</v>
      </c>
      <c r="O8" t="s">
        <v>44</v>
      </c>
      <c r="P8" t="str">
        <f t="shared" si="0"/>
        <v>Yes</v>
      </c>
      <c r="Q8">
        <f t="shared" si="1"/>
        <v>47.24</v>
      </c>
      <c r="R8">
        <f t="shared" si="2"/>
        <v>12.88</v>
      </c>
      <c r="S8">
        <f t="shared" si="3"/>
        <v>2.08</v>
      </c>
      <c r="T8" t="str">
        <f t="shared" si="4"/>
        <v>Delayed</v>
      </c>
      <c r="U8" t="str">
        <f t="shared" si="5"/>
        <v>High</v>
      </c>
      <c r="V8" t="str">
        <f t="shared" si="6"/>
        <v>Low Risk</v>
      </c>
      <c r="W8" t="str">
        <f t="shared" si="7"/>
        <v>Apr</v>
      </c>
      <c r="X8">
        <f t="shared" si="8"/>
        <v>2025</v>
      </c>
    </row>
    <row r="9" spans="1:24" x14ac:dyDescent="0.35">
      <c r="A9" s="3">
        <v>45763</v>
      </c>
      <c r="B9" t="s">
        <v>64</v>
      </c>
      <c r="C9" t="s">
        <v>52</v>
      </c>
      <c r="D9" t="s">
        <v>65</v>
      </c>
      <c r="E9" t="s">
        <v>66</v>
      </c>
      <c r="F9" t="s">
        <v>63</v>
      </c>
      <c r="G9" t="s">
        <v>29</v>
      </c>
      <c r="H9">
        <v>68.900000000000006</v>
      </c>
      <c r="I9">
        <v>4126</v>
      </c>
      <c r="J9">
        <v>76</v>
      </c>
      <c r="K9">
        <v>20</v>
      </c>
      <c r="L9" t="s">
        <v>43</v>
      </c>
      <c r="M9">
        <v>36241.78</v>
      </c>
      <c r="N9">
        <v>8549</v>
      </c>
      <c r="O9" t="s">
        <v>67</v>
      </c>
      <c r="P9" t="str">
        <f t="shared" si="0"/>
        <v>Yes</v>
      </c>
      <c r="Q9">
        <f t="shared" si="1"/>
        <v>59.88</v>
      </c>
      <c r="R9">
        <f t="shared" si="2"/>
        <v>8.7799999999999994</v>
      </c>
      <c r="S9">
        <f t="shared" si="3"/>
        <v>4.24</v>
      </c>
      <c r="T9" t="str">
        <f t="shared" si="4"/>
        <v>Delayed</v>
      </c>
      <c r="U9" t="str">
        <f t="shared" si="5"/>
        <v>High</v>
      </c>
      <c r="V9" t="str">
        <f t="shared" si="6"/>
        <v>Low Risk</v>
      </c>
      <c r="W9" t="str">
        <f t="shared" si="7"/>
        <v>Apr</v>
      </c>
      <c r="X9">
        <f t="shared" si="8"/>
        <v>2025</v>
      </c>
    </row>
    <row r="10" spans="1:24" x14ac:dyDescent="0.35">
      <c r="A10" s="3">
        <v>45693</v>
      </c>
      <c r="B10" t="s">
        <v>68</v>
      </c>
      <c r="C10" t="s">
        <v>69</v>
      </c>
      <c r="D10" t="s">
        <v>70</v>
      </c>
      <c r="E10" t="s">
        <v>54</v>
      </c>
      <c r="F10" t="s">
        <v>27</v>
      </c>
      <c r="G10" t="s">
        <v>71</v>
      </c>
      <c r="H10">
        <v>31.3</v>
      </c>
      <c r="I10">
        <v>4996</v>
      </c>
      <c r="J10">
        <v>33</v>
      </c>
      <c r="K10">
        <v>16.600000000000001</v>
      </c>
      <c r="L10" t="s">
        <v>43</v>
      </c>
      <c r="M10">
        <v>20476.79</v>
      </c>
      <c r="N10">
        <v>6737</v>
      </c>
      <c r="O10" t="s">
        <v>31</v>
      </c>
      <c r="P10" t="str">
        <f t="shared" si="0"/>
        <v>Yes</v>
      </c>
      <c r="Q10">
        <f t="shared" si="1"/>
        <v>159.62</v>
      </c>
      <c r="R10">
        <f t="shared" si="2"/>
        <v>4.0999999999999996</v>
      </c>
      <c r="S10">
        <f t="shared" si="3"/>
        <v>3.04</v>
      </c>
      <c r="T10" t="str">
        <f t="shared" si="4"/>
        <v>Delayed</v>
      </c>
      <c r="U10" t="str">
        <f t="shared" si="5"/>
        <v>Low</v>
      </c>
      <c r="V10" t="str">
        <f t="shared" si="6"/>
        <v>Low Risk</v>
      </c>
      <c r="W10" t="str">
        <f t="shared" si="7"/>
        <v>Feb</v>
      </c>
      <c r="X10">
        <f t="shared" si="8"/>
        <v>2025</v>
      </c>
    </row>
    <row r="11" spans="1:24" x14ac:dyDescent="0.35">
      <c r="A11" s="3">
        <v>45882</v>
      </c>
      <c r="B11" t="s">
        <v>73</v>
      </c>
      <c r="C11" t="s">
        <v>57</v>
      </c>
      <c r="D11" t="s">
        <v>74</v>
      </c>
      <c r="E11" t="s">
        <v>54</v>
      </c>
      <c r="F11" t="s">
        <v>48</v>
      </c>
      <c r="G11" t="s">
        <v>71</v>
      </c>
      <c r="H11">
        <v>46</v>
      </c>
      <c r="I11">
        <v>1137</v>
      </c>
      <c r="J11">
        <v>115</v>
      </c>
      <c r="K11">
        <v>11.5</v>
      </c>
      <c r="L11" t="s">
        <v>49</v>
      </c>
      <c r="M11">
        <v>31147.41</v>
      </c>
      <c r="N11">
        <v>18177</v>
      </c>
      <c r="O11" t="s">
        <v>59</v>
      </c>
      <c r="P11" t="str">
        <f t="shared" si="0"/>
        <v>Yes</v>
      </c>
      <c r="Q11">
        <f t="shared" si="1"/>
        <v>24.72</v>
      </c>
      <c r="R11">
        <f t="shared" si="2"/>
        <v>27.39</v>
      </c>
      <c r="S11">
        <f t="shared" si="3"/>
        <v>1.71</v>
      </c>
      <c r="T11" t="str">
        <f t="shared" si="4"/>
        <v>Delayed</v>
      </c>
      <c r="U11" t="str">
        <f t="shared" si="5"/>
        <v>Medium</v>
      </c>
      <c r="V11" t="str">
        <f t="shared" si="6"/>
        <v>High Risk</v>
      </c>
      <c r="W11" t="str">
        <f t="shared" si="7"/>
        <v>Aug</v>
      </c>
      <c r="X11">
        <f t="shared" si="8"/>
        <v>2025</v>
      </c>
    </row>
    <row r="12" spans="1:24" x14ac:dyDescent="0.35">
      <c r="A12" s="3">
        <v>45951</v>
      </c>
      <c r="B12" t="s">
        <v>76</v>
      </c>
      <c r="C12" t="s">
        <v>69</v>
      </c>
      <c r="D12" t="s">
        <v>77</v>
      </c>
      <c r="E12" t="s">
        <v>55</v>
      </c>
      <c r="F12" t="s">
        <v>48</v>
      </c>
      <c r="G12" t="s">
        <v>71</v>
      </c>
      <c r="H12">
        <v>24.4</v>
      </c>
      <c r="I12">
        <v>988</v>
      </c>
      <c r="J12">
        <v>79</v>
      </c>
      <c r="K12">
        <v>20.5</v>
      </c>
      <c r="L12" t="s">
        <v>78</v>
      </c>
      <c r="M12">
        <v>12956.12</v>
      </c>
      <c r="N12">
        <v>22324</v>
      </c>
      <c r="O12" t="s">
        <v>67</v>
      </c>
      <c r="P12" t="str">
        <f t="shared" si="0"/>
        <v>No</v>
      </c>
      <c r="Q12">
        <f t="shared" si="1"/>
        <v>40.49</v>
      </c>
      <c r="R12">
        <f t="shared" si="2"/>
        <v>13.11</v>
      </c>
      <c r="S12">
        <f t="shared" si="3"/>
        <v>0.57999999999999996</v>
      </c>
      <c r="T12" t="str">
        <f t="shared" si="4"/>
        <v>On Time</v>
      </c>
      <c r="U12" t="str">
        <f t="shared" si="5"/>
        <v>Low</v>
      </c>
      <c r="V12" t="str">
        <f t="shared" si="6"/>
        <v>Low Risk</v>
      </c>
      <c r="W12" t="str">
        <f t="shared" si="7"/>
        <v>Oct</v>
      </c>
      <c r="X12">
        <f t="shared" si="8"/>
        <v>2025</v>
      </c>
    </row>
    <row r="13" spans="1:24" x14ac:dyDescent="0.35">
      <c r="A13" s="3">
        <v>45771</v>
      </c>
      <c r="B13" t="s">
        <v>80</v>
      </c>
      <c r="C13" t="s">
        <v>39</v>
      </c>
      <c r="D13" t="s">
        <v>81</v>
      </c>
      <c r="E13" t="s">
        <v>48</v>
      </c>
      <c r="F13" t="s">
        <v>41</v>
      </c>
      <c r="G13" t="s">
        <v>71</v>
      </c>
      <c r="H13">
        <v>37.200000000000003</v>
      </c>
      <c r="I13">
        <v>4128</v>
      </c>
      <c r="J13">
        <v>71</v>
      </c>
      <c r="K13">
        <v>18.5</v>
      </c>
      <c r="L13" t="s">
        <v>49</v>
      </c>
      <c r="M13">
        <v>21039.21</v>
      </c>
      <c r="N13">
        <v>6190</v>
      </c>
      <c r="O13" t="s">
        <v>44</v>
      </c>
      <c r="P13" t="str">
        <f t="shared" si="0"/>
        <v>Yes</v>
      </c>
      <c r="Q13">
        <f t="shared" si="1"/>
        <v>110.97</v>
      </c>
      <c r="R13">
        <f t="shared" si="2"/>
        <v>5.0999999999999996</v>
      </c>
      <c r="S13">
        <f t="shared" si="3"/>
        <v>3.4</v>
      </c>
      <c r="T13" t="str">
        <f t="shared" si="4"/>
        <v>Delayed</v>
      </c>
      <c r="U13" t="str">
        <f t="shared" si="5"/>
        <v>Low</v>
      </c>
      <c r="V13" t="str">
        <f t="shared" si="6"/>
        <v>High Risk</v>
      </c>
      <c r="W13" t="str">
        <f t="shared" si="7"/>
        <v>Apr</v>
      </c>
      <c r="X13">
        <f t="shared" si="8"/>
        <v>2025</v>
      </c>
    </row>
    <row r="14" spans="1:24" x14ac:dyDescent="0.35">
      <c r="A14" s="3">
        <v>45915</v>
      </c>
      <c r="B14" t="s">
        <v>82</v>
      </c>
      <c r="C14" t="s">
        <v>52</v>
      </c>
      <c r="D14" t="s">
        <v>83</v>
      </c>
      <c r="E14" t="s">
        <v>66</v>
      </c>
      <c r="F14" t="s">
        <v>63</v>
      </c>
      <c r="G14" t="s">
        <v>42</v>
      </c>
      <c r="H14">
        <v>25.6</v>
      </c>
      <c r="I14">
        <v>4240</v>
      </c>
      <c r="J14">
        <v>38</v>
      </c>
      <c r="K14">
        <v>16.7</v>
      </c>
      <c r="L14" t="s">
        <v>30</v>
      </c>
      <c r="M14">
        <v>12857.28</v>
      </c>
      <c r="N14">
        <v>26850</v>
      </c>
      <c r="O14" t="s">
        <v>84</v>
      </c>
      <c r="P14" t="str">
        <f t="shared" si="0"/>
        <v>Yes</v>
      </c>
      <c r="Q14">
        <f t="shared" si="1"/>
        <v>165.63</v>
      </c>
      <c r="R14">
        <f t="shared" si="2"/>
        <v>3.03</v>
      </c>
      <c r="S14">
        <f t="shared" si="3"/>
        <v>0.48</v>
      </c>
      <c r="T14" t="str">
        <f t="shared" si="4"/>
        <v>Delayed</v>
      </c>
      <c r="U14" t="str">
        <f t="shared" si="5"/>
        <v>Low</v>
      </c>
      <c r="V14" t="str">
        <f t="shared" si="6"/>
        <v>Medium Risk</v>
      </c>
      <c r="W14" t="str">
        <f t="shared" si="7"/>
        <v>Sep</v>
      </c>
      <c r="X14">
        <f t="shared" si="8"/>
        <v>2025</v>
      </c>
    </row>
    <row r="15" spans="1:24" x14ac:dyDescent="0.35">
      <c r="A15" s="3">
        <v>45777</v>
      </c>
      <c r="B15" t="s">
        <v>46</v>
      </c>
      <c r="C15" t="s">
        <v>57</v>
      </c>
      <c r="D15" t="s">
        <v>86</v>
      </c>
      <c r="E15" t="s">
        <v>66</v>
      </c>
      <c r="F15" t="s">
        <v>48</v>
      </c>
      <c r="G15" t="s">
        <v>71</v>
      </c>
      <c r="H15">
        <v>39.1</v>
      </c>
      <c r="I15">
        <v>4508</v>
      </c>
      <c r="J15">
        <v>24</v>
      </c>
      <c r="K15">
        <v>16.399999999999999</v>
      </c>
      <c r="L15" t="s">
        <v>30</v>
      </c>
      <c r="M15">
        <v>25018.36</v>
      </c>
      <c r="N15">
        <v>21612</v>
      </c>
      <c r="O15" t="s">
        <v>84</v>
      </c>
      <c r="P15" t="str">
        <f t="shared" si="0"/>
        <v>Yes</v>
      </c>
      <c r="Q15">
        <f t="shared" si="1"/>
        <v>115.29</v>
      </c>
      <c r="R15">
        <f t="shared" si="2"/>
        <v>5.55</v>
      </c>
      <c r="S15">
        <f t="shared" si="3"/>
        <v>1.1599999999999999</v>
      </c>
      <c r="T15" t="str">
        <f t="shared" si="4"/>
        <v>Delayed</v>
      </c>
      <c r="U15" t="str">
        <f t="shared" si="5"/>
        <v>Low</v>
      </c>
      <c r="V15" t="str">
        <f t="shared" si="6"/>
        <v>Medium Risk</v>
      </c>
      <c r="W15" t="str">
        <f t="shared" si="7"/>
        <v>Apr</v>
      </c>
      <c r="X15">
        <f t="shared" si="8"/>
        <v>2025</v>
      </c>
    </row>
    <row r="16" spans="1:24" x14ac:dyDescent="0.35">
      <c r="A16" s="3">
        <v>45737</v>
      </c>
      <c r="B16" t="s">
        <v>87</v>
      </c>
      <c r="C16" t="s">
        <v>57</v>
      </c>
      <c r="D16" t="s">
        <v>88</v>
      </c>
      <c r="E16" t="s">
        <v>28</v>
      </c>
      <c r="F16" t="s">
        <v>54</v>
      </c>
      <c r="G16" t="s">
        <v>42</v>
      </c>
      <c r="H16">
        <v>74.099999999999994</v>
      </c>
      <c r="I16">
        <v>660</v>
      </c>
      <c r="J16">
        <v>111</v>
      </c>
      <c r="K16">
        <v>12.9</v>
      </c>
      <c r="L16" t="s">
        <v>78</v>
      </c>
      <c r="M16">
        <v>48188.32</v>
      </c>
      <c r="N16">
        <v>25325</v>
      </c>
      <c r="O16" t="s">
        <v>31</v>
      </c>
      <c r="P16" t="str">
        <f t="shared" si="0"/>
        <v>No</v>
      </c>
      <c r="Q16">
        <f t="shared" si="1"/>
        <v>8.91</v>
      </c>
      <c r="R16">
        <f t="shared" si="2"/>
        <v>73.010000000000005</v>
      </c>
      <c r="S16">
        <f t="shared" si="3"/>
        <v>1.9</v>
      </c>
      <c r="T16" t="str">
        <f t="shared" si="4"/>
        <v>On Time</v>
      </c>
      <c r="U16" t="str">
        <f t="shared" si="5"/>
        <v>High</v>
      </c>
      <c r="V16" t="str">
        <f t="shared" si="6"/>
        <v>Low Risk</v>
      </c>
      <c r="W16" t="str">
        <f t="shared" si="7"/>
        <v>Mar</v>
      </c>
      <c r="X16">
        <f t="shared" si="8"/>
        <v>2025</v>
      </c>
    </row>
    <row r="17" spans="1:24" x14ac:dyDescent="0.35">
      <c r="A17" s="3">
        <v>45811</v>
      </c>
      <c r="B17" t="s">
        <v>89</v>
      </c>
      <c r="C17" t="s">
        <v>25</v>
      </c>
      <c r="D17" t="s">
        <v>90</v>
      </c>
      <c r="E17" t="s">
        <v>48</v>
      </c>
      <c r="F17" t="s">
        <v>55</v>
      </c>
      <c r="G17" t="s">
        <v>29</v>
      </c>
      <c r="H17">
        <v>71.900000000000006</v>
      </c>
      <c r="I17">
        <v>1853</v>
      </c>
      <c r="J17">
        <v>108</v>
      </c>
      <c r="K17">
        <v>10.6</v>
      </c>
      <c r="L17" t="s">
        <v>30</v>
      </c>
      <c r="M17">
        <v>44327.89</v>
      </c>
      <c r="N17">
        <v>26533</v>
      </c>
      <c r="O17" t="s">
        <v>91</v>
      </c>
      <c r="P17" t="str">
        <f t="shared" si="0"/>
        <v>Yes</v>
      </c>
      <c r="Q17">
        <f t="shared" si="1"/>
        <v>25.77</v>
      </c>
      <c r="R17">
        <f t="shared" si="2"/>
        <v>23.92</v>
      </c>
      <c r="S17">
        <f t="shared" si="3"/>
        <v>1.67</v>
      </c>
      <c r="T17" t="str">
        <f t="shared" si="4"/>
        <v>Delayed</v>
      </c>
      <c r="U17" t="str">
        <f t="shared" si="5"/>
        <v>High</v>
      </c>
      <c r="V17" t="str">
        <f t="shared" si="6"/>
        <v>Medium Risk</v>
      </c>
      <c r="W17" t="str">
        <f t="shared" si="7"/>
        <v>Jun</v>
      </c>
      <c r="X17">
        <f t="shared" si="8"/>
        <v>2025</v>
      </c>
    </row>
    <row r="18" spans="1:24" x14ac:dyDescent="0.35">
      <c r="A18" s="3">
        <v>46007</v>
      </c>
      <c r="B18" t="s">
        <v>92</v>
      </c>
      <c r="C18" t="s">
        <v>57</v>
      </c>
      <c r="D18" t="s">
        <v>93</v>
      </c>
      <c r="E18" t="s">
        <v>27</v>
      </c>
      <c r="F18" t="s">
        <v>55</v>
      </c>
      <c r="G18" t="s">
        <v>35</v>
      </c>
      <c r="H18">
        <v>71.2</v>
      </c>
      <c r="I18">
        <v>3853</v>
      </c>
      <c r="J18">
        <v>68</v>
      </c>
      <c r="K18">
        <v>11</v>
      </c>
      <c r="L18" t="s">
        <v>49</v>
      </c>
      <c r="M18">
        <v>42334.41</v>
      </c>
      <c r="N18">
        <v>19513</v>
      </c>
      <c r="O18" t="s">
        <v>91</v>
      </c>
      <c r="P18" t="str">
        <f t="shared" si="0"/>
        <v>Yes</v>
      </c>
      <c r="Q18">
        <f t="shared" si="1"/>
        <v>54.12</v>
      </c>
      <c r="R18">
        <f t="shared" si="2"/>
        <v>10.99</v>
      </c>
      <c r="S18">
        <f t="shared" si="3"/>
        <v>2.17</v>
      </c>
      <c r="T18" t="str">
        <f t="shared" si="4"/>
        <v>Delayed</v>
      </c>
      <c r="U18" t="str">
        <f t="shared" si="5"/>
        <v>High</v>
      </c>
      <c r="V18" t="str">
        <f t="shared" si="6"/>
        <v>High Risk</v>
      </c>
      <c r="W18" t="str">
        <f t="shared" si="7"/>
        <v>Dec</v>
      </c>
      <c r="X18">
        <f t="shared" si="8"/>
        <v>2025</v>
      </c>
    </row>
    <row r="19" spans="1:24" x14ac:dyDescent="0.35">
      <c r="A19" s="3">
        <v>45658</v>
      </c>
      <c r="B19" t="s">
        <v>94</v>
      </c>
      <c r="C19" t="s">
        <v>95</v>
      </c>
      <c r="D19" t="s">
        <v>96</v>
      </c>
      <c r="E19" t="s">
        <v>48</v>
      </c>
      <c r="F19" t="s">
        <v>28</v>
      </c>
      <c r="G19" t="s">
        <v>42</v>
      </c>
      <c r="H19">
        <v>52.6</v>
      </c>
      <c r="I19">
        <v>2410</v>
      </c>
      <c r="J19">
        <v>72</v>
      </c>
      <c r="K19">
        <v>21.9</v>
      </c>
      <c r="L19" t="s">
        <v>43</v>
      </c>
      <c r="M19">
        <v>31953.96</v>
      </c>
      <c r="N19">
        <v>11626</v>
      </c>
      <c r="O19" t="s">
        <v>59</v>
      </c>
      <c r="P19" t="str">
        <f t="shared" si="0"/>
        <v>Yes</v>
      </c>
      <c r="Q19">
        <f t="shared" si="1"/>
        <v>45.82</v>
      </c>
      <c r="R19">
        <f t="shared" si="2"/>
        <v>13.26</v>
      </c>
      <c r="S19">
        <f t="shared" si="3"/>
        <v>2.75</v>
      </c>
      <c r="T19" t="str">
        <f t="shared" si="4"/>
        <v>Delayed</v>
      </c>
      <c r="U19" t="str">
        <f t="shared" si="5"/>
        <v>Medium</v>
      </c>
      <c r="V19" t="str">
        <f t="shared" si="6"/>
        <v>Low Risk</v>
      </c>
      <c r="W19" t="str">
        <f t="shared" si="7"/>
        <v>Jan</v>
      </c>
      <c r="X19">
        <f t="shared" si="8"/>
        <v>2025</v>
      </c>
    </row>
    <row r="20" spans="1:24" x14ac:dyDescent="0.35">
      <c r="A20" s="3">
        <v>45762</v>
      </c>
      <c r="B20" t="s">
        <v>98</v>
      </c>
      <c r="C20" t="s">
        <v>52</v>
      </c>
      <c r="D20" t="s">
        <v>99</v>
      </c>
      <c r="E20" t="s">
        <v>55</v>
      </c>
      <c r="F20" t="s">
        <v>27</v>
      </c>
      <c r="G20" t="s">
        <v>35</v>
      </c>
      <c r="H20">
        <v>29.5</v>
      </c>
      <c r="I20">
        <v>4222</v>
      </c>
      <c r="J20">
        <v>115</v>
      </c>
      <c r="K20">
        <v>15.1</v>
      </c>
      <c r="L20" t="s">
        <v>30</v>
      </c>
      <c r="M20">
        <v>14811.28</v>
      </c>
      <c r="N20">
        <v>13366</v>
      </c>
      <c r="O20" t="s">
        <v>31</v>
      </c>
      <c r="P20" t="str">
        <f t="shared" si="0"/>
        <v>Yes</v>
      </c>
      <c r="Q20">
        <f t="shared" si="1"/>
        <v>143.12</v>
      </c>
      <c r="R20">
        <f t="shared" si="2"/>
        <v>3.51</v>
      </c>
      <c r="S20">
        <f t="shared" si="3"/>
        <v>1.1100000000000001</v>
      </c>
      <c r="T20" t="str">
        <f t="shared" si="4"/>
        <v>Delayed</v>
      </c>
      <c r="U20" t="str">
        <f t="shared" si="5"/>
        <v>Low</v>
      </c>
      <c r="V20" t="str">
        <f t="shared" si="6"/>
        <v>Medium Risk</v>
      </c>
      <c r="W20" t="str">
        <f t="shared" si="7"/>
        <v>Apr</v>
      </c>
      <c r="X20">
        <f t="shared" si="8"/>
        <v>2025</v>
      </c>
    </row>
    <row r="21" spans="1:24" x14ac:dyDescent="0.35">
      <c r="A21" s="3">
        <v>45828</v>
      </c>
      <c r="B21" t="s">
        <v>100</v>
      </c>
      <c r="C21" t="s">
        <v>52</v>
      </c>
      <c r="D21" t="s">
        <v>101</v>
      </c>
      <c r="E21" t="s">
        <v>63</v>
      </c>
      <c r="F21" t="s">
        <v>28</v>
      </c>
      <c r="G21" t="s">
        <v>71</v>
      </c>
      <c r="H21">
        <v>67.7</v>
      </c>
      <c r="I21">
        <v>1024</v>
      </c>
      <c r="J21">
        <v>81</v>
      </c>
      <c r="K21">
        <v>11.1</v>
      </c>
      <c r="L21" t="s">
        <v>30</v>
      </c>
      <c r="M21">
        <v>31721.32</v>
      </c>
      <c r="N21">
        <v>26288</v>
      </c>
      <c r="O21" t="s">
        <v>36</v>
      </c>
      <c r="P21" t="str">
        <f t="shared" si="0"/>
        <v>Yes</v>
      </c>
      <c r="Q21">
        <f t="shared" si="1"/>
        <v>15.13</v>
      </c>
      <c r="R21">
        <f t="shared" si="2"/>
        <v>30.98</v>
      </c>
      <c r="S21">
        <f t="shared" si="3"/>
        <v>1.21</v>
      </c>
      <c r="T21" t="str">
        <f t="shared" si="4"/>
        <v>Delayed</v>
      </c>
      <c r="U21" t="str">
        <f t="shared" si="5"/>
        <v>High</v>
      </c>
      <c r="V21" t="str">
        <f t="shared" si="6"/>
        <v>Medium Risk</v>
      </c>
      <c r="W21" t="str">
        <f t="shared" si="7"/>
        <v>Jun</v>
      </c>
      <c r="X21">
        <f t="shared" si="8"/>
        <v>2025</v>
      </c>
    </row>
    <row r="22" spans="1:24" x14ac:dyDescent="0.35">
      <c r="A22" s="3">
        <v>46020</v>
      </c>
      <c r="B22" t="s">
        <v>102</v>
      </c>
      <c r="C22" t="s">
        <v>39</v>
      </c>
      <c r="D22" t="s">
        <v>103</v>
      </c>
      <c r="E22" t="s">
        <v>63</v>
      </c>
      <c r="F22" t="s">
        <v>41</v>
      </c>
      <c r="G22" t="s">
        <v>35</v>
      </c>
      <c r="H22">
        <v>74.099999999999994</v>
      </c>
      <c r="I22">
        <v>957</v>
      </c>
      <c r="J22">
        <v>92</v>
      </c>
      <c r="K22">
        <v>22</v>
      </c>
      <c r="L22" t="s">
        <v>78</v>
      </c>
      <c r="M22">
        <v>48622.42</v>
      </c>
      <c r="N22">
        <v>21128</v>
      </c>
      <c r="O22" t="s">
        <v>50</v>
      </c>
      <c r="P22" t="str">
        <f t="shared" si="0"/>
        <v>No</v>
      </c>
      <c r="Q22">
        <f t="shared" si="1"/>
        <v>12.91</v>
      </c>
      <c r="R22">
        <f t="shared" si="2"/>
        <v>50.81</v>
      </c>
      <c r="S22">
        <f t="shared" si="3"/>
        <v>2.2999999999999998</v>
      </c>
      <c r="T22" t="str">
        <f t="shared" si="4"/>
        <v>On Time</v>
      </c>
      <c r="U22" t="str">
        <f t="shared" si="5"/>
        <v>High</v>
      </c>
      <c r="V22" t="str">
        <f t="shared" si="6"/>
        <v>Low Risk</v>
      </c>
      <c r="W22" t="str">
        <f t="shared" si="7"/>
        <v>Dec</v>
      </c>
      <c r="X22">
        <f t="shared" si="8"/>
        <v>2025</v>
      </c>
    </row>
    <row r="23" spans="1:24" x14ac:dyDescent="0.35">
      <c r="A23" s="3">
        <v>45899</v>
      </c>
      <c r="B23" t="s">
        <v>104</v>
      </c>
      <c r="C23" t="s">
        <v>57</v>
      </c>
      <c r="D23" t="s">
        <v>105</v>
      </c>
      <c r="E23" t="s">
        <v>28</v>
      </c>
      <c r="F23" t="s">
        <v>63</v>
      </c>
      <c r="G23" t="s">
        <v>71</v>
      </c>
      <c r="H23">
        <v>33.799999999999997</v>
      </c>
      <c r="I23">
        <v>4817</v>
      </c>
      <c r="J23">
        <v>103</v>
      </c>
      <c r="K23">
        <v>14.5</v>
      </c>
      <c r="L23" t="s">
        <v>43</v>
      </c>
      <c r="M23">
        <v>22345.46</v>
      </c>
      <c r="N23">
        <v>27814</v>
      </c>
      <c r="O23" t="s">
        <v>50</v>
      </c>
      <c r="P23" t="str">
        <f t="shared" si="0"/>
        <v>Yes</v>
      </c>
      <c r="Q23">
        <f t="shared" si="1"/>
        <v>142.51</v>
      </c>
      <c r="R23">
        <f t="shared" si="2"/>
        <v>4.6399999999999997</v>
      </c>
      <c r="S23">
        <f t="shared" si="3"/>
        <v>0.8</v>
      </c>
      <c r="T23" t="str">
        <f t="shared" si="4"/>
        <v>Delayed</v>
      </c>
      <c r="U23" t="str">
        <f t="shared" si="5"/>
        <v>Low</v>
      </c>
      <c r="V23" t="str">
        <f t="shared" si="6"/>
        <v>Low Risk</v>
      </c>
      <c r="W23" t="str">
        <f t="shared" si="7"/>
        <v>Aug</v>
      </c>
      <c r="X23">
        <f t="shared" si="8"/>
        <v>2025</v>
      </c>
    </row>
    <row r="24" spans="1:24" x14ac:dyDescent="0.35">
      <c r="A24" s="3">
        <v>45732</v>
      </c>
      <c r="B24" t="s">
        <v>106</v>
      </c>
      <c r="C24" t="s">
        <v>95</v>
      </c>
      <c r="D24" t="s">
        <v>107</v>
      </c>
      <c r="E24" t="s">
        <v>41</v>
      </c>
      <c r="F24" t="s">
        <v>66</v>
      </c>
      <c r="G24" t="s">
        <v>29</v>
      </c>
      <c r="H24">
        <v>73</v>
      </c>
      <c r="I24">
        <v>4647</v>
      </c>
      <c r="J24">
        <v>22</v>
      </c>
      <c r="K24">
        <v>14.1</v>
      </c>
      <c r="L24" t="s">
        <v>30</v>
      </c>
      <c r="M24">
        <v>46677.34</v>
      </c>
      <c r="N24">
        <v>23579</v>
      </c>
      <c r="O24" t="s">
        <v>50</v>
      </c>
      <c r="P24" t="str">
        <f t="shared" si="0"/>
        <v>Yes</v>
      </c>
      <c r="Q24">
        <f t="shared" si="1"/>
        <v>63.66</v>
      </c>
      <c r="R24">
        <f t="shared" si="2"/>
        <v>10.039999999999999</v>
      </c>
      <c r="S24">
        <f t="shared" si="3"/>
        <v>1.98</v>
      </c>
      <c r="T24" t="str">
        <f t="shared" si="4"/>
        <v>Delayed</v>
      </c>
      <c r="U24" t="str">
        <f t="shared" si="5"/>
        <v>High</v>
      </c>
      <c r="V24" t="str">
        <f t="shared" si="6"/>
        <v>Medium Risk</v>
      </c>
      <c r="W24" t="str">
        <f t="shared" si="7"/>
        <v>Mar</v>
      </c>
      <c r="X24">
        <f t="shared" si="8"/>
        <v>2025</v>
      </c>
    </row>
    <row r="25" spans="1:24" x14ac:dyDescent="0.35">
      <c r="A25" s="3">
        <v>45871</v>
      </c>
      <c r="B25" t="s">
        <v>108</v>
      </c>
      <c r="C25" t="s">
        <v>109</v>
      </c>
      <c r="D25" t="s">
        <v>110</v>
      </c>
      <c r="E25" t="s">
        <v>66</v>
      </c>
      <c r="F25" t="s">
        <v>28</v>
      </c>
      <c r="G25" t="s">
        <v>29</v>
      </c>
      <c r="H25">
        <v>43.2</v>
      </c>
      <c r="I25">
        <v>792</v>
      </c>
      <c r="J25">
        <v>45</v>
      </c>
      <c r="K25">
        <v>13.1</v>
      </c>
      <c r="L25" t="s">
        <v>30</v>
      </c>
      <c r="M25">
        <v>24599.38</v>
      </c>
      <c r="N25">
        <v>7575</v>
      </c>
      <c r="O25" t="s">
        <v>36</v>
      </c>
      <c r="P25" t="str">
        <f t="shared" si="0"/>
        <v>Yes</v>
      </c>
      <c r="Q25">
        <f t="shared" si="1"/>
        <v>18.329999999999998</v>
      </c>
      <c r="R25">
        <f t="shared" si="2"/>
        <v>31.06</v>
      </c>
      <c r="S25">
        <f t="shared" si="3"/>
        <v>3.25</v>
      </c>
      <c r="T25" t="str">
        <f t="shared" si="4"/>
        <v>Delayed</v>
      </c>
      <c r="U25" t="str">
        <f t="shared" si="5"/>
        <v>Medium</v>
      </c>
      <c r="V25" t="str">
        <f t="shared" si="6"/>
        <v>Medium Risk</v>
      </c>
      <c r="W25" t="str">
        <f t="shared" si="7"/>
        <v>Aug</v>
      </c>
      <c r="X25">
        <f t="shared" si="8"/>
        <v>2025</v>
      </c>
    </row>
    <row r="26" spans="1:24" x14ac:dyDescent="0.35">
      <c r="A26" s="3">
        <v>46009</v>
      </c>
      <c r="B26" t="s">
        <v>111</v>
      </c>
      <c r="C26" t="s">
        <v>39</v>
      </c>
      <c r="D26" t="s">
        <v>112</v>
      </c>
      <c r="E26" t="s">
        <v>54</v>
      </c>
      <c r="F26" t="s">
        <v>41</v>
      </c>
      <c r="G26" t="s">
        <v>71</v>
      </c>
      <c r="H26">
        <v>31.4</v>
      </c>
      <c r="I26">
        <v>3989</v>
      </c>
      <c r="J26">
        <v>105</v>
      </c>
      <c r="K26">
        <v>10.8</v>
      </c>
      <c r="L26" t="s">
        <v>30</v>
      </c>
      <c r="M26">
        <v>16128.65</v>
      </c>
      <c r="N26">
        <v>17097</v>
      </c>
      <c r="O26" t="s">
        <v>67</v>
      </c>
      <c r="P26" t="str">
        <f t="shared" si="0"/>
        <v>Yes</v>
      </c>
      <c r="Q26">
        <f t="shared" si="1"/>
        <v>127.04</v>
      </c>
      <c r="R26">
        <f t="shared" si="2"/>
        <v>4.04</v>
      </c>
      <c r="S26">
        <f t="shared" si="3"/>
        <v>0.94</v>
      </c>
      <c r="T26" t="str">
        <f t="shared" si="4"/>
        <v>Delayed</v>
      </c>
      <c r="U26" t="str">
        <f t="shared" si="5"/>
        <v>Low</v>
      </c>
      <c r="V26" t="str">
        <f t="shared" si="6"/>
        <v>Medium Risk</v>
      </c>
      <c r="W26" t="str">
        <f t="shared" si="7"/>
        <v>Dec</v>
      </c>
      <c r="X26">
        <f t="shared" si="8"/>
        <v>2025</v>
      </c>
    </row>
    <row r="27" spans="1:24" x14ac:dyDescent="0.35">
      <c r="A27" s="3">
        <v>45708</v>
      </c>
      <c r="B27" t="s">
        <v>113</v>
      </c>
      <c r="C27" t="s">
        <v>25</v>
      </c>
      <c r="D27" t="s">
        <v>114</v>
      </c>
      <c r="E27" t="s">
        <v>66</v>
      </c>
      <c r="F27" t="s">
        <v>55</v>
      </c>
      <c r="G27" t="s">
        <v>42</v>
      </c>
      <c r="H27">
        <v>45</v>
      </c>
      <c r="I27">
        <v>907</v>
      </c>
      <c r="J27">
        <v>43</v>
      </c>
      <c r="K27">
        <v>16.899999999999999</v>
      </c>
      <c r="L27" t="s">
        <v>49</v>
      </c>
      <c r="M27">
        <v>31335.279999999999</v>
      </c>
      <c r="N27">
        <v>16219</v>
      </c>
      <c r="O27" t="s">
        <v>67</v>
      </c>
      <c r="P27" t="str">
        <f t="shared" si="0"/>
        <v>Yes</v>
      </c>
      <c r="Q27">
        <f t="shared" si="1"/>
        <v>20.16</v>
      </c>
      <c r="R27">
        <f t="shared" si="2"/>
        <v>34.549999999999997</v>
      </c>
      <c r="S27">
        <f t="shared" si="3"/>
        <v>1.93</v>
      </c>
      <c r="T27" t="str">
        <f t="shared" si="4"/>
        <v>Delayed</v>
      </c>
      <c r="U27" t="str">
        <f t="shared" si="5"/>
        <v>Medium</v>
      </c>
      <c r="V27" t="str">
        <f t="shared" si="6"/>
        <v>High Risk</v>
      </c>
      <c r="W27" t="str">
        <f t="shared" si="7"/>
        <v>Feb</v>
      </c>
      <c r="X27">
        <f t="shared" si="8"/>
        <v>2025</v>
      </c>
    </row>
    <row r="28" spans="1:24" x14ac:dyDescent="0.35">
      <c r="A28" s="3">
        <v>45722</v>
      </c>
      <c r="B28" t="s">
        <v>115</v>
      </c>
      <c r="C28" t="s">
        <v>52</v>
      </c>
      <c r="D28" t="s">
        <v>116</v>
      </c>
      <c r="E28" t="s">
        <v>66</v>
      </c>
      <c r="F28" t="s">
        <v>55</v>
      </c>
      <c r="G28" t="s">
        <v>29</v>
      </c>
      <c r="H28">
        <v>23.1</v>
      </c>
      <c r="I28">
        <v>1410</v>
      </c>
      <c r="J28">
        <v>43</v>
      </c>
      <c r="K28">
        <v>11.3</v>
      </c>
      <c r="L28" t="s">
        <v>49</v>
      </c>
      <c r="M28">
        <v>12743.47</v>
      </c>
      <c r="N28">
        <v>27653</v>
      </c>
      <c r="O28" t="s">
        <v>31</v>
      </c>
      <c r="P28" t="str">
        <f t="shared" si="0"/>
        <v>Yes</v>
      </c>
      <c r="Q28">
        <f t="shared" si="1"/>
        <v>61.04</v>
      </c>
      <c r="R28">
        <f t="shared" si="2"/>
        <v>9.0399999999999991</v>
      </c>
      <c r="S28">
        <f t="shared" si="3"/>
        <v>0.46</v>
      </c>
      <c r="T28" t="str">
        <f t="shared" si="4"/>
        <v>Delayed</v>
      </c>
      <c r="U28" t="str">
        <f t="shared" si="5"/>
        <v>Low</v>
      </c>
      <c r="V28" t="str">
        <f t="shared" si="6"/>
        <v>High Risk</v>
      </c>
      <c r="W28" t="str">
        <f t="shared" si="7"/>
        <v>Mar</v>
      </c>
      <c r="X28">
        <f t="shared" si="8"/>
        <v>2025</v>
      </c>
    </row>
    <row r="29" spans="1:24" x14ac:dyDescent="0.35">
      <c r="A29" s="3">
        <v>45820</v>
      </c>
      <c r="B29" t="s">
        <v>100</v>
      </c>
      <c r="C29" t="s">
        <v>109</v>
      </c>
      <c r="D29" t="s">
        <v>117</v>
      </c>
      <c r="E29" t="s">
        <v>66</v>
      </c>
      <c r="F29" t="s">
        <v>28</v>
      </c>
      <c r="G29" t="s">
        <v>29</v>
      </c>
      <c r="H29">
        <v>45.9</v>
      </c>
      <c r="I29">
        <v>1703</v>
      </c>
      <c r="J29">
        <v>104</v>
      </c>
      <c r="K29">
        <v>22</v>
      </c>
      <c r="L29" t="s">
        <v>78</v>
      </c>
      <c r="M29">
        <v>21870.09</v>
      </c>
      <c r="N29">
        <v>9185</v>
      </c>
      <c r="O29" t="s">
        <v>31</v>
      </c>
      <c r="P29" t="str">
        <f t="shared" si="0"/>
        <v>No</v>
      </c>
      <c r="Q29">
        <f t="shared" si="1"/>
        <v>37.1</v>
      </c>
      <c r="R29">
        <f t="shared" si="2"/>
        <v>12.84</v>
      </c>
      <c r="S29">
        <f t="shared" si="3"/>
        <v>2.38</v>
      </c>
      <c r="T29" t="str">
        <f t="shared" si="4"/>
        <v>On Time</v>
      </c>
      <c r="U29" t="str">
        <f t="shared" si="5"/>
        <v>Medium</v>
      </c>
      <c r="V29" t="str">
        <f t="shared" si="6"/>
        <v>Low Risk</v>
      </c>
      <c r="W29" t="str">
        <f t="shared" si="7"/>
        <v>Jun</v>
      </c>
      <c r="X29">
        <f t="shared" si="8"/>
        <v>2025</v>
      </c>
    </row>
    <row r="30" spans="1:24" x14ac:dyDescent="0.35">
      <c r="A30" s="3">
        <v>45676</v>
      </c>
      <c r="B30" t="s">
        <v>118</v>
      </c>
      <c r="C30" t="s">
        <v>109</v>
      </c>
      <c r="D30" t="s">
        <v>119</v>
      </c>
      <c r="E30" t="s">
        <v>27</v>
      </c>
      <c r="F30" t="s">
        <v>54</v>
      </c>
      <c r="G30" t="s">
        <v>71</v>
      </c>
      <c r="H30">
        <v>54.8</v>
      </c>
      <c r="I30">
        <v>2388</v>
      </c>
      <c r="J30">
        <v>70</v>
      </c>
      <c r="K30">
        <v>13.9</v>
      </c>
      <c r="L30" t="s">
        <v>43</v>
      </c>
      <c r="M30">
        <v>30431.15</v>
      </c>
      <c r="N30">
        <v>14979</v>
      </c>
      <c r="O30" t="s">
        <v>67</v>
      </c>
      <c r="P30" t="str">
        <f t="shared" si="0"/>
        <v>Yes</v>
      </c>
      <c r="Q30">
        <f t="shared" si="1"/>
        <v>43.58</v>
      </c>
      <c r="R30">
        <f t="shared" si="2"/>
        <v>12.74</v>
      </c>
      <c r="S30">
        <f t="shared" si="3"/>
        <v>2.0299999999999998</v>
      </c>
      <c r="T30" t="str">
        <f t="shared" si="4"/>
        <v>Delayed</v>
      </c>
      <c r="U30" t="str">
        <f t="shared" si="5"/>
        <v>Medium</v>
      </c>
      <c r="V30" t="str">
        <f t="shared" si="6"/>
        <v>Low Risk</v>
      </c>
      <c r="W30" t="str">
        <f t="shared" si="7"/>
        <v>Jan</v>
      </c>
      <c r="X30">
        <f t="shared" si="8"/>
        <v>2025</v>
      </c>
    </row>
    <row r="31" spans="1:24" x14ac:dyDescent="0.35">
      <c r="A31" s="3">
        <v>45717</v>
      </c>
      <c r="B31" t="s">
        <v>120</v>
      </c>
      <c r="C31" t="s">
        <v>109</v>
      </c>
      <c r="D31" t="s">
        <v>121</v>
      </c>
      <c r="E31" t="s">
        <v>41</v>
      </c>
      <c r="F31" t="s">
        <v>54</v>
      </c>
      <c r="G31" t="s">
        <v>29</v>
      </c>
      <c r="H31">
        <v>43.8</v>
      </c>
      <c r="I31">
        <v>2060</v>
      </c>
      <c r="J31">
        <v>54</v>
      </c>
      <c r="K31">
        <v>14.4</v>
      </c>
      <c r="L31" t="s">
        <v>30</v>
      </c>
      <c r="M31">
        <v>21864.77</v>
      </c>
      <c r="N31">
        <v>5760</v>
      </c>
      <c r="O31" t="s">
        <v>84</v>
      </c>
      <c r="P31" t="str">
        <f t="shared" si="0"/>
        <v>Yes</v>
      </c>
      <c r="Q31">
        <f t="shared" si="1"/>
        <v>47.03</v>
      </c>
      <c r="R31">
        <f t="shared" si="2"/>
        <v>10.61</v>
      </c>
      <c r="S31">
        <f t="shared" si="3"/>
        <v>3.8</v>
      </c>
      <c r="T31" t="str">
        <f t="shared" si="4"/>
        <v>Delayed</v>
      </c>
      <c r="U31" t="str">
        <f t="shared" si="5"/>
        <v>Medium</v>
      </c>
      <c r="V31" t="str">
        <f t="shared" si="6"/>
        <v>Medium Risk</v>
      </c>
      <c r="W31" t="str">
        <f t="shared" si="7"/>
        <v>Mar</v>
      </c>
      <c r="X31">
        <f t="shared" si="8"/>
        <v>2025</v>
      </c>
    </row>
    <row r="32" spans="1:24" x14ac:dyDescent="0.35">
      <c r="A32" s="3">
        <v>45980</v>
      </c>
      <c r="B32" t="s">
        <v>106</v>
      </c>
      <c r="C32" t="s">
        <v>109</v>
      </c>
      <c r="D32" t="s">
        <v>122</v>
      </c>
      <c r="E32" t="s">
        <v>54</v>
      </c>
      <c r="F32" t="s">
        <v>41</v>
      </c>
      <c r="G32" t="s">
        <v>71</v>
      </c>
      <c r="H32">
        <v>75.400000000000006</v>
      </c>
      <c r="I32">
        <v>3371</v>
      </c>
      <c r="J32">
        <v>95</v>
      </c>
      <c r="K32">
        <v>21.8</v>
      </c>
      <c r="L32" t="s">
        <v>43</v>
      </c>
      <c r="M32">
        <v>47336.1</v>
      </c>
      <c r="N32">
        <v>24957</v>
      </c>
      <c r="O32" t="s">
        <v>36</v>
      </c>
      <c r="P32" t="str">
        <f t="shared" si="0"/>
        <v>Yes</v>
      </c>
      <c r="Q32">
        <f t="shared" si="1"/>
        <v>44.71</v>
      </c>
      <c r="R32">
        <f t="shared" si="2"/>
        <v>14.04</v>
      </c>
      <c r="S32">
        <f t="shared" si="3"/>
        <v>1.9</v>
      </c>
      <c r="T32" t="str">
        <f t="shared" si="4"/>
        <v>Delayed</v>
      </c>
      <c r="U32" t="str">
        <f t="shared" si="5"/>
        <v>High</v>
      </c>
      <c r="V32" t="str">
        <f t="shared" si="6"/>
        <v>Low Risk</v>
      </c>
      <c r="W32" t="str">
        <f t="shared" si="7"/>
        <v>Nov</v>
      </c>
      <c r="X32">
        <f t="shared" si="8"/>
        <v>2025</v>
      </c>
    </row>
    <row r="33" spans="1:24" x14ac:dyDescent="0.35">
      <c r="A33" s="3">
        <v>46016</v>
      </c>
      <c r="B33" t="s">
        <v>123</v>
      </c>
      <c r="C33" t="s">
        <v>95</v>
      </c>
      <c r="D33" t="s">
        <v>124</v>
      </c>
      <c r="E33" t="s">
        <v>55</v>
      </c>
      <c r="F33" t="s">
        <v>28</v>
      </c>
      <c r="G33" t="s">
        <v>29</v>
      </c>
      <c r="H33">
        <v>55.1</v>
      </c>
      <c r="I33">
        <v>4954</v>
      </c>
      <c r="J33">
        <v>60</v>
      </c>
      <c r="K33">
        <v>12.1</v>
      </c>
      <c r="L33" t="s">
        <v>30</v>
      </c>
      <c r="M33">
        <v>32882.28</v>
      </c>
      <c r="N33">
        <v>27860</v>
      </c>
      <c r="O33" t="s">
        <v>44</v>
      </c>
      <c r="P33" t="str">
        <f t="shared" si="0"/>
        <v>Yes</v>
      </c>
      <c r="Q33">
        <f t="shared" si="1"/>
        <v>89.91</v>
      </c>
      <c r="R33">
        <f t="shared" si="2"/>
        <v>6.64</v>
      </c>
      <c r="S33">
        <f t="shared" si="3"/>
        <v>1.18</v>
      </c>
      <c r="T33" t="str">
        <f t="shared" si="4"/>
        <v>Delayed</v>
      </c>
      <c r="U33" t="str">
        <f t="shared" si="5"/>
        <v>Medium</v>
      </c>
      <c r="V33" t="str">
        <f t="shared" si="6"/>
        <v>Medium Risk</v>
      </c>
      <c r="W33" t="str">
        <f t="shared" si="7"/>
        <v>Dec</v>
      </c>
      <c r="X33">
        <f t="shared" si="8"/>
        <v>2025</v>
      </c>
    </row>
    <row r="34" spans="1:24" x14ac:dyDescent="0.35">
      <c r="A34" s="3">
        <v>45756</v>
      </c>
      <c r="B34" t="s">
        <v>125</v>
      </c>
      <c r="C34" t="s">
        <v>57</v>
      </c>
      <c r="D34" t="s">
        <v>126</v>
      </c>
      <c r="E34" t="s">
        <v>27</v>
      </c>
      <c r="F34" t="s">
        <v>28</v>
      </c>
      <c r="G34" t="s">
        <v>42</v>
      </c>
      <c r="H34">
        <v>33.5</v>
      </c>
      <c r="I34">
        <v>2940</v>
      </c>
      <c r="J34">
        <v>110</v>
      </c>
      <c r="K34">
        <v>10.4</v>
      </c>
      <c r="L34" t="s">
        <v>49</v>
      </c>
      <c r="M34">
        <v>16857.36</v>
      </c>
      <c r="N34">
        <v>11123</v>
      </c>
      <c r="O34" t="s">
        <v>50</v>
      </c>
      <c r="P34" t="str">
        <f t="shared" si="0"/>
        <v>Yes</v>
      </c>
      <c r="Q34">
        <f t="shared" si="1"/>
        <v>87.76</v>
      </c>
      <c r="R34">
        <f t="shared" si="2"/>
        <v>5.73</v>
      </c>
      <c r="S34">
        <f t="shared" si="3"/>
        <v>1.52</v>
      </c>
      <c r="T34" t="str">
        <f t="shared" si="4"/>
        <v>Delayed</v>
      </c>
      <c r="U34" t="str">
        <f t="shared" si="5"/>
        <v>Low</v>
      </c>
      <c r="V34" t="str">
        <f t="shared" si="6"/>
        <v>High Risk</v>
      </c>
      <c r="W34" t="str">
        <f t="shared" si="7"/>
        <v>Apr</v>
      </c>
      <c r="X34">
        <f t="shared" si="8"/>
        <v>2025</v>
      </c>
    </row>
    <row r="35" spans="1:24" x14ac:dyDescent="0.35">
      <c r="A35" s="3">
        <v>45764</v>
      </c>
      <c r="B35" t="s">
        <v>127</v>
      </c>
      <c r="C35" t="s">
        <v>52</v>
      </c>
      <c r="D35" t="s">
        <v>128</v>
      </c>
      <c r="E35" t="s">
        <v>54</v>
      </c>
      <c r="F35" t="s">
        <v>55</v>
      </c>
      <c r="G35" t="s">
        <v>29</v>
      </c>
      <c r="H35">
        <v>51.2</v>
      </c>
      <c r="I35">
        <v>986</v>
      </c>
      <c r="J35">
        <v>88</v>
      </c>
      <c r="K35">
        <v>18.7</v>
      </c>
      <c r="L35" t="s">
        <v>30</v>
      </c>
      <c r="M35">
        <v>31511.06</v>
      </c>
      <c r="N35">
        <v>14930</v>
      </c>
      <c r="O35" t="s">
        <v>84</v>
      </c>
      <c r="P35" t="str">
        <f t="shared" si="0"/>
        <v>Yes</v>
      </c>
      <c r="Q35">
        <f t="shared" si="1"/>
        <v>19.260000000000002</v>
      </c>
      <c r="R35">
        <f t="shared" si="2"/>
        <v>31.96</v>
      </c>
      <c r="S35">
        <f t="shared" si="3"/>
        <v>2.11</v>
      </c>
      <c r="T35" t="str">
        <f t="shared" si="4"/>
        <v>Delayed</v>
      </c>
      <c r="U35" t="str">
        <f t="shared" si="5"/>
        <v>Medium</v>
      </c>
      <c r="V35" t="str">
        <f t="shared" si="6"/>
        <v>Medium Risk</v>
      </c>
      <c r="W35" t="str">
        <f t="shared" si="7"/>
        <v>Apr</v>
      </c>
      <c r="X35">
        <f t="shared" si="8"/>
        <v>2025</v>
      </c>
    </row>
    <row r="36" spans="1:24" x14ac:dyDescent="0.35">
      <c r="A36" s="3">
        <v>45750</v>
      </c>
      <c r="B36" t="s">
        <v>129</v>
      </c>
      <c r="C36" t="s">
        <v>130</v>
      </c>
      <c r="D36" t="s">
        <v>131</v>
      </c>
      <c r="E36" t="s">
        <v>28</v>
      </c>
      <c r="F36" t="s">
        <v>27</v>
      </c>
      <c r="G36" t="s">
        <v>42</v>
      </c>
      <c r="H36">
        <v>62.3</v>
      </c>
      <c r="I36">
        <v>1437</v>
      </c>
      <c r="J36">
        <v>97</v>
      </c>
      <c r="K36">
        <v>17.3</v>
      </c>
      <c r="L36" t="s">
        <v>78</v>
      </c>
      <c r="M36">
        <v>30497.23</v>
      </c>
      <c r="N36">
        <v>7769</v>
      </c>
      <c r="O36" t="s">
        <v>36</v>
      </c>
      <c r="P36" t="str">
        <f t="shared" si="0"/>
        <v>No</v>
      </c>
      <c r="Q36">
        <f t="shared" si="1"/>
        <v>23.07</v>
      </c>
      <c r="R36">
        <f t="shared" si="2"/>
        <v>21.22</v>
      </c>
      <c r="S36">
        <f t="shared" si="3"/>
        <v>3.93</v>
      </c>
      <c r="T36" t="str">
        <f t="shared" si="4"/>
        <v>On Time</v>
      </c>
      <c r="U36" t="str">
        <f t="shared" si="5"/>
        <v>High</v>
      </c>
      <c r="V36" t="str">
        <f t="shared" si="6"/>
        <v>Low Risk</v>
      </c>
      <c r="W36" t="str">
        <f t="shared" si="7"/>
        <v>Apr</v>
      </c>
      <c r="X36">
        <f t="shared" si="8"/>
        <v>2025</v>
      </c>
    </row>
    <row r="37" spans="1:24" x14ac:dyDescent="0.35">
      <c r="A37" s="3">
        <v>45725</v>
      </c>
      <c r="B37" t="s">
        <v>104</v>
      </c>
      <c r="C37" t="s">
        <v>52</v>
      </c>
      <c r="D37" t="s">
        <v>132</v>
      </c>
      <c r="E37" t="s">
        <v>54</v>
      </c>
      <c r="F37" t="s">
        <v>48</v>
      </c>
      <c r="G37" t="s">
        <v>42</v>
      </c>
      <c r="H37">
        <v>41.7</v>
      </c>
      <c r="I37">
        <v>4485</v>
      </c>
      <c r="J37">
        <v>42</v>
      </c>
      <c r="K37">
        <v>11.9</v>
      </c>
      <c r="L37" t="s">
        <v>49</v>
      </c>
      <c r="M37">
        <v>19504.669999999998</v>
      </c>
      <c r="N37">
        <v>20533</v>
      </c>
      <c r="O37" t="s">
        <v>50</v>
      </c>
      <c r="P37" t="str">
        <f t="shared" si="0"/>
        <v>Yes</v>
      </c>
      <c r="Q37">
        <f t="shared" si="1"/>
        <v>107.55</v>
      </c>
      <c r="R37">
        <f t="shared" si="2"/>
        <v>4.3499999999999996</v>
      </c>
      <c r="S37">
        <f t="shared" si="3"/>
        <v>0.95</v>
      </c>
      <c r="T37" t="str">
        <f t="shared" si="4"/>
        <v>Delayed</v>
      </c>
      <c r="U37" t="str">
        <f t="shared" si="5"/>
        <v>Medium</v>
      </c>
      <c r="V37" t="str">
        <f t="shared" si="6"/>
        <v>High Risk</v>
      </c>
      <c r="W37" t="str">
        <f t="shared" si="7"/>
        <v>Mar</v>
      </c>
      <c r="X37">
        <f t="shared" si="8"/>
        <v>2025</v>
      </c>
    </row>
    <row r="38" spans="1:24" x14ac:dyDescent="0.35">
      <c r="A38" s="3">
        <v>45723</v>
      </c>
      <c r="B38" t="s">
        <v>133</v>
      </c>
      <c r="C38" t="s">
        <v>25</v>
      </c>
      <c r="D38" t="s">
        <v>134</v>
      </c>
      <c r="E38" t="s">
        <v>41</v>
      </c>
      <c r="F38" t="s">
        <v>54</v>
      </c>
      <c r="G38" t="s">
        <v>42</v>
      </c>
      <c r="H38">
        <v>23.3</v>
      </c>
      <c r="I38">
        <v>3630</v>
      </c>
      <c r="J38">
        <v>105</v>
      </c>
      <c r="K38">
        <v>17.2</v>
      </c>
      <c r="L38" t="s">
        <v>30</v>
      </c>
      <c r="M38">
        <v>11368.15</v>
      </c>
      <c r="N38">
        <v>22520</v>
      </c>
      <c r="O38" t="s">
        <v>31</v>
      </c>
      <c r="P38" t="str">
        <f t="shared" si="0"/>
        <v>Yes</v>
      </c>
      <c r="Q38">
        <f t="shared" si="1"/>
        <v>155.79</v>
      </c>
      <c r="R38">
        <f t="shared" si="2"/>
        <v>3.13</v>
      </c>
      <c r="S38">
        <f t="shared" si="3"/>
        <v>0.5</v>
      </c>
      <c r="T38" t="str">
        <f t="shared" si="4"/>
        <v>Delayed</v>
      </c>
      <c r="U38" t="str">
        <f t="shared" si="5"/>
        <v>Low</v>
      </c>
      <c r="V38" t="str">
        <f t="shared" si="6"/>
        <v>Medium Risk</v>
      </c>
      <c r="W38" t="str">
        <f t="shared" si="7"/>
        <v>Mar</v>
      </c>
      <c r="X38">
        <f t="shared" si="8"/>
        <v>2025</v>
      </c>
    </row>
    <row r="39" spans="1:24" x14ac:dyDescent="0.35">
      <c r="A39" s="3">
        <v>45996</v>
      </c>
      <c r="B39" t="s">
        <v>76</v>
      </c>
      <c r="C39" t="s">
        <v>52</v>
      </c>
      <c r="D39" t="s">
        <v>135</v>
      </c>
      <c r="E39" t="s">
        <v>27</v>
      </c>
      <c r="F39" t="s">
        <v>55</v>
      </c>
      <c r="G39" t="s">
        <v>71</v>
      </c>
      <c r="H39">
        <v>40</v>
      </c>
      <c r="I39">
        <v>1663</v>
      </c>
      <c r="J39">
        <v>64</v>
      </c>
      <c r="K39">
        <v>11.3</v>
      </c>
      <c r="L39" t="s">
        <v>30</v>
      </c>
      <c r="M39">
        <v>26741.360000000001</v>
      </c>
      <c r="N39">
        <v>18020</v>
      </c>
      <c r="O39" t="s">
        <v>44</v>
      </c>
      <c r="P39" t="str">
        <f t="shared" si="0"/>
        <v>Yes</v>
      </c>
      <c r="Q39">
        <f t="shared" si="1"/>
        <v>41.58</v>
      </c>
      <c r="R39">
        <f t="shared" si="2"/>
        <v>16.079999999999998</v>
      </c>
      <c r="S39">
        <f t="shared" si="3"/>
        <v>1.48</v>
      </c>
      <c r="T39" t="str">
        <f t="shared" si="4"/>
        <v>Delayed</v>
      </c>
      <c r="U39" t="str">
        <f t="shared" si="5"/>
        <v>Medium</v>
      </c>
      <c r="V39" t="str">
        <f t="shared" si="6"/>
        <v>Medium Risk</v>
      </c>
      <c r="W39" t="str">
        <f t="shared" si="7"/>
        <v>Dec</v>
      </c>
      <c r="X39">
        <f t="shared" si="8"/>
        <v>2025</v>
      </c>
    </row>
    <row r="40" spans="1:24" x14ac:dyDescent="0.35">
      <c r="A40" s="3">
        <v>45980</v>
      </c>
      <c r="B40" t="s">
        <v>136</v>
      </c>
      <c r="C40" t="s">
        <v>57</v>
      </c>
      <c r="D40" t="s">
        <v>137</v>
      </c>
      <c r="E40" t="s">
        <v>54</v>
      </c>
      <c r="F40" t="s">
        <v>28</v>
      </c>
      <c r="G40" t="s">
        <v>42</v>
      </c>
      <c r="H40">
        <v>55</v>
      </c>
      <c r="I40">
        <v>1685</v>
      </c>
      <c r="J40">
        <v>81</v>
      </c>
      <c r="K40">
        <v>18.2</v>
      </c>
      <c r="L40" t="s">
        <v>78</v>
      </c>
      <c r="M40">
        <v>26464.17</v>
      </c>
      <c r="N40">
        <v>17168</v>
      </c>
      <c r="O40" t="s">
        <v>36</v>
      </c>
      <c r="P40" t="str">
        <f t="shared" si="0"/>
        <v>No</v>
      </c>
      <c r="Q40">
        <f t="shared" si="1"/>
        <v>30.64</v>
      </c>
      <c r="R40">
        <f t="shared" si="2"/>
        <v>15.71</v>
      </c>
      <c r="S40">
        <f t="shared" si="3"/>
        <v>1.54</v>
      </c>
      <c r="T40" t="str">
        <f t="shared" si="4"/>
        <v>On Time</v>
      </c>
      <c r="U40" t="str">
        <f t="shared" si="5"/>
        <v>Medium</v>
      </c>
      <c r="V40" t="str">
        <f t="shared" si="6"/>
        <v>Low Risk</v>
      </c>
      <c r="W40" t="str">
        <f t="shared" si="7"/>
        <v>Nov</v>
      </c>
      <c r="X40">
        <f t="shared" si="8"/>
        <v>2025</v>
      </c>
    </row>
    <row r="41" spans="1:24" x14ac:dyDescent="0.35">
      <c r="A41" s="3">
        <v>45697</v>
      </c>
      <c r="B41" t="s">
        <v>123</v>
      </c>
      <c r="C41" t="s">
        <v>109</v>
      </c>
      <c r="D41" t="s">
        <v>138</v>
      </c>
      <c r="E41" t="s">
        <v>41</v>
      </c>
      <c r="F41" t="s">
        <v>63</v>
      </c>
      <c r="G41" t="s">
        <v>35</v>
      </c>
      <c r="H41">
        <v>54.5</v>
      </c>
      <c r="I41">
        <v>2198</v>
      </c>
      <c r="J41">
        <v>90</v>
      </c>
      <c r="K41">
        <v>17.100000000000001</v>
      </c>
      <c r="L41" t="s">
        <v>43</v>
      </c>
      <c r="M41">
        <v>27516.6</v>
      </c>
      <c r="N41">
        <v>26869</v>
      </c>
      <c r="O41" t="s">
        <v>91</v>
      </c>
      <c r="P41" t="str">
        <f t="shared" si="0"/>
        <v>Yes</v>
      </c>
      <c r="Q41">
        <f t="shared" si="1"/>
        <v>40.33</v>
      </c>
      <c r="R41">
        <f t="shared" si="2"/>
        <v>12.52</v>
      </c>
      <c r="S41">
        <f t="shared" si="3"/>
        <v>1.02</v>
      </c>
      <c r="T41" t="str">
        <f t="shared" si="4"/>
        <v>Delayed</v>
      </c>
      <c r="U41" t="str">
        <f t="shared" si="5"/>
        <v>Medium</v>
      </c>
      <c r="V41" t="str">
        <f t="shared" si="6"/>
        <v>Low Risk</v>
      </c>
      <c r="W41" t="str">
        <f t="shared" si="7"/>
        <v>Feb</v>
      </c>
      <c r="X41">
        <f t="shared" si="8"/>
        <v>2025</v>
      </c>
    </row>
    <row r="42" spans="1:24" x14ac:dyDescent="0.35">
      <c r="A42" s="3">
        <v>45798</v>
      </c>
      <c r="B42" t="s">
        <v>139</v>
      </c>
      <c r="C42" t="s">
        <v>52</v>
      </c>
      <c r="D42" t="s">
        <v>140</v>
      </c>
      <c r="E42" t="s">
        <v>28</v>
      </c>
      <c r="F42" t="s">
        <v>41</v>
      </c>
      <c r="G42" t="s">
        <v>42</v>
      </c>
      <c r="H42">
        <v>53.8</v>
      </c>
      <c r="I42">
        <v>2268</v>
      </c>
      <c r="J42">
        <v>63</v>
      </c>
      <c r="K42">
        <v>19.600000000000001</v>
      </c>
      <c r="L42" t="s">
        <v>49</v>
      </c>
      <c r="M42">
        <v>35701.83</v>
      </c>
      <c r="N42">
        <v>8349</v>
      </c>
      <c r="O42" t="s">
        <v>31</v>
      </c>
      <c r="P42" t="str">
        <f t="shared" si="0"/>
        <v>Yes</v>
      </c>
      <c r="Q42">
        <f t="shared" si="1"/>
        <v>42.16</v>
      </c>
      <c r="R42">
        <f t="shared" si="2"/>
        <v>15.74</v>
      </c>
      <c r="S42">
        <f t="shared" si="3"/>
        <v>4.28</v>
      </c>
      <c r="T42" t="str">
        <f t="shared" si="4"/>
        <v>Delayed</v>
      </c>
      <c r="U42" t="str">
        <f t="shared" si="5"/>
        <v>Medium</v>
      </c>
      <c r="V42" t="str">
        <f t="shared" si="6"/>
        <v>High Risk</v>
      </c>
      <c r="W42" t="str">
        <f t="shared" si="7"/>
        <v>May</v>
      </c>
      <c r="X42">
        <f t="shared" si="8"/>
        <v>2025</v>
      </c>
    </row>
    <row r="43" spans="1:24" x14ac:dyDescent="0.35">
      <c r="A43" s="3">
        <v>45843</v>
      </c>
      <c r="B43" t="s">
        <v>142</v>
      </c>
      <c r="C43" t="s">
        <v>39</v>
      </c>
      <c r="D43" t="s">
        <v>143</v>
      </c>
      <c r="E43" t="s">
        <v>54</v>
      </c>
      <c r="F43" t="s">
        <v>63</v>
      </c>
      <c r="G43" t="s">
        <v>42</v>
      </c>
      <c r="H43">
        <v>29.3</v>
      </c>
      <c r="I43">
        <v>3926</v>
      </c>
      <c r="J43">
        <v>98</v>
      </c>
      <c r="K43">
        <v>20.8</v>
      </c>
      <c r="L43" t="s">
        <v>43</v>
      </c>
      <c r="M43">
        <v>16029.66</v>
      </c>
      <c r="N43">
        <v>13811</v>
      </c>
      <c r="O43" t="s">
        <v>67</v>
      </c>
      <c r="P43" t="str">
        <f t="shared" si="0"/>
        <v>Yes</v>
      </c>
      <c r="Q43">
        <f t="shared" si="1"/>
        <v>133.99</v>
      </c>
      <c r="R43">
        <f t="shared" si="2"/>
        <v>4.08</v>
      </c>
      <c r="S43">
        <f t="shared" si="3"/>
        <v>1.1599999999999999</v>
      </c>
      <c r="T43" t="str">
        <f t="shared" si="4"/>
        <v>Delayed</v>
      </c>
      <c r="U43" t="str">
        <f t="shared" si="5"/>
        <v>Low</v>
      </c>
      <c r="V43" t="str">
        <f t="shared" si="6"/>
        <v>Low Risk</v>
      </c>
      <c r="W43" t="str">
        <f t="shared" si="7"/>
        <v>Jul</v>
      </c>
      <c r="X43">
        <f t="shared" si="8"/>
        <v>2025</v>
      </c>
    </row>
    <row r="44" spans="1:24" x14ac:dyDescent="0.35">
      <c r="A44" s="3">
        <v>45675</v>
      </c>
      <c r="B44" t="s">
        <v>80</v>
      </c>
      <c r="C44" t="s">
        <v>130</v>
      </c>
      <c r="D44" t="s">
        <v>145</v>
      </c>
      <c r="E44" t="s">
        <v>28</v>
      </c>
      <c r="F44" t="s">
        <v>54</v>
      </c>
      <c r="G44" t="s">
        <v>29</v>
      </c>
      <c r="H44">
        <v>47.5</v>
      </c>
      <c r="I44">
        <v>1683</v>
      </c>
      <c r="J44">
        <v>81</v>
      </c>
      <c r="K44">
        <v>18.899999999999999</v>
      </c>
      <c r="L44" t="s">
        <v>43</v>
      </c>
      <c r="M44">
        <v>32873.129999999997</v>
      </c>
      <c r="N44">
        <v>14195</v>
      </c>
      <c r="O44" t="s">
        <v>59</v>
      </c>
      <c r="P44" t="str">
        <f t="shared" si="0"/>
        <v>Yes</v>
      </c>
      <c r="Q44">
        <f t="shared" si="1"/>
        <v>35.43</v>
      </c>
      <c r="R44">
        <f t="shared" si="2"/>
        <v>19.53</v>
      </c>
      <c r="S44">
        <f t="shared" si="3"/>
        <v>2.3199999999999998</v>
      </c>
      <c r="T44" t="str">
        <f t="shared" si="4"/>
        <v>Delayed</v>
      </c>
      <c r="U44" t="str">
        <f t="shared" si="5"/>
        <v>Medium</v>
      </c>
      <c r="V44" t="str">
        <f t="shared" si="6"/>
        <v>Low Risk</v>
      </c>
      <c r="W44" t="str">
        <f t="shared" si="7"/>
        <v>Jan</v>
      </c>
      <c r="X44">
        <f t="shared" si="8"/>
        <v>2025</v>
      </c>
    </row>
    <row r="45" spans="1:24" x14ac:dyDescent="0.35">
      <c r="A45" s="3">
        <v>45721</v>
      </c>
      <c r="B45" t="s">
        <v>146</v>
      </c>
      <c r="C45" t="s">
        <v>109</v>
      </c>
      <c r="D45" t="s">
        <v>147</v>
      </c>
      <c r="E45" t="s">
        <v>54</v>
      </c>
      <c r="F45" t="s">
        <v>48</v>
      </c>
      <c r="G45" t="s">
        <v>35</v>
      </c>
      <c r="H45">
        <v>71.400000000000006</v>
      </c>
      <c r="I45">
        <v>2869</v>
      </c>
      <c r="J45">
        <v>58</v>
      </c>
      <c r="K45">
        <v>18.7</v>
      </c>
      <c r="L45" t="s">
        <v>78</v>
      </c>
      <c r="M45">
        <v>32245.05</v>
      </c>
      <c r="N45">
        <v>10555</v>
      </c>
      <c r="O45" t="s">
        <v>36</v>
      </c>
      <c r="P45" t="str">
        <f t="shared" si="0"/>
        <v>No</v>
      </c>
      <c r="Q45">
        <f t="shared" si="1"/>
        <v>40.18</v>
      </c>
      <c r="R45">
        <f t="shared" si="2"/>
        <v>11.24</v>
      </c>
      <c r="S45">
        <f t="shared" si="3"/>
        <v>3.05</v>
      </c>
      <c r="T45" t="str">
        <f t="shared" si="4"/>
        <v>On Time</v>
      </c>
      <c r="U45" t="str">
        <f t="shared" si="5"/>
        <v>High</v>
      </c>
      <c r="V45" t="str">
        <f t="shared" si="6"/>
        <v>Low Risk</v>
      </c>
      <c r="W45" t="str">
        <f t="shared" si="7"/>
        <v>Mar</v>
      </c>
      <c r="X45">
        <f t="shared" si="8"/>
        <v>2025</v>
      </c>
    </row>
    <row r="46" spans="1:24" x14ac:dyDescent="0.35">
      <c r="A46" s="3">
        <v>45954</v>
      </c>
      <c r="B46" t="s">
        <v>148</v>
      </c>
      <c r="C46" t="s">
        <v>25</v>
      </c>
      <c r="D46" t="s">
        <v>149</v>
      </c>
      <c r="E46" t="s">
        <v>27</v>
      </c>
      <c r="F46" t="s">
        <v>48</v>
      </c>
      <c r="G46" t="s">
        <v>35</v>
      </c>
      <c r="H46">
        <v>35.200000000000003</v>
      </c>
      <c r="I46">
        <v>1005</v>
      </c>
      <c r="J46">
        <v>69</v>
      </c>
      <c r="K46">
        <v>19.2</v>
      </c>
      <c r="L46" t="s">
        <v>43</v>
      </c>
      <c r="M46">
        <v>20646.32</v>
      </c>
      <c r="N46">
        <v>25774</v>
      </c>
      <c r="O46" t="s">
        <v>31</v>
      </c>
      <c r="P46" t="str">
        <f t="shared" si="0"/>
        <v>Yes</v>
      </c>
      <c r="Q46">
        <f t="shared" si="1"/>
        <v>28.55</v>
      </c>
      <c r="R46">
        <f t="shared" si="2"/>
        <v>20.54</v>
      </c>
      <c r="S46">
        <f t="shared" si="3"/>
        <v>0.8</v>
      </c>
      <c r="T46" t="str">
        <f t="shared" si="4"/>
        <v>Delayed</v>
      </c>
      <c r="U46" t="str">
        <f t="shared" si="5"/>
        <v>Low</v>
      </c>
      <c r="V46" t="str">
        <f t="shared" si="6"/>
        <v>Low Risk</v>
      </c>
      <c r="W46" t="str">
        <f t="shared" si="7"/>
        <v>Oct</v>
      </c>
      <c r="X46">
        <f t="shared" si="8"/>
        <v>2025</v>
      </c>
    </row>
    <row r="47" spans="1:24" x14ac:dyDescent="0.35">
      <c r="A47" s="3">
        <v>45800</v>
      </c>
      <c r="B47" t="s">
        <v>150</v>
      </c>
      <c r="C47" t="s">
        <v>52</v>
      </c>
      <c r="D47" t="s">
        <v>151</v>
      </c>
      <c r="E47" t="s">
        <v>55</v>
      </c>
      <c r="F47" t="s">
        <v>28</v>
      </c>
      <c r="G47" t="s">
        <v>29</v>
      </c>
      <c r="H47">
        <v>27.5</v>
      </c>
      <c r="I47">
        <v>1948</v>
      </c>
      <c r="J47">
        <v>33</v>
      </c>
      <c r="K47">
        <v>17.5</v>
      </c>
      <c r="L47" t="s">
        <v>43</v>
      </c>
      <c r="M47">
        <v>16439.95</v>
      </c>
      <c r="N47">
        <v>5624</v>
      </c>
      <c r="O47" t="s">
        <v>36</v>
      </c>
      <c r="P47" t="str">
        <f t="shared" si="0"/>
        <v>Yes</v>
      </c>
      <c r="Q47">
        <f t="shared" si="1"/>
        <v>70.84</v>
      </c>
      <c r="R47">
        <f t="shared" si="2"/>
        <v>8.44</v>
      </c>
      <c r="S47">
        <f t="shared" si="3"/>
        <v>2.92</v>
      </c>
      <c r="T47" t="str">
        <f t="shared" si="4"/>
        <v>Delayed</v>
      </c>
      <c r="U47" t="str">
        <f t="shared" si="5"/>
        <v>Low</v>
      </c>
      <c r="V47" t="str">
        <f t="shared" si="6"/>
        <v>Low Risk</v>
      </c>
      <c r="W47" t="str">
        <f t="shared" si="7"/>
        <v>May</v>
      </c>
      <c r="X47">
        <f t="shared" si="8"/>
        <v>2025</v>
      </c>
    </row>
    <row r="48" spans="1:24" x14ac:dyDescent="0.35">
      <c r="A48" s="3">
        <v>45807</v>
      </c>
      <c r="B48" t="s">
        <v>152</v>
      </c>
      <c r="C48" t="s">
        <v>25</v>
      </c>
      <c r="D48" t="s">
        <v>153</v>
      </c>
      <c r="E48" t="s">
        <v>27</v>
      </c>
      <c r="F48" t="s">
        <v>63</v>
      </c>
      <c r="G48" t="s">
        <v>71</v>
      </c>
      <c r="H48">
        <v>72.3</v>
      </c>
      <c r="I48">
        <v>2463</v>
      </c>
      <c r="J48">
        <v>89</v>
      </c>
      <c r="K48">
        <v>21.7</v>
      </c>
      <c r="L48" t="s">
        <v>30</v>
      </c>
      <c r="M48">
        <v>39523.65</v>
      </c>
      <c r="N48">
        <v>26992</v>
      </c>
      <c r="O48" t="s">
        <v>50</v>
      </c>
      <c r="P48" t="str">
        <f t="shared" si="0"/>
        <v>Yes</v>
      </c>
      <c r="Q48">
        <f t="shared" si="1"/>
        <v>34.07</v>
      </c>
      <c r="R48">
        <f t="shared" si="2"/>
        <v>16.05</v>
      </c>
      <c r="S48">
        <f t="shared" si="3"/>
        <v>1.46</v>
      </c>
      <c r="T48" t="str">
        <f t="shared" si="4"/>
        <v>Delayed</v>
      </c>
      <c r="U48" t="str">
        <f t="shared" si="5"/>
        <v>High</v>
      </c>
      <c r="V48" t="str">
        <f t="shared" si="6"/>
        <v>Medium Risk</v>
      </c>
      <c r="W48" t="str">
        <f t="shared" si="7"/>
        <v>May</v>
      </c>
      <c r="X48">
        <f t="shared" si="8"/>
        <v>2025</v>
      </c>
    </row>
    <row r="49" spans="1:24" x14ac:dyDescent="0.35">
      <c r="A49" s="3">
        <v>45711</v>
      </c>
      <c r="B49" t="s">
        <v>154</v>
      </c>
      <c r="C49" t="s">
        <v>130</v>
      </c>
      <c r="D49" t="s">
        <v>155</v>
      </c>
      <c r="E49" t="s">
        <v>27</v>
      </c>
      <c r="F49" t="s">
        <v>41</v>
      </c>
      <c r="G49" t="s">
        <v>71</v>
      </c>
      <c r="H49">
        <v>34.6</v>
      </c>
      <c r="I49">
        <v>2609</v>
      </c>
      <c r="J49">
        <v>77</v>
      </c>
      <c r="K49">
        <v>17.5</v>
      </c>
      <c r="L49" t="s">
        <v>30</v>
      </c>
      <c r="M49">
        <v>19389.93</v>
      </c>
      <c r="N49">
        <v>5098</v>
      </c>
      <c r="O49" t="s">
        <v>91</v>
      </c>
      <c r="P49" t="str">
        <f t="shared" si="0"/>
        <v>Yes</v>
      </c>
      <c r="Q49">
        <f t="shared" si="1"/>
        <v>75.400000000000006</v>
      </c>
      <c r="R49">
        <f t="shared" si="2"/>
        <v>7.43</v>
      </c>
      <c r="S49">
        <f t="shared" si="3"/>
        <v>3.8</v>
      </c>
      <c r="T49" t="str">
        <f t="shared" si="4"/>
        <v>Delayed</v>
      </c>
      <c r="U49" t="str">
        <f t="shared" si="5"/>
        <v>Low</v>
      </c>
      <c r="V49" t="str">
        <f t="shared" si="6"/>
        <v>Medium Risk</v>
      </c>
      <c r="W49" t="str">
        <f t="shared" si="7"/>
        <v>Feb</v>
      </c>
      <c r="X49">
        <f t="shared" si="8"/>
        <v>2025</v>
      </c>
    </row>
    <row r="50" spans="1:24" x14ac:dyDescent="0.35">
      <c r="A50" s="3">
        <v>45930</v>
      </c>
      <c r="B50" t="s">
        <v>87</v>
      </c>
      <c r="C50" t="s">
        <v>52</v>
      </c>
      <c r="D50" t="s">
        <v>156</v>
      </c>
      <c r="E50" t="s">
        <v>66</v>
      </c>
      <c r="F50" t="s">
        <v>48</v>
      </c>
      <c r="G50" t="s">
        <v>29</v>
      </c>
      <c r="H50">
        <v>61.8</v>
      </c>
      <c r="I50">
        <v>4897</v>
      </c>
      <c r="J50">
        <v>30</v>
      </c>
      <c r="K50">
        <v>17</v>
      </c>
      <c r="L50" t="s">
        <v>49</v>
      </c>
      <c r="M50">
        <v>30034.99</v>
      </c>
      <c r="N50">
        <v>11033</v>
      </c>
      <c r="O50" t="s">
        <v>36</v>
      </c>
      <c r="P50" t="str">
        <f t="shared" si="0"/>
        <v>Yes</v>
      </c>
      <c r="Q50">
        <f t="shared" si="1"/>
        <v>79.239999999999995</v>
      </c>
      <c r="R50">
        <f t="shared" si="2"/>
        <v>6.13</v>
      </c>
      <c r="S50">
        <f t="shared" si="3"/>
        <v>2.72</v>
      </c>
      <c r="T50" t="str">
        <f t="shared" si="4"/>
        <v>Delayed</v>
      </c>
      <c r="U50" t="str">
        <f t="shared" si="5"/>
        <v>High</v>
      </c>
      <c r="V50" t="str">
        <f t="shared" si="6"/>
        <v>High Risk</v>
      </c>
      <c r="W50" t="str">
        <f t="shared" si="7"/>
        <v>Sep</v>
      </c>
      <c r="X50">
        <f t="shared" si="8"/>
        <v>2025</v>
      </c>
    </row>
    <row r="51" spans="1:24" x14ac:dyDescent="0.35">
      <c r="A51" s="3">
        <v>45790</v>
      </c>
      <c r="B51" t="s">
        <v>157</v>
      </c>
      <c r="C51" t="s">
        <v>39</v>
      </c>
      <c r="D51" t="s">
        <v>158</v>
      </c>
      <c r="E51" t="s">
        <v>41</v>
      </c>
      <c r="F51" t="s">
        <v>48</v>
      </c>
      <c r="G51" t="s">
        <v>29</v>
      </c>
      <c r="H51">
        <v>75.400000000000006</v>
      </c>
      <c r="I51">
        <v>1557</v>
      </c>
      <c r="J51">
        <v>68</v>
      </c>
      <c r="K51">
        <v>11.6</v>
      </c>
      <c r="L51" t="s">
        <v>78</v>
      </c>
      <c r="M51">
        <v>51400.92</v>
      </c>
      <c r="N51">
        <v>24297</v>
      </c>
      <c r="O51" t="s">
        <v>50</v>
      </c>
      <c r="P51" t="str">
        <f t="shared" si="0"/>
        <v>No</v>
      </c>
      <c r="Q51">
        <f t="shared" si="1"/>
        <v>20.65</v>
      </c>
      <c r="R51">
        <f t="shared" si="2"/>
        <v>33.01</v>
      </c>
      <c r="S51">
        <f t="shared" si="3"/>
        <v>2.12</v>
      </c>
      <c r="T51" t="str">
        <f t="shared" si="4"/>
        <v>On Time</v>
      </c>
      <c r="U51" t="str">
        <f t="shared" si="5"/>
        <v>High</v>
      </c>
      <c r="V51" t="str">
        <f t="shared" si="6"/>
        <v>Low Risk</v>
      </c>
      <c r="W51" t="str">
        <f t="shared" si="7"/>
        <v>May</v>
      </c>
      <c r="X51">
        <f t="shared" si="8"/>
        <v>2025</v>
      </c>
    </row>
    <row r="52" spans="1:24" x14ac:dyDescent="0.35">
      <c r="A52" s="3">
        <v>45971</v>
      </c>
      <c r="B52" t="s">
        <v>159</v>
      </c>
      <c r="C52" t="s">
        <v>109</v>
      </c>
      <c r="D52" t="s">
        <v>160</v>
      </c>
      <c r="E52" t="s">
        <v>48</v>
      </c>
      <c r="F52" t="s">
        <v>27</v>
      </c>
      <c r="G52" t="s">
        <v>42</v>
      </c>
      <c r="H52">
        <v>27.3</v>
      </c>
      <c r="I52">
        <v>4567</v>
      </c>
      <c r="J52">
        <v>38</v>
      </c>
      <c r="K52">
        <v>16.600000000000001</v>
      </c>
      <c r="L52" t="s">
        <v>43</v>
      </c>
      <c r="M52">
        <v>12297.66</v>
      </c>
      <c r="N52">
        <v>9946</v>
      </c>
      <c r="O52" t="s">
        <v>84</v>
      </c>
      <c r="P52" t="str">
        <f t="shared" si="0"/>
        <v>Yes</v>
      </c>
      <c r="Q52">
        <f t="shared" si="1"/>
        <v>167.29</v>
      </c>
      <c r="R52">
        <f t="shared" si="2"/>
        <v>2.69</v>
      </c>
      <c r="S52">
        <f t="shared" si="3"/>
        <v>1.24</v>
      </c>
      <c r="T52" t="str">
        <f t="shared" si="4"/>
        <v>Delayed</v>
      </c>
      <c r="U52" t="str">
        <f t="shared" si="5"/>
        <v>Low</v>
      </c>
      <c r="V52" t="str">
        <f t="shared" si="6"/>
        <v>Low Risk</v>
      </c>
      <c r="W52" t="str">
        <f t="shared" si="7"/>
        <v>Nov</v>
      </c>
      <c r="X52">
        <f t="shared" si="8"/>
        <v>2025</v>
      </c>
    </row>
    <row r="53" spans="1:24" x14ac:dyDescent="0.35">
      <c r="A53" s="3">
        <v>45824</v>
      </c>
      <c r="B53" t="s">
        <v>100</v>
      </c>
      <c r="C53" t="s">
        <v>130</v>
      </c>
      <c r="D53" t="s">
        <v>161</v>
      </c>
      <c r="E53" t="s">
        <v>63</v>
      </c>
      <c r="F53" t="s">
        <v>55</v>
      </c>
      <c r="G53" t="s">
        <v>29</v>
      </c>
      <c r="H53">
        <v>76.8</v>
      </c>
      <c r="I53">
        <v>4301</v>
      </c>
      <c r="J53">
        <v>110</v>
      </c>
      <c r="K53">
        <v>21.3</v>
      </c>
      <c r="L53" t="s">
        <v>78</v>
      </c>
      <c r="M53">
        <v>38894.03</v>
      </c>
      <c r="N53">
        <v>16511</v>
      </c>
      <c r="O53" t="s">
        <v>84</v>
      </c>
      <c r="P53" t="str">
        <f t="shared" si="0"/>
        <v>No</v>
      </c>
      <c r="Q53">
        <f t="shared" si="1"/>
        <v>56</v>
      </c>
      <c r="R53">
        <f t="shared" si="2"/>
        <v>9.0399999999999991</v>
      </c>
      <c r="S53">
        <f t="shared" si="3"/>
        <v>2.36</v>
      </c>
      <c r="T53" t="str">
        <f t="shared" si="4"/>
        <v>On Time</v>
      </c>
      <c r="U53" t="str">
        <f t="shared" si="5"/>
        <v>High</v>
      </c>
      <c r="V53" t="str">
        <f t="shared" si="6"/>
        <v>Low Risk</v>
      </c>
      <c r="W53" t="str">
        <f t="shared" si="7"/>
        <v>Jun</v>
      </c>
      <c r="X53">
        <f t="shared" si="8"/>
        <v>2025</v>
      </c>
    </row>
    <row r="54" spans="1:24" x14ac:dyDescent="0.35">
      <c r="A54" s="3">
        <v>45948</v>
      </c>
      <c r="B54" t="s">
        <v>162</v>
      </c>
      <c r="C54" t="s">
        <v>57</v>
      </c>
      <c r="D54" t="s">
        <v>163</v>
      </c>
      <c r="E54" t="s">
        <v>27</v>
      </c>
      <c r="F54" t="s">
        <v>54</v>
      </c>
      <c r="G54" t="s">
        <v>42</v>
      </c>
      <c r="H54">
        <v>69.900000000000006</v>
      </c>
      <c r="I54">
        <v>638</v>
      </c>
      <c r="J54">
        <v>78</v>
      </c>
      <c r="K54">
        <v>20.100000000000001</v>
      </c>
      <c r="L54" t="s">
        <v>30</v>
      </c>
      <c r="M54">
        <v>39331.599999999999</v>
      </c>
      <c r="N54">
        <v>28761</v>
      </c>
      <c r="O54" t="s">
        <v>31</v>
      </c>
      <c r="P54" t="str">
        <f t="shared" si="0"/>
        <v>Yes</v>
      </c>
      <c r="Q54">
        <f t="shared" si="1"/>
        <v>9.1300000000000008</v>
      </c>
      <c r="R54">
        <f t="shared" si="2"/>
        <v>61.65</v>
      </c>
      <c r="S54">
        <f t="shared" si="3"/>
        <v>1.37</v>
      </c>
      <c r="T54" t="str">
        <f t="shared" si="4"/>
        <v>Delayed</v>
      </c>
      <c r="U54" t="str">
        <f t="shared" si="5"/>
        <v>High</v>
      </c>
      <c r="V54" t="str">
        <f t="shared" si="6"/>
        <v>Medium Risk</v>
      </c>
      <c r="W54" t="str">
        <f t="shared" si="7"/>
        <v>Oct</v>
      </c>
      <c r="X54">
        <f t="shared" si="8"/>
        <v>2025</v>
      </c>
    </row>
    <row r="55" spans="1:24" x14ac:dyDescent="0.35">
      <c r="A55" s="3">
        <v>45951</v>
      </c>
      <c r="B55" t="s">
        <v>38</v>
      </c>
      <c r="C55" t="s">
        <v>57</v>
      </c>
      <c r="D55" t="s">
        <v>164</v>
      </c>
      <c r="E55" t="s">
        <v>66</v>
      </c>
      <c r="F55" t="s">
        <v>27</v>
      </c>
      <c r="G55" t="s">
        <v>42</v>
      </c>
      <c r="H55">
        <v>53.5</v>
      </c>
      <c r="I55">
        <v>3000</v>
      </c>
      <c r="J55">
        <v>102</v>
      </c>
      <c r="K55">
        <v>15.2</v>
      </c>
      <c r="L55" t="s">
        <v>30</v>
      </c>
      <c r="M55">
        <v>36726.57</v>
      </c>
      <c r="N55">
        <v>24016</v>
      </c>
      <c r="O55" t="s">
        <v>67</v>
      </c>
      <c r="P55" t="str">
        <f t="shared" si="0"/>
        <v>Yes</v>
      </c>
      <c r="Q55">
        <f t="shared" si="1"/>
        <v>56.07</v>
      </c>
      <c r="R55">
        <f t="shared" si="2"/>
        <v>12.24</v>
      </c>
      <c r="S55">
        <f t="shared" si="3"/>
        <v>1.53</v>
      </c>
      <c r="T55" t="str">
        <f t="shared" si="4"/>
        <v>Delayed</v>
      </c>
      <c r="U55" t="str">
        <f t="shared" si="5"/>
        <v>Medium</v>
      </c>
      <c r="V55" t="str">
        <f t="shared" si="6"/>
        <v>Medium Risk</v>
      </c>
      <c r="W55" t="str">
        <f t="shared" si="7"/>
        <v>Oct</v>
      </c>
      <c r="X55">
        <f t="shared" si="8"/>
        <v>2025</v>
      </c>
    </row>
    <row r="56" spans="1:24" x14ac:dyDescent="0.35">
      <c r="A56" s="3">
        <v>45690</v>
      </c>
      <c r="B56" t="s">
        <v>165</v>
      </c>
      <c r="C56" t="s">
        <v>39</v>
      </c>
      <c r="D56" t="s">
        <v>166</v>
      </c>
      <c r="E56" t="s">
        <v>28</v>
      </c>
      <c r="F56" t="s">
        <v>54</v>
      </c>
      <c r="G56" t="s">
        <v>35</v>
      </c>
      <c r="H56">
        <v>66.900000000000006</v>
      </c>
      <c r="I56">
        <v>1455</v>
      </c>
      <c r="J56">
        <v>76</v>
      </c>
      <c r="K56">
        <v>17.5</v>
      </c>
      <c r="L56" t="s">
        <v>30</v>
      </c>
      <c r="M56">
        <v>45528.95</v>
      </c>
      <c r="N56">
        <v>29225</v>
      </c>
      <c r="O56" t="s">
        <v>67</v>
      </c>
      <c r="P56" t="str">
        <f t="shared" si="0"/>
        <v>Yes</v>
      </c>
      <c r="Q56">
        <f t="shared" si="1"/>
        <v>21.75</v>
      </c>
      <c r="R56">
        <f t="shared" si="2"/>
        <v>31.29</v>
      </c>
      <c r="S56">
        <f t="shared" si="3"/>
        <v>1.56</v>
      </c>
      <c r="T56" t="str">
        <f t="shared" si="4"/>
        <v>Delayed</v>
      </c>
      <c r="U56" t="str">
        <f t="shared" si="5"/>
        <v>High</v>
      </c>
      <c r="V56" t="str">
        <f t="shared" si="6"/>
        <v>Medium Risk</v>
      </c>
      <c r="W56" t="str">
        <f t="shared" si="7"/>
        <v>Feb</v>
      </c>
      <c r="X56">
        <f t="shared" si="8"/>
        <v>2025</v>
      </c>
    </row>
    <row r="57" spans="1:24" x14ac:dyDescent="0.35">
      <c r="A57" s="3">
        <v>45823</v>
      </c>
      <c r="B57" t="s">
        <v>167</v>
      </c>
      <c r="C57" t="s">
        <v>130</v>
      </c>
      <c r="D57" t="s">
        <v>168</v>
      </c>
      <c r="E57" t="s">
        <v>28</v>
      </c>
      <c r="F57" t="s">
        <v>55</v>
      </c>
      <c r="G57" t="s">
        <v>42</v>
      </c>
      <c r="H57">
        <v>75.5</v>
      </c>
      <c r="I57">
        <v>2441</v>
      </c>
      <c r="J57">
        <v>107</v>
      </c>
      <c r="K57">
        <v>11.9</v>
      </c>
      <c r="L57" t="s">
        <v>30</v>
      </c>
      <c r="M57">
        <v>49055.82</v>
      </c>
      <c r="N57">
        <v>8497</v>
      </c>
      <c r="O57" t="s">
        <v>31</v>
      </c>
      <c r="P57" t="str">
        <f t="shared" si="0"/>
        <v>Yes</v>
      </c>
      <c r="Q57">
        <f t="shared" si="1"/>
        <v>32.33</v>
      </c>
      <c r="R57">
        <f t="shared" si="2"/>
        <v>20.100000000000001</v>
      </c>
      <c r="S57">
        <f t="shared" si="3"/>
        <v>5.77</v>
      </c>
      <c r="T57" t="str">
        <f t="shared" si="4"/>
        <v>Delayed</v>
      </c>
      <c r="U57" t="str">
        <f t="shared" si="5"/>
        <v>High</v>
      </c>
      <c r="V57" t="str">
        <f t="shared" si="6"/>
        <v>Medium Risk</v>
      </c>
      <c r="W57" t="str">
        <f t="shared" si="7"/>
        <v>Jun</v>
      </c>
      <c r="X57">
        <f t="shared" si="8"/>
        <v>2025</v>
      </c>
    </row>
    <row r="58" spans="1:24" x14ac:dyDescent="0.35">
      <c r="A58" s="3">
        <v>45957</v>
      </c>
      <c r="B58" t="s">
        <v>106</v>
      </c>
      <c r="C58" t="s">
        <v>69</v>
      </c>
      <c r="D58" t="s">
        <v>169</v>
      </c>
      <c r="E58" t="s">
        <v>41</v>
      </c>
      <c r="F58" t="s">
        <v>48</v>
      </c>
      <c r="G58" t="s">
        <v>42</v>
      </c>
      <c r="H58">
        <v>53.5</v>
      </c>
      <c r="I58">
        <v>1194</v>
      </c>
      <c r="J58">
        <v>47</v>
      </c>
      <c r="K58">
        <v>11.2</v>
      </c>
      <c r="L58" t="s">
        <v>43</v>
      </c>
      <c r="M58">
        <v>32040.9</v>
      </c>
      <c r="N58">
        <v>7391</v>
      </c>
      <c r="O58" t="s">
        <v>91</v>
      </c>
      <c r="P58" t="str">
        <f t="shared" si="0"/>
        <v>Yes</v>
      </c>
      <c r="Q58">
        <f t="shared" si="1"/>
        <v>22.32</v>
      </c>
      <c r="R58">
        <f t="shared" si="2"/>
        <v>26.83</v>
      </c>
      <c r="S58">
        <f t="shared" si="3"/>
        <v>4.34</v>
      </c>
      <c r="T58" t="str">
        <f t="shared" si="4"/>
        <v>Delayed</v>
      </c>
      <c r="U58" t="str">
        <f t="shared" si="5"/>
        <v>Medium</v>
      </c>
      <c r="V58" t="str">
        <f t="shared" si="6"/>
        <v>Low Risk</v>
      </c>
      <c r="W58" t="str">
        <f t="shared" si="7"/>
        <v>Oct</v>
      </c>
      <c r="X58">
        <f t="shared" si="8"/>
        <v>2025</v>
      </c>
    </row>
    <row r="59" spans="1:24" x14ac:dyDescent="0.35">
      <c r="A59" s="3">
        <v>45939</v>
      </c>
      <c r="B59" t="s">
        <v>120</v>
      </c>
      <c r="C59" t="s">
        <v>69</v>
      </c>
      <c r="D59" t="s">
        <v>170</v>
      </c>
      <c r="E59" t="s">
        <v>27</v>
      </c>
      <c r="F59" t="s">
        <v>28</v>
      </c>
      <c r="G59" t="s">
        <v>29</v>
      </c>
      <c r="H59">
        <v>67.5</v>
      </c>
      <c r="I59">
        <v>2672</v>
      </c>
      <c r="J59">
        <v>101</v>
      </c>
      <c r="K59">
        <v>11.5</v>
      </c>
      <c r="L59" t="s">
        <v>78</v>
      </c>
      <c r="M59">
        <v>43742</v>
      </c>
      <c r="N59">
        <v>14109</v>
      </c>
      <c r="O59" t="s">
        <v>50</v>
      </c>
      <c r="P59" t="str">
        <f t="shared" si="0"/>
        <v>No</v>
      </c>
      <c r="Q59">
        <f t="shared" si="1"/>
        <v>39.590000000000003</v>
      </c>
      <c r="R59">
        <f t="shared" si="2"/>
        <v>16.37</v>
      </c>
      <c r="S59">
        <f t="shared" si="3"/>
        <v>3.1</v>
      </c>
      <c r="T59" t="str">
        <f t="shared" si="4"/>
        <v>On Time</v>
      </c>
      <c r="U59" t="str">
        <f t="shared" si="5"/>
        <v>High</v>
      </c>
      <c r="V59" t="str">
        <f t="shared" si="6"/>
        <v>Low Risk</v>
      </c>
      <c r="W59" t="str">
        <f t="shared" si="7"/>
        <v>Oct</v>
      </c>
      <c r="X59">
        <f t="shared" si="8"/>
        <v>2025</v>
      </c>
    </row>
    <row r="60" spans="1:24" x14ac:dyDescent="0.35">
      <c r="A60" s="3">
        <v>45674</v>
      </c>
      <c r="B60" t="s">
        <v>171</v>
      </c>
      <c r="C60" t="s">
        <v>130</v>
      </c>
      <c r="D60" t="s">
        <v>172</v>
      </c>
      <c r="E60" t="s">
        <v>41</v>
      </c>
      <c r="F60" t="s">
        <v>55</v>
      </c>
      <c r="G60" t="s">
        <v>29</v>
      </c>
      <c r="H60">
        <v>75.7</v>
      </c>
      <c r="I60">
        <v>4144</v>
      </c>
      <c r="J60">
        <v>107</v>
      </c>
      <c r="K60">
        <v>18.399999999999999</v>
      </c>
      <c r="L60" t="s">
        <v>43</v>
      </c>
      <c r="M60">
        <v>42163.21</v>
      </c>
      <c r="N60">
        <v>12959</v>
      </c>
      <c r="O60" t="s">
        <v>91</v>
      </c>
      <c r="P60" t="str">
        <f t="shared" si="0"/>
        <v>Yes</v>
      </c>
      <c r="Q60">
        <f t="shared" si="1"/>
        <v>54.74</v>
      </c>
      <c r="R60">
        <f t="shared" si="2"/>
        <v>10.17</v>
      </c>
      <c r="S60">
        <f t="shared" si="3"/>
        <v>3.25</v>
      </c>
      <c r="T60" t="str">
        <f t="shared" si="4"/>
        <v>Delayed</v>
      </c>
      <c r="U60" t="str">
        <f t="shared" si="5"/>
        <v>High</v>
      </c>
      <c r="V60" t="str">
        <f t="shared" si="6"/>
        <v>Low Risk</v>
      </c>
      <c r="W60" t="str">
        <f t="shared" si="7"/>
        <v>Jan</v>
      </c>
      <c r="X60">
        <f t="shared" si="8"/>
        <v>2025</v>
      </c>
    </row>
    <row r="61" spans="1:24" x14ac:dyDescent="0.35">
      <c r="A61" s="3">
        <v>45968</v>
      </c>
      <c r="B61" t="s">
        <v>173</v>
      </c>
      <c r="C61" t="s">
        <v>69</v>
      </c>
      <c r="D61" t="s">
        <v>174</v>
      </c>
      <c r="E61" t="s">
        <v>28</v>
      </c>
      <c r="F61" t="s">
        <v>66</v>
      </c>
      <c r="G61" t="s">
        <v>29</v>
      </c>
      <c r="H61">
        <v>78.900000000000006</v>
      </c>
      <c r="I61">
        <v>4249</v>
      </c>
      <c r="J61">
        <v>110</v>
      </c>
      <c r="K61">
        <v>16.2</v>
      </c>
      <c r="L61" t="s">
        <v>49</v>
      </c>
      <c r="M61">
        <v>45711.33</v>
      </c>
      <c r="N61">
        <v>25782</v>
      </c>
      <c r="O61" t="s">
        <v>31</v>
      </c>
      <c r="P61" t="str">
        <f t="shared" si="0"/>
        <v>Yes</v>
      </c>
      <c r="Q61">
        <f t="shared" si="1"/>
        <v>53.85</v>
      </c>
      <c r="R61">
        <f t="shared" si="2"/>
        <v>10.76</v>
      </c>
      <c r="S61">
        <f t="shared" si="3"/>
        <v>1.77</v>
      </c>
      <c r="T61" t="str">
        <f t="shared" si="4"/>
        <v>Delayed</v>
      </c>
      <c r="U61" t="str">
        <f t="shared" si="5"/>
        <v>High</v>
      </c>
      <c r="V61" t="str">
        <f t="shared" si="6"/>
        <v>High Risk</v>
      </c>
      <c r="W61" t="str">
        <f t="shared" si="7"/>
        <v>Nov</v>
      </c>
      <c r="X61">
        <f t="shared" si="8"/>
        <v>2025</v>
      </c>
    </row>
    <row r="62" spans="1:24" x14ac:dyDescent="0.35">
      <c r="A62" s="3">
        <v>45718</v>
      </c>
      <c r="B62" t="s">
        <v>159</v>
      </c>
      <c r="C62" t="s">
        <v>130</v>
      </c>
      <c r="D62" t="s">
        <v>175</v>
      </c>
      <c r="E62" t="s">
        <v>27</v>
      </c>
      <c r="F62" t="s">
        <v>54</v>
      </c>
      <c r="G62" t="s">
        <v>35</v>
      </c>
      <c r="H62">
        <v>24.4</v>
      </c>
      <c r="I62">
        <v>4044</v>
      </c>
      <c r="J62">
        <v>105</v>
      </c>
      <c r="K62">
        <v>13</v>
      </c>
      <c r="L62" t="s">
        <v>49</v>
      </c>
      <c r="M62">
        <v>13122.97</v>
      </c>
      <c r="N62">
        <v>14863</v>
      </c>
      <c r="O62" t="s">
        <v>31</v>
      </c>
      <c r="P62" t="str">
        <f t="shared" si="0"/>
        <v>Yes</v>
      </c>
      <c r="Q62">
        <f t="shared" si="1"/>
        <v>165.74</v>
      </c>
      <c r="R62">
        <f t="shared" si="2"/>
        <v>3.25</v>
      </c>
      <c r="S62">
        <f t="shared" si="3"/>
        <v>0.88</v>
      </c>
      <c r="T62" t="str">
        <f t="shared" si="4"/>
        <v>Delayed</v>
      </c>
      <c r="U62" t="str">
        <f t="shared" si="5"/>
        <v>Low</v>
      </c>
      <c r="V62" t="str">
        <f t="shared" si="6"/>
        <v>High Risk</v>
      </c>
      <c r="W62" t="str">
        <f t="shared" si="7"/>
        <v>Mar</v>
      </c>
      <c r="X62">
        <f t="shared" si="8"/>
        <v>2025</v>
      </c>
    </row>
    <row r="63" spans="1:24" x14ac:dyDescent="0.35">
      <c r="A63" s="3">
        <v>45939</v>
      </c>
      <c r="B63" t="s">
        <v>104</v>
      </c>
      <c r="C63" t="s">
        <v>95</v>
      </c>
      <c r="D63" t="s">
        <v>176</v>
      </c>
      <c r="E63" t="s">
        <v>28</v>
      </c>
      <c r="F63" t="s">
        <v>48</v>
      </c>
      <c r="G63" t="s">
        <v>35</v>
      </c>
      <c r="H63">
        <v>68</v>
      </c>
      <c r="I63">
        <v>4730</v>
      </c>
      <c r="J63">
        <v>37</v>
      </c>
      <c r="K63">
        <v>19.2</v>
      </c>
      <c r="L63" t="s">
        <v>78</v>
      </c>
      <c r="M63">
        <v>38360.449999999997</v>
      </c>
      <c r="N63">
        <v>16325</v>
      </c>
      <c r="O63" t="s">
        <v>36</v>
      </c>
      <c r="P63" t="str">
        <f t="shared" si="0"/>
        <v>No</v>
      </c>
      <c r="Q63">
        <f t="shared" si="1"/>
        <v>69.56</v>
      </c>
      <c r="R63">
        <f t="shared" si="2"/>
        <v>8.11</v>
      </c>
      <c r="S63">
        <f t="shared" si="3"/>
        <v>2.35</v>
      </c>
      <c r="T63" t="str">
        <f t="shared" si="4"/>
        <v>On Time</v>
      </c>
      <c r="U63" t="str">
        <f t="shared" si="5"/>
        <v>High</v>
      </c>
      <c r="V63" t="str">
        <f t="shared" si="6"/>
        <v>Low Risk</v>
      </c>
      <c r="W63" t="str">
        <f t="shared" si="7"/>
        <v>Oct</v>
      </c>
      <c r="X63">
        <f t="shared" si="8"/>
        <v>2025</v>
      </c>
    </row>
    <row r="64" spans="1:24" x14ac:dyDescent="0.35">
      <c r="A64" s="3">
        <v>45905</v>
      </c>
      <c r="B64" t="s">
        <v>142</v>
      </c>
      <c r="C64" t="s">
        <v>39</v>
      </c>
      <c r="D64" t="s">
        <v>177</v>
      </c>
      <c r="E64" t="s">
        <v>41</v>
      </c>
      <c r="F64" t="s">
        <v>28</v>
      </c>
      <c r="G64" t="s">
        <v>35</v>
      </c>
      <c r="H64">
        <v>27.4</v>
      </c>
      <c r="I64">
        <v>1863</v>
      </c>
      <c r="J64">
        <v>82</v>
      </c>
      <c r="K64">
        <v>15.5</v>
      </c>
      <c r="L64" t="s">
        <v>43</v>
      </c>
      <c r="M64">
        <v>17407.599999999999</v>
      </c>
      <c r="N64">
        <v>11140</v>
      </c>
      <c r="O64" t="s">
        <v>67</v>
      </c>
      <c r="P64" t="str">
        <f t="shared" si="0"/>
        <v>Yes</v>
      </c>
      <c r="Q64">
        <f t="shared" si="1"/>
        <v>67.989999999999995</v>
      </c>
      <c r="R64">
        <f t="shared" si="2"/>
        <v>9.34</v>
      </c>
      <c r="S64">
        <f t="shared" si="3"/>
        <v>1.56</v>
      </c>
      <c r="T64" t="str">
        <f t="shared" si="4"/>
        <v>Delayed</v>
      </c>
      <c r="U64" t="str">
        <f t="shared" si="5"/>
        <v>Low</v>
      </c>
      <c r="V64" t="str">
        <f t="shared" si="6"/>
        <v>Low Risk</v>
      </c>
      <c r="W64" t="str">
        <f t="shared" si="7"/>
        <v>Sep</v>
      </c>
      <c r="X64">
        <f t="shared" si="8"/>
        <v>2025</v>
      </c>
    </row>
    <row r="65" spans="1:24" x14ac:dyDescent="0.35">
      <c r="A65" s="3">
        <v>45966</v>
      </c>
      <c r="B65" t="s">
        <v>94</v>
      </c>
      <c r="C65" t="s">
        <v>25</v>
      </c>
      <c r="D65" t="s">
        <v>178</v>
      </c>
      <c r="E65" t="s">
        <v>55</v>
      </c>
      <c r="F65" t="s">
        <v>66</v>
      </c>
      <c r="G65" t="s">
        <v>35</v>
      </c>
      <c r="H65">
        <v>20.7</v>
      </c>
      <c r="I65">
        <v>2529</v>
      </c>
      <c r="J65">
        <v>93</v>
      </c>
      <c r="K65">
        <v>16.7</v>
      </c>
      <c r="L65" t="s">
        <v>49</v>
      </c>
      <c r="M65">
        <v>11755.14</v>
      </c>
      <c r="N65">
        <v>20199</v>
      </c>
      <c r="O65" t="s">
        <v>84</v>
      </c>
      <c r="P65" t="str">
        <f t="shared" si="0"/>
        <v>Yes</v>
      </c>
      <c r="Q65">
        <f t="shared" si="1"/>
        <v>122.17</v>
      </c>
      <c r="R65">
        <f t="shared" si="2"/>
        <v>4.6500000000000004</v>
      </c>
      <c r="S65">
        <f t="shared" si="3"/>
        <v>0.57999999999999996</v>
      </c>
      <c r="T65" t="str">
        <f t="shared" si="4"/>
        <v>Delayed</v>
      </c>
      <c r="U65" t="str">
        <f t="shared" si="5"/>
        <v>Low</v>
      </c>
      <c r="V65" t="str">
        <f t="shared" si="6"/>
        <v>High Risk</v>
      </c>
      <c r="W65" t="str">
        <f t="shared" si="7"/>
        <v>Nov</v>
      </c>
      <c r="X65">
        <f t="shared" si="8"/>
        <v>2025</v>
      </c>
    </row>
    <row r="66" spans="1:24" x14ac:dyDescent="0.35">
      <c r="A66" s="3">
        <v>45875</v>
      </c>
      <c r="B66" t="s">
        <v>46</v>
      </c>
      <c r="C66" t="s">
        <v>25</v>
      </c>
      <c r="D66" t="s">
        <v>179</v>
      </c>
      <c r="E66" t="s">
        <v>55</v>
      </c>
      <c r="F66" t="s">
        <v>66</v>
      </c>
      <c r="G66" t="s">
        <v>42</v>
      </c>
      <c r="H66">
        <v>79</v>
      </c>
      <c r="I66">
        <v>4695</v>
      </c>
      <c r="J66">
        <v>87</v>
      </c>
      <c r="K66">
        <v>16.600000000000001</v>
      </c>
      <c r="L66" t="s">
        <v>49</v>
      </c>
      <c r="M66">
        <v>39252.370000000003</v>
      </c>
      <c r="N66">
        <v>20424</v>
      </c>
      <c r="O66" t="s">
        <v>67</v>
      </c>
      <c r="P66" t="str">
        <f t="shared" ref="P66:P129" si="9">IF(OR(L66="Rain",L66="Fog",L66="Storm"),"Yes","No")</f>
        <v>Yes</v>
      </c>
      <c r="Q66">
        <f t="shared" ref="Q66:Q129" si="10">ROUND(I66/H66,2)</f>
        <v>59.43</v>
      </c>
      <c r="R66">
        <f t="shared" ref="R66:R129" si="11">ROUND(M66/I66,2)</f>
        <v>8.36</v>
      </c>
      <c r="S66">
        <f t="shared" ref="S66:S129" si="12">ROUND(M66/N66,2)</f>
        <v>1.92</v>
      </c>
      <c r="T66" t="str">
        <f t="shared" ref="T66:T129" si="13">IF(P66="Yes","Delayed","On Time")</f>
        <v>Delayed</v>
      </c>
      <c r="U66" t="str">
        <f t="shared" ref="U66:U129" si="14">IF(H66&gt;=60,"High",IF(H66&gt;=40,"Medium","Low"))</f>
        <v>High</v>
      </c>
      <c r="V66" t="str">
        <f t="shared" ref="V66:V129" si="15">IF(L66="Storm","High Risk",IF(L66="Rain","Medium Risk","Low Risk"))</f>
        <v>High Risk</v>
      </c>
      <c r="W66" t="str">
        <f t="shared" ref="W66:W129" si="16">TEXT(A66,"mmm")</f>
        <v>Aug</v>
      </c>
      <c r="X66">
        <f t="shared" si="8"/>
        <v>2025</v>
      </c>
    </row>
    <row r="67" spans="1:24" x14ac:dyDescent="0.35">
      <c r="A67" s="3">
        <v>45878</v>
      </c>
      <c r="B67" t="s">
        <v>87</v>
      </c>
      <c r="C67" t="s">
        <v>25</v>
      </c>
      <c r="D67" t="s">
        <v>180</v>
      </c>
      <c r="E67" t="s">
        <v>48</v>
      </c>
      <c r="F67" t="s">
        <v>41</v>
      </c>
      <c r="G67" t="s">
        <v>29</v>
      </c>
      <c r="H67">
        <v>73</v>
      </c>
      <c r="I67">
        <v>2935</v>
      </c>
      <c r="J67">
        <v>101</v>
      </c>
      <c r="K67">
        <v>20.8</v>
      </c>
      <c r="L67" t="s">
        <v>78</v>
      </c>
      <c r="M67">
        <v>35872.19</v>
      </c>
      <c r="N67">
        <v>21173</v>
      </c>
      <c r="O67" t="s">
        <v>31</v>
      </c>
      <c r="P67" t="str">
        <f t="shared" si="9"/>
        <v>No</v>
      </c>
      <c r="Q67">
        <f t="shared" si="10"/>
        <v>40.21</v>
      </c>
      <c r="R67">
        <f t="shared" si="11"/>
        <v>12.22</v>
      </c>
      <c r="S67">
        <f t="shared" si="12"/>
        <v>1.69</v>
      </c>
      <c r="T67" t="str">
        <f t="shared" si="13"/>
        <v>On Time</v>
      </c>
      <c r="U67" t="str">
        <f t="shared" si="14"/>
        <v>High</v>
      </c>
      <c r="V67" t="str">
        <f t="shared" si="15"/>
        <v>Low Risk</v>
      </c>
      <c r="W67" t="str">
        <f t="shared" si="16"/>
        <v>Aug</v>
      </c>
      <c r="X67">
        <f t="shared" ref="X67:X130" si="17">YEAR(A67)</f>
        <v>2025</v>
      </c>
    </row>
    <row r="68" spans="1:24" x14ac:dyDescent="0.35">
      <c r="A68" s="3">
        <v>45912</v>
      </c>
      <c r="B68" t="s">
        <v>120</v>
      </c>
      <c r="C68" t="s">
        <v>95</v>
      </c>
      <c r="D68" t="s">
        <v>181</v>
      </c>
      <c r="E68" t="s">
        <v>63</v>
      </c>
      <c r="F68" t="s">
        <v>48</v>
      </c>
      <c r="G68" t="s">
        <v>42</v>
      </c>
      <c r="H68">
        <v>67.099999999999994</v>
      </c>
      <c r="I68">
        <v>2246</v>
      </c>
      <c r="J68">
        <v>47</v>
      </c>
      <c r="K68">
        <v>13.1</v>
      </c>
      <c r="L68" t="s">
        <v>43</v>
      </c>
      <c r="M68">
        <v>44748.58</v>
      </c>
      <c r="N68">
        <v>25583</v>
      </c>
      <c r="O68" t="s">
        <v>91</v>
      </c>
      <c r="P68" t="str">
        <f t="shared" si="9"/>
        <v>Yes</v>
      </c>
      <c r="Q68">
        <f t="shared" si="10"/>
        <v>33.47</v>
      </c>
      <c r="R68">
        <f t="shared" si="11"/>
        <v>19.920000000000002</v>
      </c>
      <c r="S68">
        <f t="shared" si="12"/>
        <v>1.75</v>
      </c>
      <c r="T68" t="str">
        <f t="shared" si="13"/>
        <v>Delayed</v>
      </c>
      <c r="U68" t="str">
        <f t="shared" si="14"/>
        <v>High</v>
      </c>
      <c r="V68" t="str">
        <f t="shared" si="15"/>
        <v>Low Risk</v>
      </c>
      <c r="W68" t="str">
        <f t="shared" si="16"/>
        <v>Sep</v>
      </c>
      <c r="X68">
        <f t="shared" si="17"/>
        <v>2025</v>
      </c>
    </row>
    <row r="69" spans="1:24" x14ac:dyDescent="0.35">
      <c r="A69" s="3">
        <v>45863</v>
      </c>
      <c r="B69" t="s">
        <v>136</v>
      </c>
      <c r="C69" t="s">
        <v>130</v>
      </c>
      <c r="D69" t="s">
        <v>182</v>
      </c>
      <c r="E69" t="s">
        <v>48</v>
      </c>
      <c r="F69" t="s">
        <v>41</v>
      </c>
      <c r="G69" t="s">
        <v>42</v>
      </c>
      <c r="H69">
        <v>72.099999999999994</v>
      </c>
      <c r="I69">
        <v>1665</v>
      </c>
      <c r="J69">
        <v>116</v>
      </c>
      <c r="K69">
        <v>21.6</v>
      </c>
      <c r="L69" t="s">
        <v>49</v>
      </c>
      <c r="M69">
        <v>38873.68</v>
      </c>
      <c r="N69">
        <v>10160</v>
      </c>
      <c r="O69" t="s">
        <v>36</v>
      </c>
      <c r="P69" t="str">
        <f t="shared" si="9"/>
        <v>Yes</v>
      </c>
      <c r="Q69">
        <f t="shared" si="10"/>
        <v>23.09</v>
      </c>
      <c r="R69">
        <f t="shared" si="11"/>
        <v>23.35</v>
      </c>
      <c r="S69">
        <f t="shared" si="12"/>
        <v>3.83</v>
      </c>
      <c r="T69" t="str">
        <f t="shared" si="13"/>
        <v>Delayed</v>
      </c>
      <c r="U69" t="str">
        <f t="shared" si="14"/>
        <v>High</v>
      </c>
      <c r="V69" t="str">
        <f t="shared" si="15"/>
        <v>High Risk</v>
      </c>
      <c r="W69" t="str">
        <f t="shared" si="16"/>
        <v>Jul</v>
      </c>
      <c r="X69">
        <f t="shared" si="17"/>
        <v>2025</v>
      </c>
    </row>
    <row r="70" spans="1:24" x14ac:dyDescent="0.35">
      <c r="A70" s="3">
        <v>45998</v>
      </c>
      <c r="B70" t="s">
        <v>148</v>
      </c>
      <c r="C70" t="s">
        <v>39</v>
      </c>
      <c r="D70" t="s">
        <v>183</v>
      </c>
      <c r="E70" t="s">
        <v>55</v>
      </c>
      <c r="F70" t="s">
        <v>48</v>
      </c>
      <c r="G70" t="s">
        <v>42</v>
      </c>
      <c r="H70">
        <v>57.4</v>
      </c>
      <c r="I70">
        <v>3510</v>
      </c>
      <c r="J70">
        <v>107</v>
      </c>
      <c r="K70">
        <v>20.5</v>
      </c>
      <c r="L70" t="s">
        <v>78</v>
      </c>
      <c r="M70">
        <v>29394.45</v>
      </c>
      <c r="N70">
        <v>10267</v>
      </c>
      <c r="O70" t="s">
        <v>67</v>
      </c>
      <c r="P70" t="str">
        <f t="shared" si="9"/>
        <v>No</v>
      </c>
      <c r="Q70">
        <f t="shared" si="10"/>
        <v>61.15</v>
      </c>
      <c r="R70">
        <f t="shared" si="11"/>
        <v>8.3699999999999992</v>
      </c>
      <c r="S70">
        <f t="shared" si="12"/>
        <v>2.86</v>
      </c>
      <c r="T70" t="str">
        <f t="shared" si="13"/>
        <v>On Time</v>
      </c>
      <c r="U70" t="str">
        <f t="shared" si="14"/>
        <v>Medium</v>
      </c>
      <c r="V70" t="str">
        <f t="shared" si="15"/>
        <v>Low Risk</v>
      </c>
      <c r="W70" t="str">
        <f t="shared" si="16"/>
        <v>Dec</v>
      </c>
      <c r="X70">
        <f t="shared" si="17"/>
        <v>2025</v>
      </c>
    </row>
    <row r="71" spans="1:24" x14ac:dyDescent="0.35">
      <c r="A71" s="3">
        <v>45987</v>
      </c>
      <c r="B71" t="s">
        <v>142</v>
      </c>
      <c r="C71" t="s">
        <v>130</v>
      </c>
      <c r="D71" t="s">
        <v>184</v>
      </c>
      <c r="E71" t="s">
        <v>63</v>
      </c>
      <c r="F71" t="s">
        <v>27</v>
      </c>
      <c r="G71" t="s">
        <v>42</v>
      </c>
      <c r="H71">
        <v>62.1</v>
      </c>
      <c r="I71">
        <v>2888</v>
      </c>
      <c r="J71">
        <v>118</v>
      </c>
      <c r="K71">
        <v>11.6</v>
      </c>
      <c r="L71" t="s">
        <v>30</v>
      </c>
      <c r="M71">
        <v>30783.81</v>
      </c>
      <c r="N71">
        <v>25809</v>
      </c>
      <c r="O71" t="s">
        <v>36</v>
      </c>
      <c r="P71" t="str">
        <f t="shared" si="9"/>
        <v>Yes</v>
      </c>
      <c r="Q71">
        <f t="shared" si="10"/>
        <v>46.51</v>
      </c>
      <c r="R71">
        <f t="shared" si="11"/>
        <v>10.66</v>
      </c>
      <c r="S71">
        <f t="shared" si="12"/>
        <v>1.19</v>
      </c>
      <c r="T71" t="str">
        <f t="shared" si="13"/>
        <v>Delayed</v>
      </c>
      <c r="U71" t="str">
        <f t="shared" si="14"/>
        <v>High</v>
      </c>
      <c r="V71" t="str">
        <f t="shared" si="15"/>
        <v>Medium Risk</v>
      </c>
      <c r="W71" t="str">
        <f t="shared" si="16"/>
        <v>Nov</v>
      </c>
      <c r="X71">
        <f t="shared" si="17"/>
        <v>2025</v>
      </c>
    </row>
    <row r="72" spans="1:24" x14ac:dyDescent="0.35">
      <c r="A72" s="3">
        <v>46013</v>
      </c>
      <c r="B72" t="s">
        <v>185</v>
      </c>
      <c r="C72" t="s">
        <v>52</v>
      </c>
      <c r="D72" t="s">
        <v>186</v>
      </c>
      <c r="E72" t="s">
        <v>54</v>
      </c>
      <c r="F72" t="s">
        <v>63</v>
      </c>
      <c r="G72" t="s">
        <v>42</v>
      </c>
      <c r="H72">
        <v>52.5</v>
      </c>
      <c r="I72">
        <v>4819</v>
      </c>
      <c r="J72">
        <v>34</v>
      </c>
      <c r="K72">
        <v>21.5</v>
      </c>
      <c r="L72" t="s">
        <v>78</v>
      </c>
      <c r="M72">
        <v>26688.53</v>
      </c>
      <c r="N72">
        <v>17727</v>
      </c>
      <c r="O72" t="s">
        <v>59</v>
      </c>
      <c r="P72" t="str">
        <f t="shared" si="9"/>
        <v>No</v>
      </c>
      <c r="Q72">
        <f t="shared" si="10"/>
        <v>91.79</v>
      </c>
      <c r="R72">
        <f t="shared" si="11"/>
        <v>5.54</v>
      </c>
      <c r="S72">
        <f t="shared" si="12"/>
        <v>1.51</v>
      </c>
      <c r="T72" t="str">
        <f t="shared" si="13"/>
        <v>On Time</v>
      </c>
      <c r="U72" t="str">
        <f t="shared" si="14"/>
        <v>Medium</v>
      </c>
      <c r="V72" t="str">
        <f t="shared" si="15"/>
        <v>Low Risk</v>
      </c>
      <c r="W72" t="str">
        <f t="shared" si="16"/>
        <v>Dec</v>
      </c>
      <c r="X72">
        <f t="shared" si="17"/>
        <v>2025</v>
      </c>
    </row>
    <row r="73" spans="1:24" x14ac:dyDescent="0.35">
      <c r="A73" s="3">
        <v>45796</v>
      </c>
      <c r="B73" t="s">
        <v>113</v>
      </c>
      <c r="C73" t="s">
        <v>109</v>
      </c>
      <c r="D73" t="s">
        <v>187</v>
      </c>
      <c r="E73" t="s">
        <v>27</v>
      </c>
      <c r="F73" t="s">
        <v>55</v>
      </c>
      <c r="G73" t="s">
        <v>71</v>
      </c>
      <c r="H73">
        <v>31.6</v>
      </c>
      <c r="I73">
        <v>2874</v>
      </c>
      <c r="J73">
        <v>52</v>
      </c>
      <c r="K73">
        <v>21.5</v>
      </c>
      <c r="L73" t="s">
        <v>49</v>
      </c>
      <c r="M73">
        <v>18010.18</v>
      </c>
      <c r="N73">
        <v>18925</v>
      </c>
      <c r="O73" t="s">
        <v>59</v>
      </c>
      <c r="P73" t="str">
        <f t="shared" si="9"/>
        <v>Yes</v>
      </c>
      <c r="Q73">
        <f t="shared" si="10"/>
        <v>90.95</v>
      </c>
      <c r="R73">
        <f t="shared" si="11"/>
        <v>6.27</v>
      </c>
      <c r="S73">
        <f t="shared" si="12"/>
        <v>0.95</v>
      </c>
      <c r="T73" t="str">
        <f t="shared" si="13"/>
        <v>Delayed</v>
      </c>
      <c r="U73" t="str">
        <f t="shared" si="14"/>
        <v>Low</v>
      </c>
      <c r="V73" t="str">
        <f t="shared" si="15"/>
        <v>High Risk</v>
      </c>
      <c r="W73" t="str">
        <f t="shared" si="16"/>
        <v>May</v>
      </c>
      <c r="X73">
        <f t="shared" si="17"/>
        <v>2025</v>
      </c>
    </row>
    <row r="74" spans="1:24" x14ac:dyDescent="0.35">
      <c r="A74" s="3">
        <v>45775</v>
      </c>
      <c r="B74" t="s">
        <v>188</v>
      </c>
      <c r="C74" t="s">
        <v>39</v>
      </c>
      <c r="D74" t="s">
        <v>189</v>
      </c>
      <c r="E74" t="s">
        <v>66</v>
      </c>
      <c r="F74" t="s">
        <v>48</v>
      </c>
      <c r="G74" t="s">
        <v>29</v>
      </c>
      <c r="H74">
        <v>22.7</v>
      </c>
      <c r="I74">
        <v>3665</v>
      </c>
      <c r="J74">
        <v>25</v>
      </c>
      <c r="K74">
        <v>14.5</v>
      </c>
      <c r="L74" t="s">
        <v>30</v>
      </c>
      <c r="M74">
        <v>12739.52</v>
      </c>
      <c r="N74">
        <v>13604</v>
      </c>
      <c r="O74" t="s">
        <v>91</v>
      </c>
      <c r="P74" t="str">
        <f t="shared" si="9"/>
        <v>Yes</v>
      </c>
      <c r="Q74">
        <f t="shared" si="10"/>
        <v>161.44999999999999</v>
      </c>
      <c r="R74">
        <f t="shared" si="11"/>
        <v>3.48</v>
      </c>
      <c r="S74">
        <f t="shared" si="12"/>
        <v>0.94</v>
      </c>
      <c r="T74" t="str">
        <f t="shared" si="13"/>
        <v>Delayed</v>
      </c>
      <c r="U74" t="str">
        <f t="shared" si="14"/>
        <v>Low</v>
      </c>
      <c r="V74" t="str">
        <f t="shared" si="15"/>
        <v>Medium Risk</v>
      </c>
      <c r="W74" t="str">
        <f t="shared" si="16"/>
        <v>Apr</v>
      </c>
      <c r="X74">
        <f t="shared" si="17"/>
        <v>2025</v>
      </c>
    </row>
    <row r="75" spans="1:24" x14ac:dyDescent="0.35">
      <c r="A75" s="3">
        <v>45784</v>
      </c>
      <c r="B75" t="s">
        <v>190</v>
      </c>
      <c r="C75" t="s">
        <v>52</v>
      </c>
      <c r="D75" t="s">
        <v>191</v>
      </c>
      <c r="E75" t="s">
        <v>41</v>
      </c>
      <c r="F75" t="s">
        <v>66</v>
      </c>
      <c r="G75" t="s">
        <v>42</v>
      </c>
      <c r="H75">
        <v>44.1</v>
      </c>
      <c r="I75">
        <v>2971</v>
      </c>
      <c r="J75">
        <v>80</v>
      </c>
      <c r="K75">
        <v>15.4</v>
      </c>
      <c r="L75" t="s">
        <v>30</v>
      </c>
      <c r="M75">
        <v>24438.97</v>
      </c>
      <c r="N75">
        <v>10352</v>
      </c>
      <c r="O75" t="s">
        <v>44</v>
      </c>
      <c r="P75" t="str">
        <f t="shared" si="9"/>
        <v>Yes</v>
      </c>
      <c r="Q75">
        <f t="shared" si="10"/>
        <v>67.37</v>
      </c>
      <c r="R75">
        <f t="shared" si="11"/>
        <v>8.23</v>
      </c>
      <c r="S75">
        <f t="shared" si="12"/>
        <v>2.36</v>
      </c>
      <c r="T75" t="str">
        <f t="shared" si="13"/>
        <v>Delayed</v>
      </c>
      <c r="U75" t="str">
        <f t="shared" si="14"/>
        <v>Medium</v>
      </c>
      <c r="V75" t="str">
        <f t="shared" si="15"/>
        <v>Medium Risk</v>
      </c>
      <c r="W75" t="str">
        <f t="shared" si="16"/>
        <v>May</v>
      </c>
      <c r="X75">
        <f t="shared" si="17"/>
        <v>2025</v>
      </c>
    </row>
    <row r="76" spans="1:24" x14ac:dyDescent="0.35">
      <c r="A76" s="3">
        <v>46001</v>
      </c>
      <c r="B76" t="s">
        <v>146</v>
      </c>
      <c r="C76" t="s">
        <v>52</v>
      </c>
      <c r="D76" t="s">
        <v>192</v>
      </c>
      <c r="E76" t="s">
        <v>27</v>
      </c>
      <c r="F76" t="s">
        <v>41</v>
      </c>
      <c r="G76" t="s">
        <v>42</v>
      </c>
      <c r="H76">
        <v>47.7</v>
      </c>
      <c r="I76">
        <v>3794</v>
      </c>
      <c r="J76">
        <v>55</v>
      </c>
      <c r="K76">
        <v>20</v>
      </c>
      <c r="L76" t="s">
        <v>43</v>
      </c>
      <c r="M76">
        <v>28934.98</v>
      </c>
      <c r="N76">
        <v>16654</v>
      </c>
      <c r="O76" t="s">
        <v>31</v>
      </c>
      <c r="P76" t="str">
        <f t="shared" si="9"/>
        <v>Yes</v>
      </c>
      <c r="Q76">
        <f t="shared" si="10"/>
        <v>79.540000000000006</v>
      </c>
      <c r="R76">
        <f t="shared" si="11"/>
        <v>7.63</v>
      </c>
      <c r="S76">
        <f t="shared" si="12"/>
        <v>1.74</v>
      </c>
      <c r="T76" t="str">
        <f t="shared" si="13"/>
        <v>Delayed</v>
      </c>
      <c r="U76" t="str">
        <f t="shared" si="14"/>
        <v>Medium</v>
      </c>
      <c r="V76" t="str">
        <f t="shared" si="15"/>
        <v>Low Risk</v>
      </c>
      <c r="W76" t="str">
        <f t="shared" si="16"/>
        <v>Dec</v>
      </c>
      <c r="X76">
        <f t="shared" si="17"/>
        <v>2025</v>
      </c>
    </row>
    <row r="77" spans="1:24" x14ac:dyDescent="0.35">
      <c r="A77" s="3">
        <v>45717</v>
      </c>
      <c r="B77" t="s">
        <v>193</v>
      </c>
      <c r="C77" t="s">
        <v>130</v>
      </c>
      <c r="D77" t="s">
        <v>194</v>
      </c>
      <c r="E77" t="s">
        <v>63</v>
      </c>
      <c r="F77" t="s">
        <v>66</v>
      </c>
      <c r="G77" t="s">
        <v>71</v>
      </c>
      <c r="H77">
        <v>26.8</v>
      </c>
      <c r="I77">
        <v>1636</v>
      </c>
      <c r="J77">
        <v>20</v>
      </c>
      <c r="K77">
        <v>15.6</v>
      </c>
      <c r="L77" t="s">
        <v>78</v>
      </c>
      <c r="M77">
        <v>17832.39</v>
      </c>
      <c r="N77">
        <v>6578</v>
      </c>
      <c r="O77" t="s">
        <v>84</v>
      </c>
      <c r="P77" t="str">
        <f t="shared" si="9"/>
        <v>No</v>
      </c>
      <c r="Q77">
        <f t="shared" si="10"/>
        <v>61.04</v>
      </c>
      <c r="R77">
        <f t="shared" si="11"/>
        <v>10.9</v>
      </c>
      <c r="S77">
        <f t="shared" si="12"/>
        <v>2.71</v>
      </c>
      <c r="T77" t="str">
        <f t="shared" si="13"/>
        <v>On Time</v>
      </c>
      <c r="U77" t="str">
        <f t="shared" si="14"/>
        <v>Low</v>
      </c>
      <c r="V77" t="str">
        <f t="shared" si="15"/>
        <v>Low Risk</v>
      </c>
      <c r="W77" t="str">
        <f t="shared" si="16"/>
        <v>Mar</v>
      </c>
      <c r="X77">
        <f t="shared" si="17"/>
        <v>2025</v>
      </c>
    </row>
    <row r="78" spans="1:24" x14ac:dyDescent="0.35">
      <c r="A78" s="3">
        <v>45725</v>
      </c>
      <c r="B78" t="s">
        <v>195</v>
      </c>
      <c r="C78" t="s">
        <v>52</v>
      </c>
      <c r="D78" t="s">
        <v>196</v>
      </c>
      <c r="E78" t="s">
        <v>27</v>
      </c>
      <c r="F78" t="s">
        <v>41</v>
      </c>
      <c r="G78" t="s">
        <v>35</v>
      </c>
      <c r="H78">
        <v>32.700000000000003</v>
      </c>
      <c r="I78">
        <v>1490</v>
      </c>
      <c r="J78">
        <v>114</v>
      </c>
      <c r="K78">
        <v>13.9</v>
      </c>
      <c r="L78" t="s">
        <v>49</v>
      </c>
      <c r="M78">
        <v>15524.99</v>
      </c>
      <c r="N78">
        <v>27425</v>
      </c>
      <c r="O78" t="s">
        <v>50</v>
      </c>
      <c r="P78" t="str">
        <f t="shared" si="9"/>
        <v>Yes</v>
      </c>
      <c r="Q78">
        <f t="shared" si="10"/>
        <v>45.57</v>
      </c>
      <c r="R78">
        <f t="shared" si="11"/>
        <v>10.42</v>
      </c>
      <c r="S78">
        <f t="shared" si="12"/>
        <v>0.56999999999999995</v>
      </c>
      <c r="T78" t="str">
        <f t="shared" si="13"/>
        <v>Delayed</v>
      </c>
      <c r="U78" t="str">
        <f t="shared" si="14"/>
        <v>Low</v>
      </c>
      <c r="V78" t="str">
        <f t="shared" si="15"/>
        <v>High Risk</v>
      </c>
      <c r="W78" t="str">
        <f t="shared" si="16"/>
        <v>Mar</v>
      </c>
      <c r="X78">
        <f t="shared" si="17"/>
        <v>2025</v>
      </c>
    </row>
    <row r="79" spans="1:24" x14ac:dyDescent="0.35">
      <c r="A79" s="3">
        <v>45918</v>
      </c>
      <c r="B79" t="s">
        <v>127</v>
      </c>
      <c r="C79" t="s">
        <v>130</v>
      </c>
      <c r="D79" t="s">
        <v>197</v>
      </c>
      <c r="E79" t="s">
        <v>48</v>
      </c>
      <c r="F79" t="s">
        <v>54</v>
      </c>
      <c r="G79" t="s">
        <v>29</v>
      </c>
      <c r="H79">
        <v>52.2</v>
      </c>
      <c r="I79">
        <v>3811</v>
      </c>
      <c r="J79">
        <v>104</v>
      </c>
      <c r="K79">
        <v>14.8</v>
      </c>
      <c r="L79" t="s">
        <v>30</v>
      </c>
      <c r="M79">
        <v>28924.01</v>
      </c>
      <c r="N79">
        <v>20530</v>
      </c>
      <c r="O79" t="s">
        <v>91</v>
      </c>
      <c r="P79" t="str">
        <f t="shared" si="9"/>
        <v>Yes</v>
      </c>
      <c r="Q79">
        <f t="shared" si="10"/>
        <v>73.010000000000005</v>
      </c>
      <c r="R79">
        <f t="shared" si="11"/>
        <v>7.59</v>
      </c>
      <c r="S79">
        <f t="shared" si="12"/>
        <v>1.41</v>
      </c>
      <c r="T79" t="str">
        <f t="shared" si="13"/>
        <v>Delayed</v>
      </c>
      <c r="U79" t="str">
        <f t="shared" si="14"/>
        <v>Medium</v>
      </c>
      <c r="V79" t="str">
        <f t="shared" si="15"/>
        <v>Medium Risk</v>
      </c>
      <c r="W79" t="str">
        <f t="shared" si="16"/>
        <v>Sep</v>
      </c>
      <c r="X79">
        <f t="shared" si="17"/>
        <v>2025</v>
      </c>
    </row>
    <row r="80" spans="1:24" x14ac:dyDescent="0.35">
      <c r="A80" s="3">
        <v>45981</v>
      </c>
      <c r="B80" t="s">
        <v>111</v>
      </c>
      <c r="C80" t="s">
        <v>52</v>
      </c>
      <c r="D80" t="s">
        <v>198</v>
      </c>
      <c r="E80" t="s">
        <v>54</v>
      </c>
      <c r="F80" t="s">
        <v>27</v>
      </c>
      <c r="G80" t="s">
        <v>29</v>
      </c>
      <c r="H80">
        <v>66.900000000000006</v>
      </c>
      <c r="I80">
        <v>567</v>
      </c>
      <c r="J80">
        <v>32</v>
      </c>
      <c r="K80">
        <v>11.7</v>
      </c>
      <c r="L80" t="s">
        <v>30</v>
      </c>
      <c r="M80">
        <v>33180.86</v>
      </c>
      <c r="N80">
        <v>29802</v>
      </c>
      <c r="O80" t="s">
        <v>67</v>
      </c>
      <c r="P80" t="str">
        <f t="shared" si="9"/>
        <v>Yes</v>
      </c>
      <c r="Q80">
        <f t="shared" si="10"/>
        <v>8.48</v>
      </c>
      <c r="R80">
        <f t="shared" si="11"/>
        <v>58.52</v>
      </c>
      <c r="S80">
        <f t="shared" si="12"/>
        <v>1.1100000000000001</v>
      </c>
      <c r="T80" t="str">
        <f t="shared" si="13"/>
        <v>Delayed</v>
      </c>
      <c r="U80" t="str">
        <f t="shared" si="14"/>
        <v>High</v>
      </c>
      <c r="V80" t="str">
        <f t="shared" si="15"/>
        <v>Medium Risk</v>
      </c>
      <c r="W80" t="str">
        <f t="shared" si="16"/>
        <v>Nov</v>
      </c>
      <c r="X80">
        <f t="shared" si="17"/>
        <v>2025</v>
      </c>
    </row>
    <row r="81" spans="1:24" x14ac:dyDescent="0.35">
      <c r="A81" s="3">
        <v>45670</v>
      </c>
      <c r="B81" t="s">
        <v>199</v>
      </c>
      <c r="C81" t="s">
        <v>52</v>
      </c>
      <c r="D81" t="s">
        <v>200</v>
      </c>
      <c r="E81" t="s">
        <v>54</v>
      </c>
      <c r="F81" t="s">
        <v>48</v>
      </c>
      <c r="G81" t="s">
        <v>29</v>
      </c>
      <c r="H81">
        <v>32.6</v>
      </c>
      <c r="I81">
        <v>2569</v>
      </c>
      <c r="J81">
        <v>56</v>
      </c>
      <c r="K81">
        <v>15</v>
      </c>
      <c r="L81" t="s">
        <v>43</v>
      </c>
      <c r="M81">
        <v>22164.35</v>
      </c>
      <c r="N81">
        <v>28434</v>
      </c>
      <c r="O81" t="s">
        <v>67</v>
      </c>
      <c r="P81" t="str">
        <f t="shared" si="9"/>
        <v>Yes</v>
      </c>
      <c r="Q81">
        <f t="shared" si="10"/>
        <v>78.8</v>
      </c>
      <c r="R81">
        <f t="shared" si="11"/>
        <v>8.6300000000000008</v>
      </c>
      <c r="S81">
        <f t="shared" si="12"/>
        <v>0.78</v>
      </c>
      <c r="T81" t="str">
        <f t="shared" si="13"/>
        <v>Delayed</v>
      </c>
      <c r="U81" t="str">
        <f t="shared" si="14"/>
        <v>Low</v>
      </c>
      <c r="V81" t="str">
        <f t="shared" si="15"/>
        <v>Low Risk</v>
      </c>
      <c r="W81" t="str">
        <f t="shared" si="16"/>
        <v>Jan</v>
      </c>
      <c r="X81">
        <f t="shared" si="17"/>
        <v>2025</v>
      </c>
    </row>
    <row r="82" spans="1:24" x14ac:dyDescent="0.35">
      <c r="A82" s="3">
        <v>45968</v>
      </c>
      <c r="B82" t="s">
        <v>201</v>
      </c>
      <c r="C82" t="s">
        <v>69</v>
      </c>
      <c r="D82" t="s">
        <v>202</v>
      </c>
      <c r="E82" t="s">
        <v>55</v>
      </c>
      <c r="F82" t="s">
        <v>66</v>
      </c>
      <c r="G82" t="s">
        <v>42</v>
      </c>
      <c r="H82">
        <v>48.2</v>
      </c>
      <c r="I82">
        <v>2514</v>
      </c>
      <c r="J82">
        <v>69</v>
      </c>
      <c r="K82">
        <v>21.5</v>
      </c>
      <c r="L82" t="s">
        <v>30</v>
      </c>
      <c r="M82">
        <v>24470.52</v>
      </c>
      <c r="N82">
        <v>18756</v>
      </c>
      <c r="O82" t="s">
        <v>91</v>
      </c>
      <c r="P82" t="str">
        <f t="shared" si="9"/>
        <v>Yes</v>
      </c>
      <c r="Q82">
        <f t="shared" si="10"/>
        <v>52.16</v>
      </c>
      <c r="R82">
        <f t="shared" si="11"/>
        <v>9.73</v>
      </c>
      <c r="S82">
        <f t="shared" si="12"/>
        <v>1.3</v>
      </c>
      <c r="T82" t="str">
        <f t="shared" si="13"/>
        <v>Delayed</v>
      </c>
      <c r="U82" t="str">
        <f t="shared" si="14"/>
        <v>Medium</v>
      </c>
      <c r="V82" t="str">
        <f t="shared" si="15"/>
        <v>Medium Risk</v>
      </c>
      <c r="W82" t="str">
        <f t="shared" si="16"/>
        <v>Nov</v>
      </c>
      <c r="X82">
        <f t="shared" si="17"/>
        <v>2025</v>
      </c>
    </row>
    <row r="83" spans="1:24" x14ac:dyDescent="0.35">
      <c r="A83" s="3">
        <v>45795</v>
      </c>
      <c r="B83" t="s">
        <v>203</v>
      </c>
      <c r="C83" t="s">
        <v>39</v>
      </c>
      <c r="D83" t="s">
        <v>204</v>
      </c>
      <c r="E83" t="s">
        <v>66</v>
      </c>
      <c r="F83" t="s">
        <v>41</v>
      </c>
      <c r="G83" t="s">
        <v>35</v>
      </c>
      <c r="H83">
        <v>31.8</v>
      </c>
      <c r="I83">
        <v>2945</v>
      </c>
      <c r="J83">
        <v>30</v>
      </c>
      <c r="K83">
        <v>20.6</v>
      </c>
      <c r="L83" t="s">
        <v>30</v>
      </c>
      <c r="M83">
        <v>21700.84</v>
      </c>
      <c r="N83">
        <v>26073</v>
      </c>
      <c r="O83" t="s">
        <v>44</v>
      </c>
      <c r="P83" t="str">
        <f t="shared" si="9"/>
        <v>Yes</v>
      </c>
      <c r="Q83">
        <f t="shared" si="10"/>
        <v>92.61</v>
      </c>
      <c r="R83">
        <f t="shared" si="11"/>
        <v>7.37</v>
      </c>
      <c r="S83">
        <f t="shared" si="12"/>
        <v>0.83</v>
      </c>
      <c r="T83" t="str">
        <f t="shared" si="13"/>
        <v>Delayed</v>
      </c>
      <c r="U83" t="str">
        <f t="shared" si="14"/>
        <v>Low</v>
      </c>
      <c r="V83" t="str">
        <f t="shared" si="15"/>
        <v>Medium Risk</v>
      </c>
      <c r="W83" t="str">
        <f t="shared" si="16"/>
        <v>May</v>
      </c>
      <c r="X83">
        <f t="shared" si="17"/>
        <v>2025</v>
      </c>
    </row>
    <row r="84" spans="1:24" x14ac:dyDescent="0.35">
      <c r="A84" s="3">
        <v>45718</v>
      </c>
      <c r="B84" t="s">
        <v>64</v>
      </c>
      <c r="C84" t="s">
        <v>109</v>
      </c>
      <c r="D84" t="s">
        <v>205</v>
      </c>
      <c r="E84" t="s">
        <v>66</v>
      </c>
      <c r="F84" t="s">
        <v>63</v>
      </c>
      <c r="G84" t="s">
        <v>42</v>
      </c>
      <c r="H84">
        <v>31</v>
      </c>
      <c r="I84">
        <v>2983</v>
      </c>
      <c r="J84">
        <v>106</v>
      </c>
      <c r="K84">
        <v>10.199999999999999</v>
      </c>
      <c r="L84" t="s">
        <v>30</v>
      </c>
      <c r="M84">
        <v>21195.93</v>
      </c>
      <c r="N84">
        <v>5886</v>
      </c>
      <c r="O84" t="s">
        <v>31</v>
      </c>
      <c r="P84" t="str">
        <f t="shared" si="9"/>
        <v>Yes</v>
      </c>
      <c r="Q84">
        <f t="shared" si="10"/>
        <v>96.23</v>
      </c>
      <c r="R84">
        <f t="shared" si="11"/>
        <v>7.11</v>
      </c>
      <c r="S84">
        <f t="shared" si="12"/>
        <v>3.6</v>
      </c>
      <c r="T84" t="str">
        <f t="shared" si="13"/>
        <v>Delayed</v>
      </c>
      <c r="U84" t="str">
        <f t="shared" si="14"/>
        <v>Low</v>
      </c>
      <c r="V84" t="str">
        <f t="shared" si="15"/>
        <v>Medium Risk</v>
      </c>
      <c r="W84" t="str">
        <f t="shared" si="16"/>
        <v>Mar</v>
      </c>
      <c r="X84">
        <f t="shared" si="17"/>
        <v>2025</v>
      </c>
    </row>
    <row r="85" spans="1:24" x14ac:dyDescent="0.35">
      <c r="A85" s="3">
        <v>45832</v>
      </c>
      <c r="B85" t="s">
        <v>167</v>
      </c>
      <c r="C85" t="s">
        <v>39</v>
      </c>
      <c r="D85" t="s">
        <v>206</v>
      </c>
      <c r="E85" t="s">
        <v>27</v>
      </c>
      <c r="F85" t="s">
        <v>54</v>
      </c>
      <c r="G85" t="s">
        <v>35</v>
      </c>
      <c r="H85">
        <v>73</v>
      </c>
      <c r="I85">
        <v>3878</v>
      </c>
      <c r="J85">
        <v>80</v>
      </c>
      <c r="K85">
        <v>12.7</v>
      </c>
      <c r="L85" t="s">
        <v>43</v>
      </c>
      <c r="M85">
        <v>33449.480000000003</v>
      </c>
      <c r="N85">
        <v>8329</v>
      </c>
      <c r="O85" t="s">
        <v>50</v>
      </c>
      <c r="P85" t="str">
        <f t="shared" si="9"/>
        <v>Yes</v>
      </c>
      <c r="Q85">
        <f t="shared" si="10"/>
        <v>53.12</v>
      </c>
      <c r="R85">
        <f t="shared" si="11"/>
        <v>8.6300000000000008</v>
      </c>
      <c r="S85">
        <f t="shared" si="12"/>
        <v>4.0199999999999996</v>
      </c>
      <c r="T85" t="str">
        <f t="shared" si="13"/>
        <v>Delayed</v>
      </c>
      <c r="U85" t="str">
        <f t="shared" si="14"/>
        <v>High</v>
      </c>
      <c r="V85" t="str">
        <f t="shared" si="15"/>
        <v>Low Risk</v>
      </c>
      <c r="W85" t="str">
        <f t="shared" si="16"/>
        <v>Jun</v>
      </c>
      <c r="X85">
        <f t="shared" si="17"/>
        <v>2025</v>
      </c>
    </row>
    <row r="86" spans="1:24" x14ac:dyDescent="0.35">
      <c r="A86" s="3">
        <v>45876</v>
      </c>
      <c r="B86" t="s">
        <v>207</v>
      </c>
      <c r="C86" t="s">
        <v>39</v>
      </c>
      <c r="D86" t="s">
        <v>208</v>
      </c>
      <c r="E86" t="s">
        <v>55</v>
      </c>
      <c r="F86" t="s">
        <v>28</v>
      </c>
      <c r="G86" t="s">
        <v>42</v>
      </c>
      <c r="H86">
        <v>68.400000000000006</v>
      </c>
      <c r="I86">
        <v>668</v>
      </c>
      <c r="J86">
        <v>112</v>
      </c>
      <c r="K86">
        <v>14</v>
      </c>
      <c r="L86" t="s">
        <v>30</v>
      </c>
      <c r="M86">
        <v>46099.89</v>
      </c>
      <c r="N86">
        <v>13750</v>
      </c>
      <c r="O86" t="s">
        <v>91</v>
      </c>
      <c r="P86" t="str">
        <f t="shared" si="9"/>
        <v>Yes</v>
      </c>
      <c r="Q86">
        <f t="shared" si="10"/>
        <v>9.77</v>
      </c>
      <c r="R86">
        <f t="shared" si="11"/>
        <v>69.010000000000005</v>
      </c>
      <c r="S86">
        <f t="shared" si="12"/>
        <v>3.35</v>
      </c>
      <c r="T86" t="str">
        <f t="shared" si="13"/>
        <v>Delayed</v>
      </c>
      <c r="U86" t="str">
        <f t="shared" si="14"/>
        <v>High</v>
      </c>
      <c r="V86" t="str">
        <f t="shared" si="15"/>
        <v>Medium Risk</v>
      </c>
      <c r="W86" t="str">
        <f t="shared" si="16"/>
        <v>Aug</v>
      </c>
      <c r="X86">
        <f t="shared" si="17"/>
        <v>2025</v>
      </c>
    </row>
    <row r="87" spans="1:24" x14ac:dyDescent="0.35">
      <c r="A87" s="3">
        <v>45858</v>
      </c>
      <c r="B87" t="s">
        <v>108</v>
      </c>
      <c r="C87" t="s">
        <v>57</v>
      </c>
      <c r="D87" t="s">
        <v>209</v>
      </c>
      <c r="E87" t="s">
        <v>27</v>
      </c>
      <c r="F87" t="s">
        <v>28</v>
      </c>
      <c r="G87" t="s">
        <v>42</v>
      </c>
      <c r="H87">
        <v>55.7</v>
      </c>
      <c r="I87">
        <v>1550</v>
      </c>
      <c r="J87">
        <v>102</v>
      </c>
      <c r="K87">
        <v>14.4</v>
      </c>
      <c r="L87" t="s">
        <v>43</v>
      </c>
      <c r="M87">
        <v>25597.46</v>
      </c>
      <c r="N87">
        <v>5140</v>
      </c>
      <c r="O87" t="s">
        <v>50</v>
      </c>
      <c r="P87" t="str">
        <f t="shared" si="9"/>
        <v>Yes</v>
      </c>
      <c r="Q87">
        <f t="shared" si="10"/>
        <v>27.83</v>
      </c>
      <c r="R87">
        <f t="shared" si="11"/>
        <v>16.510000000000002</v>
      </c>
      <c r="S87">
        <f t="shared" si="12"/>
        <v>4.9800000000000004</v>
      </c>
      <c r="T87" t="str">
        <f t="shared" si="13"/>
        <v>Delayed</v>
      </c>
      <c r="U87" t="str">
        <f t="shared" si="14"/>
        <v>Medium</v>
      </c>
      <c r="V87" t="str">
        <f t="shared" si="15"/>
        <v>Low Risk</v>
      </c>
      <c r="W87" t="str">
        <f t="shared" si="16"/>
        <v>Jul</v>
      </c>
      <c r="X87">
        <f t="shared" si="17"/>
        <v>2025</v>
      </c>
    </row>
    <row r="88" spans="1:24" x14ac:dyDescent="0.35">
      <c r="A88" s="3">
        <v>45729</v>
      </c>
      <c r="B88" t="s">
        <v>210</v>
      </c>
      <c r="C88" t="s">
        <v>130</v>
      </c>
      <c r="D88" t="s">
        <v>211</v>
      </c>
      <c r="E88" t="s">
        <v>55</v>
      </c>
      <c r="F88" t="s">
        <v>63</v>
      </c>
      <c r="G88" t="s">
        <v>71</v>
      </c>
      <c r="H88">
        <v>51.2</v>
      </c>
      <c r="I88">
        <v>2055</v>
      </c>
      <c r="J88">
        <v>38</v>
      </c>
      <c r="K88">
        <v>17.600000000000001</v>
      </c>
      <c r="L88" t="s">
        <v>78</v>
      </c>
      <c r="M88">
        <v>33017.129999999997</v>
      </c>
      <c r="N88">
        <v>26447</v>
      </c>
      <c r="O88" t="s">
        <v>67</v>
      </c>
      <c r="P88" t="str">
        <f t="shared" si="9"/>
        <v>No</v>
      </c>
      <c r="Q88">
        <f t="shared" si="10"/>
        <v>40.14</v>
      </c>
      <c r="R88">
        <f t="shared" si="11"/>
        <v>16.07</v>
      </c>
      <c r="S88">
        <f t="shared" si="12"/>
        <v>1.25</v>
      </c>
      <c r="T88" t="str">
        <f t="shared" si="13"/>
        <v>On Time</v>
      </c>
      <c r="U88" t="str">
        <f t="shared" si="14"/>
        <v>Medium</v>
      </c>
      <c r="V88" t="str">
        <f t="shared" si="15"/>
        <v>Low Risk</v>
      </c>
      <c r="W88" t="str">
        <f t="shared" si="16"/>
        <v>Mar</v>
      </c>
      <c r="X88">
        <f t="shared" si="17"/>
        <v>2025</v>
      </c>
    </row>
    <row r="89" spans="1:24" x14ac:dyDescent="0.35">
      <c r="A89" s="3">
        <v>45764</v>
      </c>
      <c r="B89" t="s">
        <v>129</v>
      </c>
      <c r="C89" t="s">
        <v>52</v>
      </c>
      <c r="D89" t="s">
        <v>212</v>
      </c>
      <c r="E89" t="s">
        <v>54</v>
      </c>
      <c r="F89" t="s">
        <v>27</v>
      </c>
      <c r="G89" t="s">
        <v>29</v>
      </c>
      <c r="H89">
        <v>43.8</v>
      </c>
      <c r="I89">
        <v>3190</v>
      </c>
      <c r="J89">
        <v>25</v>
      </c>
      <c r="K89">
        <v>19.8</v>
      </c>
      <c r="L89" t="s">
        <v>78</v>
      </c>
      <c r="M89">
        <v>24750.080000000002</v>
      </c>
      <c r="N89">
        <v>13850</v>
      </c>
      <c r="O89" t="s">
        <v>67</v>
      </c>
      <c r="P89" t="str">
        <f t="shared" si="9"/>
        <v>No</v>
      </c>
      <c r="Q89">
        <f t="shared" si="10"/>
        <v>72.83</v>
      </c>
      <c r="R89">
        <f t="shared" si="11"/>
        <v>7.76</v>
      </c>
      <c r="S89">
        <f t="shared" si="12"/>
        <v>1.79</v>
      </c>
      <c r="T89" t="str">
        <f t="shared" si="13"/>
        <v>On Time</v>
      </c>
      <c r="U89" t="str">
        <f t="shared" si="14"/>
        <v>Medium</v>
      </c>
      <c r="V89" t="str">
        <f t="shared" si="15"/>
        <v>Low Risk</v>
      </c>
      <c r="W89" t="str">
        <f t="shared" si="16"/>
        <v>Apr</v>
      </c>
      <c r="X89">
        <f t="shared" si="17"/>
        <v>2025</v>
      </c>
    </row>
    <row r="90" spans="1:24" x14ac:dyDescent="0.35">
      <c r="A90" s="3">
        <v>45741</v>
      </c>
      <c r="B90" t="s">
        <v>73</v>
      </c>
      <c r="C90" t="s">
        <v>95</v>
      </c>
      <c r="D90" t="s">
        <v>213</v>
      </c>
      <c r="E90" t="s">
        <v>27</v>
      </c>
      <c r="F90" t="s">
        <v>28</v>
      </c>
      <c r="G90" t="s">
        <v>29</v>
      </c>
      <c r="H90">
        <v>52.1</v>
      </c>
      <c r="I90">
        <v>2689</v>
      </c>
      <c r="J90">
        <v>86</v>
      </c>
      <c r="K90">
        <v>11.8</v>
      </c>
      <c r="L90" t="s">
        <v>30</v>
      </c>
      <c r="M90">
        <v>28605.11</v>
      </c>
      <c r="N90">
        <v>13924</v>
      </c>
      <c r="O90" t="s">
        <v>31</v>
      </c>
      <c r="P90" t="str">
        <f t="shared" si="9"/>
        <v>Yes</v>
      </c>
      <c r="Q90">
        <f t="shared" si="10"/>
        <v>51.61</v>
      </c>
      <c r="R90">
        <f t="shared" si="11"/>
        <v>10.64</v>
      </c>
      <c r="S90">
        <f t="shared" si="12"/>
        <v>2.0499999999999998</v>
      </c>
      <c r="T90" t="str">
        <f t="shared" si="13"/>
        <v>Delayed</v>
      </c>
      <c r="U90" t="str">
        <f t="shared" si="14"/>
        <v>Medium</v>
      </c>
      <c r="V90" t="str">
        <f t="shared" si="15"/>
        <v>Medium Risk</v>
      </c>
      <c r="W90" t="str">
        <f t="shared" si="16"/>
        <v>Mar</v>
      </c>
      <c r="X90">
        <f t="shared" si="17"/>
        <v>2025</v>
      </c>
    </row>
    <row r="91" spans="1:24" x14ac:dyDescent="0.35">
      <c r="A91" s="3">
        <v>45899</v>
      </c>
      <c r="B91" t="s">
        <v>214</v>
      </c>
      <c r="C91" t="s">
        <v>69</v>
      </c>
      <c r="D91" t="s">
        <v>215</v>
      </c>
      <c r="E91" t="s">
        <v>55</v>
      </c>
      <c r="F91" t="s">
        <v>41</v>
      </c>
      <c r="G91" t="s">
        <v>42</v>
      </c>
      <c r="H91">
        <v>62.1</v>
      </c>
      <c r="I91">
        <v>4505</v>
      </c>
      <c r="J91">
        <v>62</v>
      </c>
      <c r="K91">
        <v>17.399999999999999</v>
      </c>
      <c r="L91" t="s">
        <v>78</v>
      </c>
      <c r="M91">
        <v>30350.32</v>
      </c>
      <c r="N91">
        <v>5692</v>
      </c>
      <c r="O91" t="s">
        <v>59</v>
      </c>
      <c r="P91" t="str">
        <f t="shared" si="9"/>
        <v>No</v>
      </c>
      <c r="Q91">
        <f t="shared" si="10"/>
        <v>72.540000000000006</v>
      </c>
      <c r="R91">
        <f t="shared" si="11"/>
        <v>6.74</v>
      </c>
      <c r="S91">
        <f t="shared" si="12"/>
        <v>5.33</v>
      </c>
      <c r="T91" t="str">
        <f t="shared" si="13"/>
        <v>On Time</v>
      </c>
      <c r="U91" t="str">
        <f t="shared" si="14"/>
        <v>High</v>
      </c>
      <c r="V91" t="str">
        <f t="shared" si="15"/>
        <v>Low Risk</v>
      </c>
      <c r="W91" t="str">
        <f t="shared" si="16"/>
        <v>Aug</v>
      </c>
      <c r="X91">
        <f t="shared" si="17"/>
        <v>2025</v>
      </c>
    </row>
    <row r="92" spans="1:24" x14ac:dyDescent="0.35">
      <c r="A92" s="3">
        <v>45995</v>
      </c>
      <c r="B92" t="s">
        <v>113</v>
      </c>
      <c r="C92" t="s">
        <v>25</v>
      </c>
      <c r="D92" t="s">
        <v>216</v>
      </c>
      <c r="E92" t="s">
        <v>66</v>
      </c>
      <c r="F92" t="s">
        <v>54</v>
      </c>
      <c r="G92" t="s">
        <v>29</v>
      </c>
      <c r="H92">
        <v>38</v>
      </c>
      <c r="I92">
        <v>3112</v>
      </c>
      <c r="J92">
        <v>114</v>
      </c>
      <c r="K92">
        <v>12.9</v>
      </c>
      <c r="L92" t="s">
        <v>30</v>
      </c>
      <c r="M92">
        <v>23133.08</v>
      </c>
      <c r="N92">
        <v>17331</v>
      </c>
      <c r="O92" t="s">
        <v>67</v>
      </c>
      <c r="P92" t="str">
        <f t="shared" si="9"/>
        <v>Yes</v>
      </c>
      <c r="Q92">
        <f t="shared" si="10"/>
        <v>81.89</v>
      </c>
      <c r="R92">
        <f t="shared" si="11"/>
        <v>7.43</v>
      </c>
      <c r="S92">
        <f t="shared" si="12"/>
        <v>1.33</v>
      </c>
      <c r="T92" t="str">
        <f t="shared" si="13"/>
        <v>Delayed</v>
      </c>
      <c r="U92" t="str">
        <f t="shared" si="14"/>
        <v>Low</v>
      </c>
      <c r="V92" t="str">
        <f t="shared" si="15"/>
        <v>Medium Risk</v>
      </c>
      <c r="W92" t="str">
        <f t="shared" si="16"/>
        <v>Dec</v>
      </c>
      <c r="X92">
        <f t="shared" si="17"/>
        <v>2025</v>
      </c>
    </row>
    <row r="93" spans="1:24" x14ac:dyDescent="0.35">
      <c r="A93" s="3">
        <v>45949</v>
      </c>
      <c r="B93" t="s">
        <v>217</v>
      </c>
      <c r="C93" t="s">
        <v>39</v>
      </c>
      <c r="D93" t="s">
        <v>218</v>
      </c>
      <c r="E93" t="s">
        <v>54</v>
      </c>
      <c r="F93" t="s">
        <v>28</v>
      </c>
      <c r="G93" t="s">
        <v>71</v>
      </c>
      <c r="H93">
        <v>60.2</v>
      </c>
      <c r="I93">
        <v>4085</v>
      </c>
      <c r="J93">
        <v>53</v>
      </c>
      <c r="K93">
        <v>21</v>
      </c>
      <c r="L93" t="s">
        <v>43</v>
      </c>
      <c r="M93">
        <v>39991.050000000003</v>
      </c>
      <c r="N93">
        <v>6814</v>
      </c>
      <c r="O93" t="s">
        <v>44</v>
      </c>
      <c r="P93" t="str">
        <f t="shared" si="9"/>
        <v>Yes</v>
      </c>
      <c r="Q93">
        <f t="shared" si="10"/>
        <v>67.86</v>
      </c>
      <c r="R93">
        <f t="shared" si="11"/>
        <v>9.7899999999999991</v>
      </c>
      <c r="S93">
        <f t="shared" si="12"/>
        <v>5.87</v>
      </c>
      <c r="T93" t="str">
        <f t="shared" si="13"/>
        <v>Delayed</v>
      </c>
      <c r="U93" t="str">
        <f t="shared" si="14"/>
        <v>High</v>
      </c>
      <c r="V93" t="str">
        <f t="shared" si="15"/>
        <v>Low Risk</v>
      </c>
      <c r="W93" t="str">
        <f t="shared" si="16"/>
        <v>Oct</v>
      </c>
      <c r="X93">
        <f t="shared" si="17"/>
        <v>2025</v>
      </c>
    </row>
    <row r="94" spans="1:24" x14ac:dyDescent="0.35">
      <c r="A94" s="3">
        <v>45873</v>
      </c>
      <c r="B94" t="s">
        <v>127</v>
      </c>
      <c r="C94" t="s">
        <v>130</v>
      </c>
      <c r="D94" t="s">
        <v>219</v>
      </c>
      <c r="E94" t="s">
        <v>28</v>
      </c>
      <c r="F94" t="s">
        <v>54</v>
      </c>
      <c r="G94" t="s">
        <v>42</v>
      </c>
      <c r="H94">
        <v>57.7</v>
      </c>
      <c r="I94">
        <v>1526</v>
      </c>
      <c r="J94">
        <v>66</v>
      </c>
      <c r="K94">
        <v>15.8</v>
      </c>
      <c r="L94" t="s">
        <v>43</v>
      </c>
      <c r="M94">
        <v>37055.769999999997</v>
      </c>
      <c r="N94">
        <v>22273</v>
      </c>
      <c r="O94" t="s">
        <v>44</v>
      </c>
      <c r="P94" t="str">
        <f t="shared" si="9"/>
        <v>Yes</v>
      </c>
      <c r="Q94">
        <f t="shared" si="10"/>
        <v>26.45</v>
      </c>
      <c r="R94">
        <f t="shared" si="11"/>
        <v>24.28</v>
      </c>
      <c r="S94">
        <f t="shared" si="12"/>
        <v>1.66</v>
      </c>
      <c r="T94" t="str">
        <f t="shared" si="13"/>
        <v>Delayed</v>
      </c>
      <c r="U94" t="str">
        <f t="shared" si="14"/>
        <v>Medium</v>
      </c>
      <c r="V94" t="str">
        <f t="shared" si="15"/>
        <v>Low Risk</v>
      </c>
      <c r="W94" t="str">
        <f t="shared" si="16"/>
        <v>Aug</v>
      </c>
      <c r="X94">
        <f t="shared" si="17"/>
        <v>2025</v>
      </c>
    </row>
    <row r="95" spans="1:24" x14ac:dyDescent="0.35">
      <c r="A95" s="3">
        <v>45873</v>
      </c>
      <c r="B95" t="s">
        <v>87</v>
      </c>
      <c r="C95" t="s">
        <v>109</v>
      </c>
      <c r="D95" t="s">
        <v>220</v>
      </c>
      <c r="E95" t="s">
        <v>28</v>
      </c>
      <c r="F95" t="s">
        <v>54</v>
      </c>
      <c r="G95" t="s">
        <v>42</v>
      </c>
      <c r="H95">
        <v>39.799999999999997</v>
      </c>
      <c r="I95">
        <v>3787</v>
      </c>
      <c r="J95">
        <v>102</v>
      </c>
      <c r="K95">
        <v>13.3</v>
      </c>
      <c r="L95" t="s">
        <v>30</v>
      </c>
      <c r="M95">
        <v>22818.39</v>
      </c>
      <c r="N95">
        <v>20282</v>
      </c>
      <c r="O95" t="s">
        <v>67</v>
      </c>
      <c r="P95" t="str">
        <f t="shared" si="9"/>
        <v>Yes</v>
      </c>
      <c r="Q95">
        <f t="shared" si="10"/>
        <v>95.15</v>
      </c>
      <c r="R95">
        <f t="shared" si="11"/>
        <v>6.03</v>
      </c>
      <c r="S95">
        <f t="shared" si="12"/>
        <v>1.1299999999999999</v>
      </c>
      <c r="T95" t="str">
        <f t="shared" si="13"/>
        <v>Delayed</v>
      </c>
      <c r="U95" t="str">
        <f t="shared" si="14"/>
        <v>Low</v>
      </c>
      <c r="V95" t="str">
        <f t="shared" si="15"/>
        <v>Medium Risk</v>
      </c>
      <c r="W95" t="str">
        <f t="shared" si="16"/>
        <v>Aug</v>
      </c>
      <c r="X95">
        <f t="shared" si="17"/>
        <v>2025</v>
      </c>
    </row>
    <row r="96" spans="1:24" x14ac:dyDescent="0.35">
      <c r="A96" s="3">
        <v>45917</v>
      </c>
      <c r="B96" t="s">
        <v>221</v>
      </c>
      <c r="C96" t="s">
        <v>57</v>
      </c>
      <c r="D96" t="s">
        <v>222</v>
      </c>
      <c r="E96" t="s">
        <v>48</v>
      </c>
      <c r="F96" t="s">
        <v>66</v>
      </c>
      <c r="G96" t="s">
        <v>29</v>
      </c>
      <c r="H96">
        <v>27.8</v>
      </c>
      <c r="I96">
        <v>4822</v>
      </c>
      <c r="J96">
        <v>116</v>
      </c>
      <c r="K96">
        <v>18.7</v>
      </c>
      <c r="L96" t="s">
        <v>43</v>
      </c>
      <c r="M96">
        <v>16156.49</v>
      </c>
      <c r="N96">
        <v>12433</v>
      </c>
      <c r="O96" t="s">
        <v>50</v>
      </c>
      <c r="P96" t="str">
        <f t="shared" si="9"/>
        <v>Yes</v>
      </c>
      <c r="Q96">
        <f t="shared" si="10"/>
        <v>173.45</v>
      </c>
      <c r="R96">
        <f t="shared" si="11"/>
        <v>3.35</v>
      </c>
      <c r="S96">
        <f t="shared" si="12"/>
        <v>1.3</v>
      </c>
      <c r="T96" t="str">
        <f t="shared" si="13"/>
        <v>Delayed</v>
      </c>
      <c r="U96" t="str">
        <f t="shared" si="14"/>
        <v>Low</v>
      </c>
      <c r="V96" t="str">
        <f t="shared" si="15"/>
        <v>Low Risk</v>
      </c>
      <c r="W96" t="str">
        <f t="shared" si="16"/>
        <v>Sep</v>
      </c>
      <c r="X96">
        <f t="shared" si="17"/>
        <v>2025</v>
      </c>
    </row>
    <row r="97" spans="1:24" x14ac:dyDescent="0.35">
      <c r="A97" s="3">
        <v>45954</v>
      </c>
      <c r="B97" t="s">
        <v>223</v>
      </c>
      <c r="C97" t="s">
        <v>25</v>
      </c>
      <c r="D97" t="s">
        <v>224</v>
      </c>
      <c r="E97" t="s">
        <v>66</v>
      </c>
      <c r="F97" t="s">
        <v>48</v>
      </c>
      <c r="G97" t="s">
        <v>71</v>
      </c>
      <c r="H97">
        <v>33.5</v>
      </c>
      <c r="I97">
        <v>904</v>
      </c>
      <c r="J97">
        <v>101</v>
      </c>
      <c r="K97">
        <v>14.7</v>
      </c>
      <c r="L97" t="s">
        <v>49</v>
      </c>
      <c r="M97">
        <v>21466.47</v>
      </c>
      <c r="N97">
        <v>13551</v>
      </c>
      <c r="O97" t="s">
        <v>50</v>
      </c>
      <c r="P97" t="str">
        <f t="shared" si="9"/>
        <v>Yes</v>
      </c>
      <c r="Q97">
        <f t="shared" si="10"/>
        <v>26.99</v>
      </c>
      <c r="R97">
        <f t="shared" si="11"/>
        <v>23.75</v>
      </c>
      <c r="S97">
        <f t="shared" si="12"/>
        <v>1.58</v>
      </c>
      <c r="T97" t="str">
        <f t="shared" si="13"/>
        <v>Delayed</v>
      </c>
      <c r="U97" t="str">
        <f t="shared" si="14"/>
        <v>Low</v>
      </c>
      <c r="V97" t="str">
        <f t="shared" si="15"/>
        <v>High Risk</v>
      </c>
      <c r="W97" t="str">
        <f t="shared" si="16"/>
        <v>Oct</v>
      </c>
      <c r="X97">
        <f t="shared" si="17"/>
        <v>2025</v>
      </c>
    </row>
    <row r="98" spans="1:24" x14ac:dyDescent="0.35">
      <c r="A98" s="3">
        <v>45779</v>
      </c>
      <c r="B98" t="s">
        <v>190</v>
      </c>
      <c r="C98" t="s">
        <v>95</v>
      </c>
      <c r="D98" t="s">
        <v>225</v>
      </c>
      <c r="E98" t="s">
        <v>66</v>
      </c>
      <c r="F98" t="s">
        <v>54</v>
      </c>
      <c r="G98" t="s">
        <v>42</v>
      </c>
      <c r="H98">
        <v>57.7</v>
      </c>
      <c r="I98">
        <v>1575</v>
      </c>
      <c r="J98">
        <v>63</v>
      </c>
      <c r="K98">
        <v>19.2</v>
      </c>
      <c r="L98" t="s">
        <v>43</v>
      </c>
      <c r="M98">
        <v>31484.95</v>
      </c>
      <c r="N98">
        <v>19832</v>
      </c>
      <c r="O98" t="s">
        <v>31</v>
      </c>
      <c r="P98" t="str">
        <f t="shared" si="9"/>
        <v>Yes</v>
      </c>
      <c r="Q98">
        <f t="shared" si="10"/>
        <v>27.3</v>
      </c>
      <c r="R98">
        <f t="shared" si="11"/>
        <v>19.989999999999998</v>
      </c>
      <c r="S98">
        <f t="shared" si="12"/>
        <v>1.59</v>
      </c>
      <c r="T98" t="str">
        <f t="shared" si="13"/>
        <v>Delayed</v>
      </c>
      <c r="U98" t="str">
        <f t="shared" si="14"/>
        <v>Medium</v>
      </c>
      <c r="V98" t="str">
        <f t="shared" si="15"/>
        <v>Low Risk</v>
      </c>
      <c r="W98" t="str">
        <f t="shared" si="16"/>
        <v>May</v>
      </c>
      <c r="X98">
        <f t="shared" si="17"/>
        <v>2025</v>
      </c>
    </row>
    <row r="99" spans="1:24" x14ac:dyDescent="0.35">
      <c r="A99" s="3">
        <v>45834</v>
      </c>
      <c r="B99" t="s">
        <v>188</v>
      </c>
      <c r="C99" t="s">
        <v>130</v>
      </c>
      <c r="D99" t="s">
        <v>226</v>
      </c>
      <c r="E99" t="s">
        <v>63</v>
      </c>
      <c r="F99" t="s">
        <v>28</v>
      </c>
      <c r="G99" t="s">
        <v>35</v>
      </c>
      <c r="H99">
        <v>43.9</v>
      </c>
      <c r="I99">
        <v>2070</v>
      </c>
      <c r="J99">
        <v>88</v>
      </c>
      <c r="K99">
        <v>11.5</v>
      </c>
      <c r="L99" t="s">
        <v>43</v>
      </c>
      <c r="M99">
        <v>20830.400000000001</v>
      </c>
      <c r="N99">
        <v>23774</v>
      </c>
      <c r="O99" t="s">
        <v>44</v>
      </c>
      <c r="P99" t="str">
        <f t="shared" si="9"/>
        <v>Yes</v>
      </c>
      <c r="Q99">
        <f t="shared" si="10"/>
        <v>47.15</v>
      </c>
      <c r="R99">
        <f t="shared" si="11"/>
        <v>10.06</v>
      </c>
      <c r="S99">
        <f t="shared" si="12"/>
        <v>0.88</v>
      </c>
      <c r="T99" t="str">
        <f t="shared" si="13"/>
        <v>Delayed</v>
      </c>
      <c r="U99" t="str">
        <f t="shared" si="14"/>
        <v>Medium</v>
      </c>
      <c r="V99" t="str">
        <f t="shared" si="15"/>
        <v>Low Risk</v>
      </c>
      <c r="W99" t="str">
        <f t="shared" si="16"/>
        <v>Jun</v>
      </c>
      <c r="X99">
        <f t="shared" si="17"/>
        <v>2025</v>
      </c>
    </row>
    <row r="100" spans="1:24" x14ac:dyDescent="0.35">
      <c r="A100" s="3">
        <v>45662</v>
      </c>
      <c r="B100" t="s">
        <v>154</v>
      </c>
      <c r="C100" t="s">
        <v>130</v>
      </c>
      <c r="D100" t="s">
        <v>227</v>
      </c>
      <c r="E100" t="s">
        <v>54</v>
      </c>
      <c r="F100" t="s">
        <v>41</v>
      </c>
      <c r="G100" t="s">
        <v>71</v>
      </c>
      <c r="H100">
        <v>45.5</v>
      </c>
      <c r="I100">
        <v>4413</v>
      </c>
      <c r="J100">
        <v>86</v>
      </c>
      <c r="K100">
        <v>18.600000000000001</v>
      </c>
      <c r="L100" t="s">
        <v>43</v>
      </c>
      <c r="M100">
        <v>25415.15</v>
      </c>
      <c r="N100">
        <v>23498</v>
      </c>
      <c r="O100" t="s">
        <v>59</v>
      </c>
      <c r="P100" t="str">
        <f t="shared" si="9"/>
        <v>Yes</v>
      </c>
      <c r="Q100">
        <f t="shared" si="10"/>
        <v>96.99</v>
      </c>
      <c r="R100">
        <f t="shared" si="11"/>
        <v>5.76</v>
      </c>
      <c r="S100">
        <f t="shared" si="12"/>
        <v>1.08</v>
      </c>
      <c r="T100" t="str">
        <f t="shared" si="13"/>
        <v>Delayed</v>
      </c>
      <c r="U100" t="str">
        <f t="shared" si="14"/>
        <v>Medium</v>
      </c>
      <c r="V100" t="str">
        <f t="shared" si="15"/>
        <v>Low Risk</v>
      </c>
      <c r="W100" t="str">
        <f t="shared" si="16"/>
        <v>Jan</v>
      </c>
      <c r="X100">
        <f t="shared" si="17"/>
        <v>2025</v>
      </c>
    </row>
    <row r="101" spans="1:24" x14ac:dyDescent="0.35">
      <c r="A101" s="3">
        <v>45912</v>
      </c>
      <c r="B101" t="s">
        <v>118</v>
      </c>
      <c r="C101" t="s">
        <v>109</v>
      </c>
      <c r="D101" t="s">
        <v>228</v>
      </c>
      <c r="E101" t="s">
        <v>27</v>
      </c>
      <c r="F101" t="s">
        <v>48</v>
      </c>
      <c r="G101" t="s">
        <v>29</v>
      </c>
      <c r="H101">
        <v>43.2</v>
      </c>
      <c r="I101">
        <v>4562</v>
      </c>
      <c r="J101">
        <v>36</v>
      </c>
      <c r="K101">
        <v>20.7</v>
      </c>
      <c r="L101" t="s">
        <v>43</v>
      </c>
      <c r="M101">
        <v>28408.97</v>
      </c>
      <c r="N101">
        <v>12051</v>
      </c>
      <c r="O101" t="s">
        <v>31</v>
      </c>
      <c r="P101" t="str">
        <f t="shared" si="9"/>
        <v>Yes</v>
      </c>
      <c r="Q101">
        <f t="shared" si="10"/>
        <v>105.6</v>
      </c>
      <c r="R101">
        <f t="shared" si="11"/>
        <v>6.23</v>
      </c>
      <c r="S101">
        <f t="shared" si="12"/>
        <v>2.36</v>
      </c>
      <c r="T101" t="str">
        <f t="shared" si="13"/>
        <v>Delayed</v>
      </c>
      <c r="U101" t="str">
        <f t="shared" si="14"/>
        <v>Medium</v>
      </c>
      <c r="V101" t="str">
        <f t="shared" si="15"/>
        <v>Low Risk</v>
      </c>
      <c r="W101" t="str">
        <f t="shared" si="16"/>
        <v>Sep</v>
      </c>
      <c r="X101">
        <f t="shared" si="17"/>
        <v>2025</v>
      </c>
    </row>
    <row r="102" spans="1:24" x14ac:dyDescent="0.35">
      <c r="A102" s="3">
        <v>45782</v>
      </c>
      <c r="B102" t="s">
        <v>125</v>
      </c>
      <c r="C102" t="s">
        <v>109</v>
      </c>
      <c r="D102" t="s">
        <v>229</v>
      </c>
      <c r="E102" t="s">
        <v>54</v>
      </c>
      <c r="F102" t="s">
        <v>66</v>
      </c>
      <c r="G102" t="s">
        <v>35</v>
      </c>
      <c r="H102">
        <v>22</v>
      </c>
      <c r="I102">
        <v>4222</v>
      </c>
      <c r="J102">
        <v>54</v>
      </c>
      <c r="K102">
        <v>14.3</v>
      </c>
      <c r="L102" t="s">
        <v>78</v>
      </c>
      <c r="M102">
        <v>11619.13</v>
      </c>
      <c r="N102">
        <v>23925</v>
      </c>
      <c r="O102" t="s">
        <v>84</v>
      </c>
      <c r="P102" t="str">
        <f t="shared" si="9"/>
        <v>No</v>
      </c>
      <c r="Q102">
        <f t="shared" si="10"/>
        <v>191.91</v>
      </c>
      <c r="R102">
        <f t="shared" si="11"/>
        <v>2.75</v>
      </c>
      <c r="S102">
        <f t="shared" si="12"/>
        <v>0.49</v>
      </c>
      <c r="T102" t="str">
        <f t="shared" si="13"/>
        <v>On Time</v>
      </c>
      <c r="U102" t="str">
        <f t="shared" si="14"/>
        <v>Low</v>
      </c>
      <c r="V102" t="str">
        <f t="shared" si="15"/>
        <v>Low Risk</v>
      </c>
      <c r="W102" t="str">
        <f t="shared" si="16"/>
        <v>May</v>
      </c>
      <c r="X102">
        <f t="shared" si="17"/>
        <v>2025</v>
      </c>
    </row>
    <row r="103" spans="1:24" x14ac:dyDescent="0.35">
      <c r="A103" s="3">
        <v>45819</v>
      </c>
      <c r="B103" t="s">
        <v>133</v>
      </c>
      <c r="C103" t="s">
        <v>39</v>
      </c>
      <c r="D103" t="s">
        <v>230</v>
      </c>
      <c r="E103" t="s">
        <v>55</v>
      </c>
      <c r="F103" t="s">
        <v>27</v>
      </c>
      <c r="G103" t="s">
        <v>29</v>
      </c>
      <c r="H103">
        <v>25.4</v>
      </c>
      <c r="I103">
        <v>1911</v>
      </c>
      <c r="J103">
        <v>108</v>
      </c>
      <c r="K103">
        <v>18.600000000000001</v>
      </c>
      <c r="L103" t="s">
        <v>30</v>
      </c>
      <c r="M103">
        <v>16156</v>
      </c>
      <c r="N103">
        <v>11710</v>
      </c>
      <c r="O103" t="s">
        <v>67</v>
      </c>
      <c r="P103" t="str">
        <f t="shared" si="9"/>
        <v>Yes</v>
      </c>
      <c r="Q103">
        <f t="shared" si="10"/>
        <v>75.239999999999995</v>
      </c>
      <c r="R103">
        <f t="shared" si="11"/>
        <v>8.4499999999999993</v>
      </c>
      <c r="S103">
        <f t="shared" si="12"/>
        <v>1.38</v>
      </c>
      <c r="T103" t="str">
        <f t="shared" si="13"/>
        <v>Delayed</v>
      </c>
      <c r="U103" t="str">
        <f t="shared" si="14"/>
        <v>Low</v>
      </c>
      <c r="V103" t="str">
        <f t="shared" si="15"/>
        <v>Medium Risk</v>
      </c>
      <c r="W103" t="str">
        <f t="shared" si="16"/>
        <v>Jun</v>
      </c>
      <c r="X103">
        <f t="shared" si="17"/>
        <v>2025</v>
      </c>
    </row>
    <row r="104" spans="1:24" x14ac:dyDescent="0.35">
      <c r="A104" s="3">
        <v>45878</v>
      </c>
      <c r="B104" t="s">
        <v>157</v>
      </c>
      <c r="C104" t="s">
        <v>25</v>
      </c>
      <c r="D104" t="s">
        <v>231</v>
      </c>
      <c r="E104" t="s">
        <v>41</v>
      </c>
      <c r="F104" t="s">
        <v>55</v>
      </c>
      <c r="G104" t="s">
        <v>29</v>
      </c>
      <c r="H104">
        <v>40.299999999999997</v>
      </c>
      <c r="I104">
        <v>1930</v>
      </c>
      <c r="J104">
        <v>100</v>
      </c>
      <c r="K104">
        <v>20.9</v>
      </c>
      <c r="L104" t="s">
        <v>78</v>
      </c>
      <c r="M104">
        <v>25446.31</v>
      </c>
      <c r="N104">
        <v>7206</v>
      </c>
      <c r="O104" t="s">
        <v>91</v>
      </c>
      <c r="P104" t="str">
        <f t="shared" si="9"/>
        <v>No</v>
      </c>
      <c r="Q104">
        <f t="shared" si="10"/>
        <v>47.89</v>
      </c>
      <c r="R104">
        <f t="shared" si="11"/>
        <v>13.18</v>
      </c>
      <c r="S104">
        <f t="shared" si="12"/>
        <v>3.53</v>
      </c>
      <c r="T104" t="str">
        <f t="shared" si="13"/>
        <v>On Time</v>
      </c>
      <c r="U104" t="str">
        <f t="shared" si="14"/>
        <v>Medium</v>
      </c>
      <c r="V104" t="str">
        <f t="shared" si="15"/>
        <v>Low Risk</v>
      </c>
      <c r="W104" t="str">
        <f t="shared" si="16"/>
        <v>Aug</v>
      </c>
      <c r="X104">
        <f t="shared" si="17"/>
        <v>2025</v>
      </c>
    </row>
    <row r="105" spans="1:24" x14ac:dyDescent="0.35">
      <c r="A105" s="3">
        <v>45664</v>
      </c>
      <c r="B105" t="s">
        <v>167</v>
      </c>
      <c r="C105" t="s">
        <v>69</v>
      </c>
      <c r="D105" t="s">
        <v>232</v>
      </c>
      <c r="E105" t="s">
        <v>63</v>
      </c>
      <c r="F105" t="s">
        <v>55</v>
      </c>
      <c r="G105" t="s">
        <v>42</v>
      </c>
      <c r="H105">
        <v>78.5</v>
      </c>
      <c r="I105">
        <v>2169</v>
      </c>
      <c r="J105">
        <v>54</v>
      </c>
      <c r="K105">
        <v>11.2</v>
      </c>
      <c r="L105" t="s">
        <v>43</v>
      </c>
      <c r="M105">
        <v>40028.269999999997</v>
      </c>
      <c r="N105">
        <v>16786</v>
      </c>
      <c r="O105" t="s">
        <v>44</v>
      </c>
      <c r="P105" t="str">
        <f t="shared" si="9"/>
        <v>Yes</v>
      </c>
      <c r="Q105">
        <f t="shared" si="10"/>
        <v>27.63</v>
      </c>
      <c r="R105">
        <f t="shared" si="11"/>
        <v>18.45</v>
      </c>
      <c r="S105">
        <f t="shared" si="12"/>
        <v>2.38</v>
      </c>
      <c r="T105" t="str">
        <f t="shared" si="13"/>
        <v>Delayed</v>
      </c>
      <c r="U105" t="str">
        <f t="shared" si="14"/>
        <v>High</v>
      </c>
      <c r="V105" t="str">
        <f t="shared" si="15"/>
        <v>Low Risk</v>
      </c>
      <c r="W105" t="str">
        <f t="shared" si="16"/>
        <v>Jan</v>
      </c>
      <c r="X105">
        <f t="shared" si="17"/>
        <v>2025</v>
      </c>
    </row>
    <row r="106" spans="1:24" x14ac:dyDescent="0.35">
      <c r="A106" s="3">
        <v>45973</v>
      </c>
      <c r="B106" t="s">
        <v>233</v>
      </c>
      <c r="C106" t="s">
        <v>109</v>
      </c>
      <c r="D106" t="s">
        <v>234</v>
      </c>
      <c r="E106" t="s">
        <v>28</v>
      </c>
      <c r="F106" t="s">
        <v>41</v>
      </c>
      <c r="G106" t="s">
        <v>35</v>
      </c>
      <c r="H106">
        <v>77.599999999999994</v>
      </c>
      <c r="I106">
        <v>2040</v>
      </c>
      <c r="J106">
        <v>94</v>
      </c>
      <c r="K106">
        <v>11.5</v>
      </c>
      <c r="L106" t="s">
        <v>78</v>
      </c>
      <c r="M106">
        <v>41650.93</v>
      </c>
      <c r="N106">
        <v>24545</v>
      </c>
      <c r="O106" t="s">
        <v>67</v>
      </c>
      <c r="P106" t="str">
        <f t="shared" si="9"/>
        <v>No</v>
      </c>
      <c r="Q106">
        <f t="shared" si="10"/>
        <v>26.29</v>
      </c>
      <c r="R106">
        <f t="shared" si="11"/>
        <v>20.420000000000002</v>
      </c>
      <c r="S106">
        <f t="shared" si="12"/>
        <v>1.7</v>
      </c>
      <c r="T106" t="str">
        <f t="shared" si="13"/>
        <v>On Time</v>
      </c>
      <c r="U106" t="str">
        <f t="shared" si="14"/>
        <v>High</v>
      </c>
      <c r="V106" t="str">
        <f t="shared" si="15"/>
        <v>Low Risk</v>
      </c>
      <c r="W106" t="str">
        <f t="shared" si="16"/>
        <v>Nov</v>
      </c>
      <c r="X106">
        <f t="shared" si="17"/>
        <v>2025</v>
      </c>
    </row>
    <row r="107" spans="1:24" x14ac:dyDescent="0.35">
      <c r="A107" s="3">
        <v>45815</v>
      </c>
      <c r="B107" t="s">
        <v>98</v>
      </c>
      <c r="C107" t="s">
        <v>52</v>
      </c>
      <c r="D107" t="s">
        <v>235</v>
      </c>
      <c r="E107" t="s">
        <v>28</v>
      </c>
      <c r="F107" t="s">
        <v>41</v>
      </c>
      <c r="G107" t="s">
        <v>71</v>
      </c>
      <c r="H107">
        <v>79.5</v>
      </c>
      <c r="I107">
        <v>4003</v>
      </c>
      <c r="J107">
        <v>36</v>
      </c>
      <c r="K107">
        <v>19.5</v>
      </c>
      <c r="L107" t="s">
        <v>30</v>
      </c>
      <c r="M107">
        <v>51905.66</v>
      </c>
      <c r="N107">
        <v>17880</v>
      </c>
      <c r="O107" t="s">
        <v>36</v>
      </c>
      <c r="P107" t="str">
        <f t="shared" si="9"/>
        <v>Yes</v>
      </c>
      <c r="Q107">
        <f t="shared" si="10"/>
        <v>50.35</v>
      </c>
      <c r="R107">
        <f t="shared" si="11"/>
        <v>12.97</v>
      </c>
      <c r="S107">
        <f t="shared" si="12"/>
        <v>2.9</v>
      </c>
      <c r="T107" t="str">
        <f t="shared" si="13"/>
        <v>Delayed</v>
      </c>
      <c r="U107" t="str">
        <f t="shared" si="14"/>
        <v>High</v>
      </c>
      <c r="V107" t="str">
        <f t="shared" si="15"/>
        <v>Medium Risk</v>
      </c>
      <c r="W107" t="str">
        <f t="shared" si="16"/>
        <v>Jun</v>
      </c>
      <c r="X107">
        <f t="shared" si="17"/>
        <v>2025</v>
      </c>
    </row>
    <row r="108" spans="1:24" x14ac:dyDescent="0.35">
      <c r="A108" s="3">
        <v>45679</v>
      </c>
      <c r="B108" t="s">
        <v>236</v>
      </c>
      <c r="C108" t="s">
        <v>69</v>
      </c>
      <c r="D108" t="s">
        <v>237</v>
      </c>
      <c r="E108" t="s">
        <v>63</v>
      </c>
      <c r="F108" t="s">
        <v>66</v>
      </c>
      <c r="G108" t="s">
        <v>35</v>
      </c>
      <c r="H108">
        <v>44.7</v>
      </c>
      <c r="I108">
        <v>3801</v>
      </c>
      <c r="J108">
        <v>89</v>
      </c>
      <c r="K108">
        <v>14.4</v>
      </c>
      <c r="L108" t="s">
        <v>43</v>
      </c>
      <c r="M108">
        <v>25674.84</v>
      </c>
      <c r="N108">
        <v>5485</v>
      </c>
      <c r="O108" t="s">
        <v>50</v>
      </c>
      <c r="P108" t="str">
        <f t="shared" si="9"/>
        <v>Yes</v>
      </c>
      <c r="Q108">
        <f t="shared" si="10"/>
        <v>85.03</v>
      </c>
      <c r="R108">
        <f t="shared" si="11"/>
        <v>6.75</v>
      </c>
      <c r="S108">
        <f t="shared" si="12"/>
        <v>4.68</v>
      </c>
      <c r="T108" t="str">
        <f t="shared" si="13"/>
        <v>Delayed</v>
      </c>
      <c r="U108" t="str">
        <f t="shared" si="14"/>
        <v>Medium</v>
      </c>
      <c r="V108" t="str">
        <f t="shared" si="15"/>
        <v>Low Risk</v>
      </c>
      <c r="W108" t="str">
        <f t="shared" si="16"/>
        <v>Jan</v>
      </c>
      <c r="X108">
        <f t="shared" si="17"/>
        <v>2025</v>
      </c>
    </row>
    <row r="109" spans="1:24" x14ac:dyDescent="0.35">
      <c r="A109" s="3">
        <v>45692</v>
      </c>
      <c r="B109" t="s">
        <v>24</v>
      </c>
      <c r="C109" t="s">
        <v>95</v>
      </c>
      <c r="D109" t="s">
        <v>238</v>
      </c>
      <c r="E109" t="s">
        <v>54</v>
      </c>
      <c r="F109" t="s">
        <v>55</v>
      </c>
      <c r="G109" t="s">
        <v>42</v>
      </c>
      <c r="H109">
        <v>55.8</v>
      </c>
      <c r="I109">
        <v>4507</v>
      </c>
      <c r="J109">
        <v>27</v>
      </c>
      <c r="K109">
        <v>20.3</v>
      </c>
      <c r="L109" t="s">
        <v>78</v>
      </c>
      <c r="M109">
        <v>34112.660000000003</v>
      </c>
      <c r="N109">
        <v>23205</v>
      </c>
      <c r="O109" t="s">
        <v>59</v>
      </c>
      <c r="P109" t="str">
        <f t="shared" si="9"/>
        <v>No</v>
      </c>
      <c r="Q109">
        <f t="shared" si="10"/>
        <v>80.77</v>
      </c>
      <c r="R109">
        <f t="shared" si="11"/>
        <v>7.57</v>
      </c>
      <c r="S109">
        <f t="shared" si="12"/>
        <v>1.47</v>
      </c>
      <c r="T109" t="str">
        <f t="shared" si="13"/>
        <v>On Time</v>
      </c>
      <c r="U109" t="str">
        <f t="shared" si="14"/>
        <v>Medium</v>
      </c>
      <c r="V109" t="str">
        <f t="shared" si="15"/>
        <v>Low Risk</v>
      </c>
      <c r="W109" t="str">
        <f t="shared" si="16"/>
        <v>Feb</v>
      </c>
      <c r="X109">
        <f t="shared" si="17"/>
        <v>2025</v>
      </c>
    </row>
    <row r="110" spans="1:24" x14ac:dyDescent="0.35">
      <c r="A110" s="3">
        <v>45680</v>
      </c>
      <c r="B110" t="s">
        <v>190</v>
      </c>
      <c r="C110" t="s">
        <v>130</v>
      </c>
      <c r="D110" t="s">
        <v>239</v>
      </c>
      <c r="E110" t="s">
        <v>28</v>
      </c>
      <c r="F110" t="s">
        <v>66</v>
      </c>
      <c r="G110" t="s">
        <v>71</v>
      </c>
      <c r="H110">
        <v>46.7</v>
      </c>
      <c r="I110">
        <v>4199</v>
      </c>
      <c r="J110">
        <v>77</v>
      </c>
      <c r="K110">
        <v>18.600000000000001</v>
      </c>
      <c r="L110" t="s">
        <v>49</v>
      </c>
      <c r="M110">
        <v>31927.62</v>
      </c>
      <c r="N110">
        <v>27502</v>
      </c>
      <c r="O110" t="s">
        <v>59</v>
      </c>
      <c r="P110" t="str">
        <f t="shared" si="9"/>
        <v>Yes</v>
      </c>
      <c r="Q110">
        <f t="shared" si="10"/>
        <v>89.91</v>
      </c>
      <c r="R110">
        <f t="shared" si="11"/>
        <v>7.6</v>
      </c>
      <c r="S110">
        <f t="shared" si="12"/>
        <v>1.1599999999999999</v>
      </c>
      <c r="T110" t="str">
        <f t="shared" si="13"/>
        <v>Delayed</v>
      </c>
      <c r="U110" t="str">
        <f t="shared" si="14"/>
        <v>Medium</v>
      </c>
      <c r="V110" t="str">
        <f t="shared" si="15"/>
        <v>High Risk</v>
      </c>
      <c r="W110" t="str">
        <f t="shared" si="16"/>
        <v>Jan</v>
      </c>
      <c r="X110">
        <f t="shared" si="17"/>
        <v>2025</v>
      </c>
    </row>
    <row r="111" spans="1:24" x14ac:dyDescent="0.35">
      <c r="A111" s="3">
        <v>45749</v>
      </c>
      <c r="B111" t="s">
        <v>104</v>
      </c>
      <c r="C111" t="s">
        <v>52</v>
      </c>
      <c r="D111" t="s">
        <v>240</v>
      </c>
      <c r="E111" t="s">
        <v>63</v>
      </c>
      <c r="F111" t="s">
        <v>54</v>
      </c>
      <c r="G111" t="s">
        <v>35</v>
      </c>
      <c r="H111">
        <v>47.8</v>
      </c>
      <c r="I111">
        <v>1826</v>
      </c>
      <c r="J111">
        <v>26</v>
      </c>
      <c r="K111">
        <v>17.5</v>
      </c>
      <c r="L111" t="s">
        <v>78</v>
      </c>
      <c r="M111">
        <v>31365.919999999998</v>
      </c>
      <c r="N111">
        <v>16253</v>
      </c>
      <c r="O111" t="s">
        <v>50</v>
      </c>
      <c r="P111" t="str">
        <f t="shared" si="9"/>
        <v>No</v>
      </c>
      <c r="Q111">
        <f t="shared" si="10"/>
        <v>38.200000000000003</v>
      </c>
      <c r="R111">
        <f t="shared" si="11"/>
        <v>17.18</v>
      </c>
      <c r="S111">
        <f t="shared" si="12"/>
        <v>1.93</v>
      </c>
      <c r="T111" t="str">
        <f t="shared" si="13"/>
        <v>On Time</v>
      </c>
      <c r="U111" t="str">
        <f t="shared" si="14"/>
        <v>Medium</v>
      </c>
      <c r="V111" t="str">
        <f t="shared" si="15"/>
        <v>Low Risk</v>
      </c>
      <c r="W111" t="str">
        <f t="shared" si="16"/>
        <v>Apr</v>
      </c>
      <c r="X111">
        <f t="shared" si="17"/>
        <v>2025</v>
      </c>
    </row>
    <row r="112" spans="1:24" x14ac:dyDescent="0.35">
      <c r="A112" s="3">
        <v>45811</v>
      </c>
      <c r="B112" t="s">
        <v>217</v>
      </c>
      <c r="C112" t="s">
        <v>69</v>
      </c>
      <c r="D112" t="s">
        <v>241</v>
      </c>
      <c r="E112" t="s">
        <v>27</v>
      </c>
      <c r="F112" t="s">
        <v>55</v>
      </c>
      <c r="G112" t="s">
        <v>42</v>
      </c>
      <c r="H112">
        <v>21.9</v>
      </c>
      <c r="I112">
        <v>1707</v>
      </c>
      <c r="J112">
        <v>107</v>
      </c>
      <c r="K112">
        <v>16</v>
      </c>
      <c r="L112" t="s">
        <v>30</v>
      </c>
      <c r="M112">
        <v>9896.5499999999993</v>
      </c>
      <c r="N112">
        <v>23269</v>
      </c>
      <c r="O112" t="s">
        <v>31</v>
      </c>
      <c r="P112" t="str">
        <f t="shared" si="9"/>
        <v>Yes</v>
      </c>
      <c r="Q112">
        <f t="shared" si="10"/>
        <v>77.95</v>
      </c>
      <c r="R112">
        <f t="shared" si="11"/>
        <v>5.8</v>
      </c>
      <c r="S112">
        <f t="shared" si="12"/>
        <v>0.43</v>
      </c>
      <c r="T112" t="str">
        <f t="shared" si="13"/>
        <v>Delayed</v>
      </c>
      <c r="U112" t="str">
        <f t="shared" si="14"/>
        <v>Low</v>
      </c>
      <c r="V112" t="str">
        <f t="shared" si="15"/>
        <v>Medium Risk</v>
      </c>
      <c r="W112" t="str">
        <f t="shared" si="16"/>
        <v>Jun</v>
      </c>
      <c r="X112">
        <f t="shared" si="17"/>
        <v>2025</v>
      </c>
    </row>
    <row r="113" spans="1:24" x14ac:dyDescent="0.35">
      <c r="A113" s="3">
        <v>45709</v>
      </c>
      <c r="B113" t="s">
        <v>157</v>
      </c>
      <c r="C113" t="s">
        <v>69</v>
      </c>
      <c r="D113" t="s">
        <v>242</v>
      </c>
      <c r="E113" t="s">
        <v>55</v>
      </c>
      <c r="F113" t="s">
        <v>41</v>
      </c>
      <c r="G113" t="s">
        <v>71</v>
      </c>
      <c r="H113">
        <v>71.5</v>
      </c>
      <c r="I113">
        <v>2068</v>
      </c>
      <c r="J113">
        <v>120</v>
      </c>
      <c r="K113">
        <v>20.399999999999999</v>
      </c>
      <c r="L113" t="s">
        <v>78</v>
      </c>
      <c r="M113">
        <v>35038.85</v>
      </c>
      <c r="N113">
        <v>15439</v>
      </c>
      <c r="O113" t="s">
        <v>91</v>
      </c>
      <c r="P113" t="str">
        <f t="shared" si="9"/>
        <v>No</v>
      </c>
      <c r="Q113">
        <f t="shared" si="10"/>
        <v>28.92</v>
      </c>
      <c r="R113">
        <f t="shared" si="11"/>
        <v>16.940000000000001</v>
      </c>
      <c r="S113">
        <f t="shared" si="12"/>
        <v>2.27</v>
      </c>
      <c r="T113" t="str">
        <f t="shared" si="13"/>
        <v>On Time</v>
      </c>
      <c r="U113" t="str">
        <f t="shared" si="14"/>
        <v>High</v>
      </c>
      <c r="V113" t="str">
        <f t="shared" si="15"/>
        <v>Low Risk</v>
      </c>
      <c r="W113" t="str">
        <f t="shared" si="16"/>
        <v>Feb</v>
      </c>
      <c r="X113">
        <f t="shared" si="17"/>
        <v>2025</v>
      </c>
    </row>
    <row r="114" spans="1:24" x14ac:dyDescent="0.35">
      <c r="A114" s="3">
        <v>45917</v>
      </c>
      <c r="B114" t="s">
        <v>111</v>
      </c>
      <c r="C114" t="s">
        <v>130</v>
      </c>
      <c r="D114" t="s">
        <v>243</v>
      </c>
      <c r="E114" t="s">
        <v>66</v>
      </c>
      <c r="F114" t="s">
        <v>27</v>
      </c>
      <c r="G114" t="s">
        <v>71</v>
      </c>
      <c r="H114">
        <v>28.9</v>
      </c>
      <c r="I114">
        <v>3244</v>
      </c>
      <c r="J114">
        <v>21</v>
      </c>
      <c r="K114">
        <v>17.600000000000001</v>
      </c>
      <c r="L114" t="s">
        <v>30</v>
      </c>
      <c r="M114">
        <v>19156.689999999999</v>
      </c>
      <c r="N114">
        <v>16962</v>
      </c>
      <c r="O114" t="s">
        <v>59</v>
      </c>
      <c r="P114" t="str">
        <f t="shared" si="9"/>
        <v>Yes</v>
      </c>
      <c r="Q114">
        <f t="shared" si="10"/>
        <v>112.25</v>
      </c>
      <c r="R114">
        <f t="shared" si="11"/>
        <v>5.91</v>
      </c>
      <c r="S114">
        <f t="shared" si="12"/>
        <v>1.1299999999999999</v>
      </c>
      <c r="T114" t="str">
        <f t="shared" si="13"/>
        <v>Delayed</v>
      </c>
      <c r="U114" t="str">
        <f t="shared" si="14"/>
        <v>Low</v>
      </c>
      <c r="V114" t="str">
        <f t="shared" si="15"/>
        <v>Medium Risk</v>
      </c>
      <c r="W114" t="str">
        <f t="shared" si="16"/>
        <v>Sep</v>
      </c>
      <c r="X114">
        <f t="shared" si="17"/>
        <v>2025</v>
      </c>
    </row>
    <row r="115" spans="1:24" x14ac:dyDescent="0.35">
      <c r="A115" s="3">
        <v>46014</v>
      </c>
      <c r="B115" t="s">
        <v>244</v>
      </c>
      <c r="C115" t="s">
        <v>69</v>
      </c>
      <c r="D115" t="s">
        <v>245</v>
      </c>
      <c r="E115" t="s">
        <v>63</v>
      </c>
      <c r="F115" t="s">
        <v>55</v>
      </c>
      <c r="G115" t="s">
        <v>42</v>
      </c>
      <c r="H115">
        <v>57.9</v>
      </c>
      <c r="I115">
        <v>848</v>
      </c>
      <c r="J115">
        <v>103</v>
      </c>
      <c r="K115">
        <v>12.2</v>
      </c>
      <c r="L115" t="s">
        <v>49</v>
      </c>
      <c r="M115">
        <v>35771.040000000001</v>
      </c>
      <c r="N115">
        <v>14751</v>
      </c>
      <c r="O115" t="s">
        <v>91</v>
      </c>
      <c r="P115" t="str">
        <f t="shared" si="9"/>
        <v>Yes</v>
      </c>
      <c r="Q115">
        <f t="shared" si="10"/>
        <v>14.65</v>
      </c>
      <c r="R115">
        <f t="shared" si="11"/>
        <v>42.18</v>
      </c>
      <c r="S115">
        <f t="shared" si="12"/>
        <v>2.42</v>
      </c>
      <c r="T115" t="str">
        <f t="shared" si="13"/>
        <v>Delayed</v>
      </c>
      <c r="U115" t="str">
        <f t="shared" si="14"/>
        <v>Medium</v>
      </c>
      <c r="V115" t="str">
        <f t="shared" si="15"/>
        <v>High Risk</v>
      </c>
      <c r="W115" t="str">
        <f t="shared" si="16"/>
        <v>Dec</v>
      </c>
      <c r="X115">
        <f t="shared" si="17"/>
        <v>2025</v>
      </c>
    </row>
    <row r="116" spans="1:24" x14ac:dyDescent="0.35">
      <c r="A116" s="3">
        <v>45897</v>
      </c>
      <c r="B116" t="s">
        <v>246</v>
      </c>
      <c r="C116" t="s">
        <v>52</v>
      </c>
      <c r="D116" t="s">
        <v>247</v>
      </c>
      <c r="E116" t="s">
        <v>63</v>
      </c>
      <c r="F116" t="s">
        <v>66</v>
      </c>
      <c r="G116" t="s">
        <v>42</v>
      </c>
      <c r="H116">
        <v>28.1</v>
      </c>
      <c r="I116">
        <v>1899</v>
      </c>
      <c r="J116">
        <v>92</v>
      </c>
      <c r="K116">
        <v>22</v>
      </c>
      <c r="L116" t="s">
        <v>78</v>
      </c>
      <c r="M116">
        <v>15256.39</v>
      </c>
      <c r="N116">
        <v>23911</v>
      </c>
      <c r="O116" t="s">
        <v>44</v>
      </c>
      <c r="P116" t="str">
        <f t="shared" si="9"/>
        <v>No</v>
      </c>
      <c r="Q116">
        <f t="shared" si="10"/>
        <v>67.58</v>
      </c>
      <c r="R116">
        <f t="shared" si="11"/>
        <v>8.0299999999999994</v>
      </c>
      <c r="S116">
        <f t="shared" si="12"/>
        <v>0.64</v>
      </c>
      <c r="T116" t="str">
        <f t="shared" si="13"/>
        <v>On Time</v>
      </c>
      <c r="U116" t="str">
        <f t="shared" si="14"/>
        <v>Low</v>
      </c>
      <c r="V116" t="str">
        <f t="shared" si="15"/>
        <v>Low Risk</v>
      </c>
      <c r="W116" t="str">
        <f t="shared" si="16"/>
        <v>Aug</v>
      </c>
      <c r="X116">
        <f t="shared" si="17"/>
        <v>2025</v>
      </c>
    </row>
    <row r="117" spans="1:24" x14ac:dyDescent="0.35">
      <c r="A117" s="3">
        <v>45823</v>
      </c>
      <c r="B117" t="s">
        <v>120</v>
      </c>
      <c r="C117" t="s">
        <v>57</v>
      </c>
      <c r="D117" t="s">
        <v>248</v>
      </c>
      <c r="E117" t="s">
        <v>41</v>
      </c>
      <c r="F117" t="s">
        <v>28</v>
      </c>
      <c r="G117" t="s">
        <v>29</v>
      </c>
      <c r="H117">
        <v>48.1</v>
      </c>
      <c r="I117">
        <v>2279</v>
      </c>
      <c r="J117">
        <v>50</v>
      </c>
      <c r="K117">
        <v>11.3</v>
      </c>
      <c r="L117" t="s">
        <v>78</v>
      </c>
      <c r="M117">
        <v>22226.29</v>
      </c>
      <c r="N117">
        <v>27662</v>
      </c>
      <c r="O117" t="s">
        <v>59</v>
      </c>
      <c r="P117" t="str">
        <f t="shared" si="9"/>
        <v>No</v>
      </c>
      <c r="Q117">
        <f t="shared" si="10"/>
        <v>47.38</v>
      </c>
      <c r="R117">
        <f t="shared" si="11"/>
        <v>9.75</v>
      </c>
      <c r="S117">
        <f t="shared" si="12"/>
        <v>0.8</v>
      </c>
      <c r="T117" t="str">
        <f t="shared" si="13"/>
        <v>On Time</v>
      </c>
      <c r="U117" t="str">
        <f t="shared" si="14"/>
        <v>Medium</v>
      </c>
      <c r="V117" t="str">
        <f t="shared" si="15"/>
        <v>Low Risk</v>
      </c>
      <c r="W117" t="str">
        <f t="shared" si="16"/>
        <v>Jun</v>
      </c>
      <c r="X117">
        <f t="shared" si="17"/>
        <v>2025</v>
      </c>
    </row>
    <row r="118" spans="1:24" x14ac:dyDescent="0.35">
      <c r="A118" s="3">
        <v>45979</v>
      </c>
      <c r="B118" t="s">
        <v>113</v>
      </c>
      <c r="C118" t="s">
        <v>25</v>
      </c>
      <c r="D118" t="s">
        <v>249</v>
      </c>
      <c r="E118" t="s">
        <v>63</v>
      </c>
      <c r="F118" t="s">
        <v>66</v>
      </c>
      <c r="G118" t="s">
        <v>42</v>
      </c>
      <c r="H118">
        <v>77.400000000000006</v>
      </c>
      <c r="I118">
        <v>3762</v>
      </c>
      <c r="J118">
        <v>114</v>
      </c>
      <c r="K118">
        <v>15.4</v>
      </c>
      <c r="L118" t="s">
        <v>78</v>
      </c>
      <c r="M118">
        <v>36157.760000000002</v>
      </c>
      <c r="N118">
        <v>14008</v>
      </c>
      <c r="O118" t="s">
        <v>59</v>
      </c>
      <c r="P118" t="str">
        <f t="shared" si="9"/>
        <v>No</v>
      </c>
      <c r="Q118">
        <f t="shared" si="10"/>
        <v>48.6</v>
      </c>
      <c r="R118">
        <f t="shared" si="11"/>
        <v>9.61</v>
      </c>
      <c r="S118">
        <f t="shared" si="12"/>
        <v>2.58</v>
      </c>
      <c r="T118" t="str">
        <f t="shared" si="13"/>
        <v>On Time</v>
      </c>
      <c r="U118" t="str">
        <f t="shared" si="14"/>
        <v>High</v>
      </c>
      <c r="V118" t="str">
        <f t="shared" si="15"/>
        <v>Low Risk</v>
      </c>
      <c r="W118" t="str">
        <f t="shared" si="16"/>
        <v>Nov</v>
      </c>
      <c r="X118">
        <f t="shared" si="17"/>
        <v>2025</v>
      </c>
    </row>
    <row r="119" spans="1:24" x14ac:dyDescent="0.35">
      <c r="A119" s="3">
        <v>45877</v>
      </c>
      <c r="B119" t="s">
        <v>250</v>
      </c>
      <c r="C119" t="s">
        <v>130</v>
      </c>
      <c r="D119" t="s">
        <v>251</v>
      </c>
      <c r="E119" t="s">
        <v>66</v>
      </c>
      <c r="F119" t="s">
        <v>55</v>
      </c>
      <c r="G119" t="s">
        <v>42</v>
      </c>
      <c r="H119">
        <v>76.7</v>
      </c>
      <c r="I119">
        <v>2901</v>
      </c>
      <c r="J119">
        <v>26</v>
      </c>
      <c r="K119">
        <v>21.9</v>
      </c>
      <c r="L119" t="s">
        <v>43</v>
      </c>
      <c r="M119">
        <v>47340.72</v>
      </c>
      <c r="N119">
        <v>24153</v>
      </c>
      <c r="O119" t="s">
        <v>84</v>
      </c>
      <c r="P119" t="str">
        <f t="shared" si="9"/>
        <v>Yes</v>
      </c>
      <c r="Q119">
        <f t="shared" si="10"/>
        <v>37.82</v>
      </c>
      <c r="R119">
        <f t="shared" si="11"/>
        <v>16.32</v>
      </c>
      <c r="S119">
        <f t="shared" si="12"/>
        <v>1.96</v>
      </c>
      <c r="T119" t="str">
        <f t="shared" si="13"/>
        <v>Delayed</v>
      </c>
      <c r="U119" t="str">
        <f t="shared" si="14"/>
        <v>High</v>
      </c>
      <c r="V119" t="str">
        <f t="shared" si="15"/>
        <v>Low Risk</v>
      </c>
      <c r="W119" t="str">
        <f t="shared" si="16"/>
        <v>Aug</v>
      </c>
      <c r="X119">
        <f t="shared" si="17"/>
        <v>2025</v>
      </c>
    </row>
    <row r="120" spans="1:24" x14ac:dyDescent="0.35">
      <c r="A120" s="3">
        <v>45946</v>
      </c>
      <c r="B120" t="s">
        <v>221</v>
      </c>
      <c r="C120" t="s">
        <v>25</v>
      </c>
      <c r="D120" t="s">
        <v>252</v>
      </c>
      <c r="E120" t="s">
        <v>66</v>
      </c>
      <c r="F120" t="s">
        <v>54</v>
      </c>
      <c r="G120" t="s">
        <v>71</v>
      </c>
      <c r="H120">
        <v>32.6</v>
      </c>
      <c r="I120">
        <v>2455</v>
      </c>
      <c r="J120">
        <v>22</v>
      </c>
      <c r="K120">
        <v>12.2</v>
      </c>
      <c r="L120" t="s">
        <v>43</v>
      </c>
      <c r="M120">
        <v>20497.419999999998</v>
      </c>
      <c r="N120">
        <v>29155</v>
      </c>
      <c r="O120" t="s">
        <v>50</v>
      </c>
      <c r="P120" t="str">
        <f t="shared" si="9"/>
        <v>Yes</v>
      </c>
      <c r="Q120">
        <f t="shared" si="10"/>
        <v>75.31</v>
      </c>
      <c r="R120">
        <f t="shared" si="11"/>
        <v>8.35</v>
      </c>
      <c r="S120">
        <f t="shared" si="12"/>
        <v>0.7</v>
      </c>
      <c r="T120" t="str">
        <f t="shared" si="13"/>
        <v>Delayed</v>
      </c>
      <c r="U120" t="str">
        <f t="shared" si="14"/>
        <v>Low</v>
      </c>
      <c r="V120" t="str">
        <f t="shared" si="15"/>
        <v>Low Risk</v>
      </c>
      <c r="W120" t="str">
        <f t="shared" si="16"/>
        <v>Oct</v>
      </c>
      <c r="X120">
        <f t="shared" si="17"/>
        <v>2025</v>
      </c>
    </row>
    <row r="121" spans="1:24" x14ac:dyDescent="0.35">
      <c r="A121" s="3">
        <v>45738</v>
      </c>
      <c r="B121" t="s">
        <v>87</v>
      </c>
      <c r="C121" t="s">
        <v>39</v>
      </c>
      <c r="D121" t="s">
        <v>253</v>
      </c>
      <c r="E121" t="s">
        <v>41</v>
      </c>
      <c r="F121" t="s">
        <v>28</v>
      </c>
      <c r="G121" t="s">
        <v>35</v>
      </c>
      <c r="H121">
        <v>55.3</v>
      </c>
      <c r="I121">
        <v>4204</v>
      </c>
      <c r="J121">
        <v>45</v>
      </c>
      <c r="K121">
        <v>16.899999999999999</v>
      </c>
      <c r="L121" t="s">
        <v>78</v>
      </c>
      <c r="M121">
        <v>28123.360000000001</v>
      </c>
      <c r="N121">
        <v>18811</v>
      </c>
      <c r="O121" t="s">
        <v>67</v>
      </c>
      <c r="P121" t="str">
        <f t="shared" si="9"/>
        <v>No</v>
      </c>
      <c r="Q121">
        <f t="shared" si="10"/>
        <v>76.02</v>
      </c>
      <c r="R121">
        <f t="shared" si="11"/>
        <v>6.69</v>
      </c>
      <c r="S121">
        <f t="shared" si="12"/>
        <v>1.5</v>
      </c>
      <c r="T121" t="str">
        <f t="shared" si="13"/>
        <v>On Time</v>
      </c>
      <c r="U121" t="str">
        <f t="shared" si="14"/>
        <v>Medium</v>
      </c>
      <c r="V121" t="str">
        <f t="shared" si="15"/>
        <v>Low Risk</v>
      </c>
      <c r="W121" t="str">
        <f t="shared" si="16"/>
        <v>Mar</v>
      </c>
      <c r="X121">
        <f t="shared" si="17"/>
        <v>2025</v>
      </c>
    </row>
    <row r="122" spans="1:24" x14ac:dyDescent="0.35">
      <c r="A122" s="3">
        <v>45798</v>
      </c>
      <c r="B122" t="s">
        <v>100</v>
      </c>
      <c r="C122" t="s">
        <v>39</v>
      </c>
      <c r="D122" t="s">
        <v>254</v>
      </c>
      <c r="E122" t="s">
        <v>27</v>
      </c>
      <c r="F122" t="s">
        <v>28</v>
      </c>
      <c r="G122" t="s">
        <v>42</v>
      </c>
      <c r="H122">
        <v>68.7</v>
      </c>
      <c r="I122">
        <v>1781</v>
      </c>
      <c r="J122">
        <v>48</v>
      </c>
      <c r="K122">
        <v>21</v>
      </c>
      <c r="L122" t="s">
        <v>78</v>
      </c>
      <c r="M122">
        <v>36659.79</v>
      </c>
      <c r="N122">
        <v>14154</v>
      </c>
      <c r="O122" t="s">
        <v>31</v>
      </c>
      <c r="P122" t="str">
        <f t="shared" si="9"/>
        <v>No</v>
      </c>
      <c r="Q122">
        <f t="shared" si="10"/>
        <v>25.92</v>
      </c>
      <c r="R122">
        <f t="shared" si="11"/>
        <v>20.58</v>
      </c>
      <c r="S122">
        <f t="shared" si="12"/>
        <v>2.59</v>
      </c>
      <c r="T122" t="str">
        <f t="shared" si="13"/>
        <v>On Time</v>
      </c>
      <c r="U122" t="str">
        <f t="shared" si="14"/>
        <v>High</v>
      </c>
      <c r="V122" t="str">
        <f t="shared" si="15"/>
        <v>Low Risk</v>
      </c>
      <c r="W122" t="str">
        <f t="shared" si="16"/>
        <v>May</v>
      </c>
      <c r="X122">
        <f t="shared" si="17"/>
        <v>2025</v>
      </c>
    </row>
    <row r="123" spans="1:24" x14ac:dyDescent="0.35">
      <c r="A123" s="3">
        <v>45872</v>
      </c>
      <c r="B123" t="s">
        <v>125</v>
      </c>
      <c r="C123" t="s">
        <v>25</v>
      </c>
      <c r="D123" t="s">
        <v>255</v>
      </c>
      <c r="E123" t="s">
        <v>27</v>
      </c>
      <c r="F123" t="s">
        <v>55</v>
      </c>
      <c r="G123" t="s">
        <v>71</v>
      </c>
      <c r="H123">
        <v>37.799999999999997</v>
      </c>
      <c r="I123">
        <v>1546</v>
      </c>
      <c r="J123">
        <v>43</v>
      </c>
      <c r="K123">
        <v>21.9</v>
      </c>
      <c r="L123" t="s">
        <v>30</v>
      </c>
      <c r="M123">
        <v>21576.48</v>
      </c>
      <c r="N123">
        <v>29691</v>
      </c>
      <c r="O123" t="s">
        <v>84</v>
      </c>
      <c r="P123" t="str">
        <f t="shared" si="9"/>
        <v>Yes</v>
      </c>
      <c r="Q123">
        <f t="shared" si="10"/>
        <v>40.9</v>
      </c>
      <c r="R123">
        <f t="shared" si="11"/>
        <v>13.96</v>
      </c>
      <c r="S123">
        <f t="shared" si="12"/>
        <v>0.73</v>
      </c>
      <c r="T123" t="str">
        <f t="shared" si="13"/>
        <v>Delayed</v>
      </c>
      <c r="U123" t="str">
        <f t="shared" si="14"/>
        <v>Low</v>
      </c>
      <c r="V123" t="str">
        <f t="shared" si="15"/>
        <v>Medium Risk</v>
      </c>
      <c r="W123" t="str">
        <f t="shared" si="16"/>
        <v>Aug</v>
      </c>
      <c r="X123">
        <f t="shared" si="17"/>
        <v>2025</v>
      </c>
    </row>
    <row r="124" spans="1:24" x14ac:dyDescent="0.35">
      <c r="A124" s="3">
        <v>45936</v>
      </c>
      <c r="B124" t="s">
        <v>256</v>
      </c>
      <c r="C124" t="s">
        <v>69</v>
      </c>
      <c r="D124" t="s">
        <v>257</v>
      </c>
      <c r="E124" t="s">
        <v>48</v>
      </c>
      <c r="F124" t="s">
        <v>41</v>
      </c>
      <c r="G124" t="s">
        <v>42</v>
      </c>
      <c r="H124">
        <v>65.400000000000006</v>
      </c>
      <c r="I124">
        <v>4415</v>
      </c>
      <c r="J124">
        <v>72</v>
      </c>
      <c r="K124">
        <v>10.5</v>
      </c>
      <c r="L124" t="s">
        <v>43</v>
      </c>
      <c r="M124">
        <v>45695.5</v>
      </c>
      <c r="N124">
        <v>19107</v>
      </c>
      <c r="O124" t="s">
        <v>44</v>
      </c>
      <c r="P124" t="str">
        <f t="shared" si="9"/>
        <v>Yes</v>
      </c>
      <c r="Q124">
        <f t="shared" si="10"/>
        <v>67.510000000000005</v>
      </c>
      <c r="R124">
        <f t="shared" si="11"/>
        <v>10.35</v>
      </c>
      <c r="S124">
        <f t="shared" si="12"/>
        <v>2.39</v>
      </c>
      <c r="T124" t="str">
        <f t="shared" si="13"/>
        <v>Delayed</v>
      </c>
      <c r="U124" t="str">
        <f t="shared" si="14"/>
        <v>High</v>
      </c>
      <c r="V124" t="str">
        <f t="shared" si="15"/>
        <v>Low Risk</v>
      </c>
      <c r="W124" t="str">
        <f t="shared" si="16"/>
        <v>Oct</v>
      </c>
      <c r="X124">
        <f t="shared" si="17"/>
        <v>2025</v>
      </c>
    </row>
    <row r="125" spans="1:24" x14ac:dyDescent="0.35">
      <c r="A125" s="3">
        <v>45765</v>
      </c>
      <c r="B125" t="s">
        <v>150</v>
      </c>
      <c r="C125" t="s">
        <v>69</v>
      </c>
      <c r="D125" t="s">
        <v>258</v>
      </c>
      <c r="E125" t="s">
        <v>41</v>
      </c>
      <c r="F125" t="s">
        <v>27</v>
      </c>
      <c r="G125" t="s">
        <v>35</v>
      </c>
      <c r="H125">
        <v>35.799999999999997</v>
      </c>
      <c r="I125">
        <v>3448</v>
      </c>
      <c r="J125">
        <v>109</v>
      </c>
      <c r="K125">
        <v>14</v>
      </c>
      <c r="L125" t="s">
        <v>49</v>
      </c>
      <c r="M125">
        <v>23398.81</v>
      </c>
      <c r="N125">
        <v>23384</v>
      </c>
      <c r="O125" t="s">
        <v>36</v>
      </c>
      <c r="P125" t="str">
        <f t="shared" si="9"/>
        <v>Yes</v>
      </c>
      <c r="Q125">
        <f t="shared" si="10"/>
        <v>96.31</v>
      </c>
      <c r="R125">
        <f t="shared" si="11"/>
        <v>6.79</v>
      </c>
      <c r="S125">
        <f t="shared" si="12"/>
        <v>1</v>
      </c>
      <c r="T125" t="str">
        <f t="shared" si="13"/>
        <v>Delayed</v>
      </c>
      <c r="U125" t="str">
        <f t="shared" si="14"/>
        <v>Low</v>
      </c>
      <c r="V125" t="str">
        <f t="shared" si="15"/>
        <v>High Risk</v>
      </c>
      <c r="W125" t="str">
        <f t="shared" si="16"/>
        <v>Apr</v>
      </c>
      <c r="X125">
        <f t="shared" si="17"/>
        <v>2025</v>
      </c>
    </row>
    <row r="126" spans="1:24" x14ac:dyDescent="0.35">
      <c r="A126" s="3">
        <v>45667</v>
      </c>
      <c r="B126" t="s">
        <v>162</v>
      </c>
      <c r="C126" t="s">
        <v>39</v>
      </c>
      <c r="D126" t="s">
        <v>259</v>
      </c>
      <c r="E126" t="s">
        <v>54</v>
      </c>
      <c r="F126" t="s">
        <v>41</v>
      </c>
      <c r="G126" t="s">
        <v>42</v>
      </c>
      <c r="H126">
        <v>79.5</v>
      </c>
      <c r="I126">
        <v>2607</v>
      </c>
      <c r="J126">
        <v>97</v>
      </c>
      <c r="K126">
        <v>14.5</v>
      </c>
      <c r="L126" t="s">
        <v>43</v>
      </c>
      <c r="M126">
        <v>53286.65</v>
      </c>
      <c r="N126">
        <v>21477</v>
      </c>
      <c r="O126" t="s">
        <v>59</v>
      </c>
      <c r="P126" t="str">
        <f t="shared" si="9"/>
        <v>Yes</v>
      </c>
      <c r="Q126">
        <f t="shared" si="10"/>
        <v>32.79</v>
      </c>
      <c r="R126">
        <f t="shared" si="11"/>
        <v>20.440000000000001</v>
      </c>
      <c r="S126">
        <f t="shared" si="12"/>
        <v>2.48</v>
      </c>
      <c r="T126" t="str">
        <f t="shared" si="13"/>
        <v>Delayed</v>
      </c>
      <c r="U126" t="str">
        <f t="shared" si="14"/>
        <v>High</v>
      </c>
      <c r="V126" t="str">
        <f t="shared" si="15"/>
        <v>Low Risk</v>
      </c>
      <c r="W126" t="str">
        <f t="shared" si="16"/>
        <v>Jan</v>
      </c>
      <c r="X126">
        <f t="shared" si="17"/>
        <v>2025</v>
      </c>
    </row>
    <row r="127" spans="1:24" x14ac:dyDescent="0.35">
      <c r="A127" s="3">
        <v>45744</v>
      </c>
      <c r="B127" t="s">
        <v>33</v>
      </c>
      <c r="C127" t="s">
        <v>52</v>
      </c>
      <c r="D127" t="s">
        <v>260</v>
      </c>
      <c r="E127" t="s">
        <v>41</v>
      </c>
      <c r="F127" t="s">
        <v>55</v>
      </c>
      <c r="G127" t="s">
        <v>35</v>
      </c>
      <c r="H127">
        <v>62.8</v>
      </c>
      <c r="I127">
        <v>501</v>
      </c>
      <c r="J127">
        <v>52</v>
      </c>
      <c r="K127">
        <v>14.6</v>
      </c>
      <c r="L127" t="s">
        <v>49</v>
      </c>
      <c r="M127">
        <v>30990.26</v>
      </c>
      <c r="N127">
        <v>28898</v>
      </c>
      <c r="O127" t="s">
        <v>91</v>
      </c>
      <c r="P127" t="str">
        <f t="shared" si="9"/>
        <v>Yes</v>
      </c>
      <c r="Q127">
        <f t="shared" si="10"/>
        <v>7.98</v>
      </c>
      <c r="R127">
        <f t="shared" si="11"/>
        <v>61.86</v>
      </c>
      <c r="S127">
        <f t="shared" si="12"/>
        <v>1.07</v>
      </c>
      <c r="T127" t="str">
        <f t="shared" si="13"/>
        <v>Delayed</v>
      </c>
      <c r="U127" t="str">
        <f t="shared" si="14"/>
        <v>High</v>
      </c>
      <c r="V127" t="str">
        <f t="shared" si="15"/>
        <v>High Risk</v>
      </c>
      <c r="W127" t="str">
        <f t="shared" si="16"/>
        <v>Mar</v>
      </c>
      <c r="X127">
        <f t="shared" si="17"/>
        <v>2025</v>
      </c>
    </row>
    <row r="128" spans="1:24" x14ac:dyDescent="0.35">
      <c r="A128" s="3">
        <v>45982</v>
      </c>
      <c r="B128" t="s">
        <v>33</v>
      </c>
      <c r="C128" t="s">
        <v>25</v>
      </c>
      <c r="D128" t="s">
        <v>261</v>
      </c>
      <c r="E128" t="s">
        <v>55</v>
      </c>
      <c r="F128" t="s">
        <v>41</v>
      </c>
      <c r="G128" t="s">
        <v>29</v>
      </c>
      <c r="H128">
        <v>29.4</v>
      </c>
      <c r="I128">
        <v>4257</v>
      </c>
      <c r="J128">
        <v>36</v>
      </c>
      <c r="K128">
        <v>14.8</v>
      </c>
      <c r="L128" t="s">
        <v>78</v>
      </c>
      <c r="M128">
        <v>19122.759999999998</v>
      </c>
      <c r="N128">
        <v>12529</v>
      </c>
      <c r="O128" t="s">
        <v>84</v>
      </c>
      <c r="P128" t="str">
        <f t="shared" si="9"/>
        <v>No</v>
      </c>
      <c r="Q128">
        <f t="shared" si="10"/>
        <v>144.80000000000001</v>
      </c>
      <c r="R128">
        <f t="shared" si="11"/>
        <v>4.49</v>
      </c>
      <c r="S128">
        <f t="shared" si="12"/>
        <v>1.53</v>
      </c>
      <c r="T128" t="str">
        <f t="shared" si="13"/>
        <v>On Time</v>
      </c>
      <c r="U128" t="str">
        <f t="shared" si="14"/>
        <v>Low</v>
      </c>
      <c r="V128" t="str">
        <f t="shared" si="15"/>
        <v>Low Risk</v>
      </c>
      <c r="W128" t="str">
        <f t="shared" si="16"/>
        <v>Nov</v>
      </c>
      <c r="X128">
        <f t="shared" si="17"/>
        <v>2025</v>
      </c>
    </row>
    <row r="129" spans="1:24" x14ac:dyDescent="0.35">
      <c r="A129" s="3">
        <v>45685</v>
      </c>
      <c r="B129" t="s">
        <v>129</v>
      </c>
      <c r="C129" t="s">
        <v>39</v>
      </c>
      <c r="D129" t="s">
        <v>262</v>
      </c>
      <c r="E129" t="s">
        <v>55</v>
      </c>
      <c r="F129" t="s">
        <v>54</v>
      </c>
      <c r="G129" t="s">
        <v>42</v>
      </c>
      <c r="H129">
        <v>72.5</v>
      </c>
      <c r="I129">
        <v>1918</v>
      </c>
      <c r="J129">
        <v>109</v>
      </c>
      <c r="K129">
        <v>11</v>
      </c>
      <c r="L129" t="s">
        <v>49</v>
      </c>
      <c r="M129">
        <v>50213.86</v>
      </c>
      <c r="N129">
        <v>7584</v>
      </c>
      <c r="O129" t="s">
        <v>31</v>
      </c>
      <c r="P129" t="str">
        <f t="shared" si="9"/>
        <v>Yes</v>
      </c>
      <c r="Q129">
        <f t="shared" si="10"/>
        <v>26.46</v>
      </c>
      <c r="R129">
        <f t="shared" si="11"/>
        <v>26.18</v>
      </c>
      <c r="S129">
        <f t="shared" si="12"/>
        <v>6.62</v>
      </c>
      <c r="T129" t="str">
        <f t="shared" si="13"/>
        <v>Delayed</v>
      </c>
      <c r="U129" t="str">
        <f t="shared" si="14"/>
        <v>High</v>
      </c>
      <c r="V129" t="str">
        <f t="shared" si="15"/>
        <v>High Risk</v>
      </c>
      <c r="W129" t="str">
        <f t="shared" si="16"/>
        <v>Jan</v>
      </c>
      <c r="X129">
        <f t="shared" si="17"/>
        <v>2025</v>
      </c>
    </row>
    <row r="130" spans="1:24" x14ac:dyDescent="0.35">
      <c r="A130" s="3">
        <v>45990</v>
      </c>
      <c r="B130" t="s">
        <v>87</v>
      </c>
      <c r="C130" t="s">
        <v>109</v>
      </c>
      <c r="D130" t="s">
        <v>263</v>
      </c>
      <c r="E130" t="s">
        <v>66</v>
      </c>
      <c r="F130" t="s">
        <v>54</v>
      </c>
      <c r="G130" t="s">
        <v>71</v>
      </c>
      <c r="H130">
        <v>29.8</v>
      </c>
      <c r="I130">
        <v>3903</v>
      </c>
      <c r="J130">
        <v>64</v>
      </c>
      <c r="K130">
        <v>14.2</v>
      </c>
      <c r="L130" t="s">
        <v>43</v>
      </c>
      <c r="M130">
        <v>17591.52</v>
      </c>
      <c r="N130">
        <v>6073</v>
      </c>
      <c r="O130" t="s">
        <v>67</v>
      </c>
      <c r="P130" t="str">
        <f t="shared" ref="P130:P193" si="18">IF(OR(L130="Rain",L130="Fog",L130="Storm"),"Yes","No")</f>
        <v>Yes</v>
      </c>
      <c r="Q130">
        <f t="shared" ref="Q130:Q193" si="19">ROUND(I130/H130,2)</f>
        <v>130.97</v>
      </c>
      <c r="R130">
        <f t="shared" ref="R130:R193" si="20">ROUND(M130/I130,2)</f>
        <v>4.51</v>
      </c>
      <c r="S130">
        <f t="shared" ref="S130:S193" si="21">ROUND(M130/N130,2)</f>
        <v>2.9</v>
      </c>
      <c r="T130" t="str">
        <f t="shared" ref="T130:T193" si="22">IF(P130="Yes","Delayed","On Time")</f>
        <v>Delayed</v>
      </c>
      <c r="U130" t="str">
        <f t="shared" ref="U130:U193" si="23">IF(H130&gt;=60,"High",IF(H130&gt;=40,"Medium","Low"))</f>
        <v>Low</v>
      </c>
      <c r="V130" t="str">
        <f t="shared" ref="V130:V193" si="24">IF(L130="Storm","High Risk",IF(L130="Rain","Medium Risk","Low Risk"))</f>
        <v>Low Risk</v>
      </c>
      <c r="W130" t="str">
        <f t="shared" ref="W130:W193" si="25">TEXT(A130,"mmm")</f>
        <v>Nov</v>
      </c>
      <c r="X130">
        <f t="shared" si="17"/>
        <v>2025</v>
      </c>
    </row>
    <row r="131" spans="1:24" x14ac:dyDescent="0.35">
      <c r="A131" s="3">
        <v>45714</v>
      </c>
      <c r="B131" t="s">
        <v>165</v>
      </c>
      <c r="C131" t="s">
        <v>25</v>
      </c>
      <c r="D131" t="s">
        <v>264</v>
      </c>
      <c r="E131" t="s">
        <v>54</v>
      </c>
      <c r="F131" t="s">
        <v>66</v>
      </c>
      <c r="G131" t="s">
        <v>35</v>
      </c>
      <c r="H131">
        <v>31.4</v>
      </c>
      <c r="I131">
        <v>2151</v>
      </c>
      <c r="J131">
        <v>96</v>
      </c>
      <c r="K131">
        <v>10.3</v>
      </c>
      <c r="L131" t="s">
        <v>43</v>
      </c>
      <c r="M131">
        <v>16848.91</v>
      </c>
      <c r="N131">
        <v>10371</v>
      </c>
      <c r="O131" t="s">
        <v>31</v>
      </c>
      <c r="P131" t="str">
        <f t="shared" si="18"/>
        <v>Yes</v>
      </c>
      <c r="Q131">
        <f t="shared" si="19"/>
        <v>68.5</v>
      </c>
      <c r="R131">
        <f t="shared" si="20"/>
        <v>7.83</v>
      </c>
      <c r="S131">
        <f t="shared" si="21"/>
        <v>1.62</v>
      </c>
      <c r="T131" t="str">
        <f t="shared" si="22"/>
        <v>Delayed</v>
      </c>
      <c r="U131" t="str">
        <f t="shared" si="23"/>
        <v>Low</v>
      </c>
      <c r="V131" t="str">
        <f t="shared" si="24"/>
        <v>Low Risk</v>
      </c>
      <c r="W131" t="str">
        <f t="shared" si="25"/>
        <v>Feb</v>
      </c>
      <c r="X131">
        <f t="shared" ref="X131:X194" si="26">YEAR(A131)</f>
        <v>2025</v>
      </c>
    </row>
    <row r="132" spans="1:24" x14ac:dyDescent="0.35">
      <c r="A132" s="3">
        <v>45842</v>
      </c>
      <c r="B132" t="s">
        <v>217</v>
      </c>
      <c r="C132" t="s">
        <v>130</v>
      </c>
      <c r="D132" t="s">
        <v>265</v>
      </c>
      <c r="E132" t="s">
        <v>55</v>
      </c>
      <c r="F132" t="s">
        <v>54</v>
      </c>
      <c r="G132" t="s">
        <v>42</v>
      </c>
      <c r="H132">
        <v>30.4</v>
      </c>
      <c r="I132">
        <v>4887</v>
      </c>
      <c r="J132">
        <v>41</v>
      </c>
      <c r="K132">
        <v>10.5</v>
      </c>
      <c r="L132" t="s">
        <v>49</v>
      </c>
      <c r="M132">
        <v>21144.28</v>
      </c>
      <c r="N132">
        <v>21592</v>
      </c>
      <c r="O132" t="s">
        <v>50</v>
      </c>
      <c r="P132" t="str">
        <f t="shared" si="18"/>
        <v>Yes</v>
      </c>
      <c r="Q132">
        <f t="shared" si="19"/>
        <v>160.76</v>
      </c>
      <c r="R132">
        <f t="shared" si="20"/>
        <v>4.33</v>
      </c>
      <c r="S132">
        <f t="shared" si="21"/>
        <v>0.98</v>
      </c>
      <c r="T132" t="str">
        <f t="shared" si="22"/>
        <v>Delayed</v>
      </c>
      <c r="U132" t="str">
        <f t="shared" si="23"/>
        <v>Low</v>
      </c>
      <c r="V132" t="str">
        <f t="shared" si="24"/>
        <v>High Risk</v>
      </c>
      <c r="W132" t="str">
        <f t="shared" si="25"/>
        <v>Jul</v>
      </c>
      <c r="X132">
        <f t="shared" si="26"/>
        <v>2025</v>
      </c>
    </row>
    <row r="133" spans="1:24" x14ac:dyDescent="0.35">
      <c r="A133" s="3">
        <v>45939</v>
      </c>
      <c r="B133" t="s">
        <v>73</v>
      </c>
      <c r="C133" t="s">
        <v>52</v>
      </c>
      <c r="D133" t="s">
        <v>266</v>
      </c>
      <c r="E133" t="s">
        <v>63</v>
      </c>
      <c r="F133" t="s">
        <v>66</v>
      </c>
      <c r="G133" t="s">
        <v>35</v>
      </c>
      <c r="H133">
        <v>52.5</v>
      </c>
      <c r="I133">
        <v>3671</v>
      </c>
      <c r="J133">
        <v>52</v>
      </c>
      <c r="K133">
        <v>12</v>
      </c>
      <c r="L133" t="s">
        <v>30</v>
      </c>
      <c r="M133">
        <v>30005.05</v>
      </c>
      <c r="N133">
        <v>8601</v>
      </c>
      <c r="O133" t="s">
        <v>84</v>
      </c>
      <c r="P133" t="str">
        <f t="shared" si="18"/>
        <v>Yes</v>
      </c>
      <c r="Q133">
        <f t="shared" si="19"/>
        <v>69.92</v>
      </c>
      <c r="R133">
        <f t="shared" si="20"/>
        <v>8.17</v>
      </c>
      <c r="S133">
        <f t="shared" si="21"/>
        <v>3.49</v>
      </c>
      <c r="T133" t="str">
        <f t="shared" si="22"/>
        <v>Delayed</v>
      </c>
      <c r="U133" t="str">
        <f t="shared" si="23"/>
        <v>Medium</v>
      </c>
      <c r="V133" t="str">
        <f t="shared" si="24"/>
        <v>Medium Risk</v>
      </c>
      <c r="W133" t="str">
        <f t="shared" si="25"/>
        <v>Oct</v>
      </c>
      <c r="X133">
        <f t="shared" si="26"/>
        <v>2025</v>
      </c>
    </row>
    <row r="134" spans="1:24" x14ac:dyDescent="0.35">
      <c r="A134" s="3">
        <v>45955</v>
      </c>
      <c r="B134" t="s">
        <v>94</v>
      </c>
      <c r="C134" t="s">
        <v>39</v>
      </c>
      <c r="D134" t="s">
        <v>267</v>
      </c>
      <c r="E134" t="s">
        <v>54</v>
      </c>
      <c r="F134" t="s">
        <v>48</v>
      </c>
      <c r="G134" t="s">
        <v>42</v>
      </c>
      <c r="H134">
        <v>69.400000000000006</v>
      </c>
      <c r="I134">
        <v>4158</v>
      </c>
      <c r="J134">
        <v>25</v>
      </c>
      <c r="K134">
        <v>11.3</v>
      </c>
      <c r="L134" t="s">
        <v>49</v>
      </c>
      <c r="M134">
        <v>47565.06</v>
      </c>
      <c r="N134">
        <v>11721</v>
      </c>
      <c r="O134" t="s">
        <v>50</v>
      </c>
      <c r="P134" t="str">
        <f t="shared" si="18"/>
        <v>Yes</v>
      </c>
      <c r="Q134">
        <f t="shared" si="19"/>
        <v>59.91</v>
      </c>
      <c r="R134">
        <f t="shared" si="20"/>
        <v>11.44</v>
      </c>
      <c r="S134">
        <f t="shared" si="21"/>
        <v>4.0599999999999996</v>
      </c>
      <c r="T134" t="str">
        <f t="shared" si="22"/>
        <v>Delayed</v>
      </c>
      <c r="U134" t="str">
        <f t="shared" si="23"/>
        <v>High</v>
      </c>
      <c r="V134" t="str">
        <f t="shared" si="24"/>
        <v>High Risk</v>
      </c>
      <c r="W134" t="str">
        <f t="shared" si="25"/>
        <v>Oct</v>
      </c>
      <c r="X134">
        <f t="shared" si="26"/>
        <v>2025</v>
      </c>
    </row>
    <row r="135" spans="1:24" x14ac:dyDescent="0.35">
      <c r="A135" s="3">
        <v>45843</v>
      </c>
      <c r="B135" t="s">
        <v>244</v>
      </c>
      <c r="C135" t="s">
        <v>130</v>
      </c>
      <c r="D135" t="s">
        <v>268</v>
      </c>
      <c r="E135" t="s">
        <v>41</v>
      </c>
      <c r="F135" t="s">
        <v>28</v>
      </c>
      <c r="G135" t="s">
        <v>42</v>
      </c>
      <c r="H135">
        <v>51.9</v>
      </c>
      <c r="I135">
        <v>4943</v>
      </c>
      <c r="J135">
        <v>54</v>
      </c>
      <c r="K135">
        <v>11.9</v>
      </c>
      <c r="L135" t="s">
        <v>30</v>
      </c>
      <c r="M135">
        <v>28983.17</v>
      </c>
      <c r="N135">
        <v>9733</v>
      </c>
      <c r="O135" t="s">
        <v>44</v>
      </c>
      <c r="P135" t="str">
        <f t="shared" si="18"/>
        <v>Yes</v>
      </c>
      <c r="Q135">
        <f t="shared" si="19"/>
        <v>95.24</v>
      </c>
      <c r="R135">
        <f t="shared" si="20"/>
        <v>5.86</v>
      </c>
      <c r="S135">
        <f t="shared" si="21"/>
        <v>2.98</v>
      </c>
      <c r="T135" t="str">
        <f t="shared" si="22"/>
        <v>Delayed</v>
      </c>
      <c r="U135" t="str">
        <f t="shared" si="23"/>
        <v>Medium</v>
      </c>
      <c r="V135" t="str">
        <f t="shared" si="24"/>
        <v>Medium Risk</v>
      </c>
      <c r="W135" t="str">
        <f t="shared" si="25"/>
        <v>Jul</v>
      </c>
      <c r="X135">
        <f t="shared" si="26"/>
        <v>2025</v>
      </c>
    </row>
    <row r="136" spans="1:24" x14ac:dyDescent="0.35">
      <c r="A136" s="3">
        <v>45747</v>
      </c>
      <c r="B136" t="s">
        <v>64</v>
      </c>
      <c r="C136" t="s">
        <v>39</v>
      </c>
      <c r="D136" t="s">
        <v>269</v>
      </c>
      <c r="E136" t="s">
        <v>66</v>
      </c>
      <c r="F136" t="s">
        <v>27</v>
      </c>
      <c r="G136" t="s">
        <v>42</v>
      </c>
      <c r="H136">
        <v>67.900000000000006</v>
      </c>
      <c r="I136">
        <v>4538</v>
      </c>
      <c r="J136">
        <v>59</v>
      </c>
      <c r="K136">
        <v>18.7</v>
      </c>
      <c r="L136" t="s">
        <v>49</v>
      </c>
      <c r="M136">
        <v>45969.52</v>
      </c>
      <c r="N136">
        <v>20075</v>
      </c>
      <c r="O136" t="s">
        <v>67</v>
      </c>
      <c r="P136" t="str">
        <f t="shared" si="18"/>
        <v>Yes</v>
      </c>
      <c r="Q136">
        <f t="shared" si="19"/>
        <v>66.83</v>
      </c>
      <c r="R136">
        <f t="shared" si="20"/>
        <v>10.130000000000001</v>
      </c>
      <c r="S136">
        <f t="shared" si="21"/>
        <v>2.29</v>
      </c>
      <c r="T136" t="str">
        <f t="shared" si="22"/>
        <v>Delayed</v>
      </c>
      <c r="U136" t="str">
        <f t="shared" si="23"/>
        <v>High</v>
      </c>
      <c r="V136" t="str">
        <f t="shared" si="24"/>
        <v>High Risk</v>
      </c>
      <c r="W136" t="str">
        <f t="shared" si="25"/>
        <v>Mar</v>
      </c>
      <c r="X136">
        <f t="shared" si="26"/>
        <v>2025</v>
      </c>
    </row>
    <row r="137" spans="1:24" x14ac:dyDescent="0.35">
      <c r="A137" s="3">
        <v>45928</v>
      </c>
      <c r="B137" t="s">
        <v>68</v>
      </c>
      <c r="C137" t="s">
        <v>57</v>
      </c>
      <c r="D137" t="s">
        <v>270</v>
      </c>
      <c r="E137" t="s">
        <v>27</v>
      </c>
      <c r="F137" t="s">
        <v>63</v>
      </c>
      <c r="G137" t="s">
        <v>42</v>
      </c>
      <c r="H137">
        <v>68</v>
      </c>
      <c r="I137">
        <v>3730</v>
      </c>
      <c r="J137">
        <v>68</v>
      </c>
      <c r="K137">
        <v>19.5</v>
      </c>
      <c r="L137" t="s">
        <v>30</v>
      </c>
      <c r="M137">
        <v>33872.28</v>
      </c>
      <c r="N137">
        <v>25434</v>
      </c>
      <c r="O137" t="s">
        <v>50</v>
      </c>
      <c r="P137" t="str">
        <f t="shared" si="18"/>
        <v>Yes</v>
      </c>
      <c r="Q137">
        <f t="shared" si="19"/>
        <v>54.85</v>
      </c>
      <c r="R137">
        <f t="shared" si="20"/>
        <v>9.08</v>
      </c>
      <c r="S137">
        <f t="shared" si="21"/>
        <v>1.33</v>
      </c>
      <c r="T137" t="str">
        <f t="shared" si="22"/>
        <v>Delayed</v>
      </c>
      <c r="U137" t="str">
        <f t="shared" si="23"/>
        <v>High</v>
      </c>
      <c r="V137" t="str">
        <f t="shared" si="24"/>
        <v>Medium Risk</v>
      </c>
      <c r="W137" t="str">
        <f t="shared" si="25"/>
        <v>Sep</v>
      </c>
      <c r="X137">
        <f t="shared" si="26"/>
        <v>2025</v>
      </c>
    </row>
    <row r="138" spans="1:24" x14ac:dyDescent="0.35">
      <c r="A138" s="3">
        <v>45865</v>
      </c>
      <c r="B138" t="s">
        <v>38</v>
      </c>
      <c r="C138" t="s">
        <v>130</v>
      </c>
      <c r="D138" t="s">
        <v>271</v>
      </c>
      <c r="E138" t="s">
        <v>63</v>
      </c>
      <c r="F138" t="s">
        <v>66</v>
      </c>
      <c r="G138" t="s">
        <v>29</v>
      </c>
      <c r="H138">
        <v>71.3</v>
      </c>
      <c r="I138">
        <v>3612</v>
      </c>
      <c r="J138">
        <v>88</v>
      </c>
      <c r="K138">
        <v>19.100000000000001</v>
      </c>
      <c r="L138" t="s">
        <v>49</v>
      </c>
      <c r="M138">
        <v>39999.82</v>
      </c>
      <c r="N138">
        <v>25291</v>
      </c>
      <c r="O138" t="s">
        <v>84</v>
      </c>
      <c r="P138" t="str">
        <f t="shared" si="18"/>
        <v>Yes</v>
      </c>
      <c r="Q138">
        <f t="shared" si="19"/>
        <v>50.66</v>
      </c>
      <c r="R138">
        <f t="shared" si="20"/>
        <v>11.07</v>
      </c>
      <c r="S138">
        <f t="shared" si="21"/>
        <v>1.58</v>
      </c>
      <c r="T138" t="str">
        <f t="shared" si="22"/>
        <v>Delayed</v>
      </c>
      <c r="U138" t="str">
        <f t="shared" si="23"/>
        <v>High</v>
      </c>
      <c r="V138" t="str">
        <f t="shared" si="24"/>
        <v>High Risk</v>
      </c>
      <c r="W138" t="str">
        <f t="shared" si="25"/>
        <v>Jul</v>
      </c>
      <c r="X138">
        <f t="shared" si="26"/>
        <v>2025</v>
      </c>
    </row>
    <row r="139" spans="1:24" x14ac:dyDescent="0.35">
      <c r="A139" s="3">
        <v>45943</v>
      </c>
      <c r="B139" t="s">
        <v>108</v>
      </c>
      <c r="C139" t="s">
        <v>69</v>
      </c>
      <c r="D139" t="s">
        <v>272</v>
      </c>
      <c r="E139" t="s">
        <v>54</v>
      </c>
      <c r="F139" t="s">
        <v>66</v>
      </c>
      <c r="G139" t="s">
        <v>71</v>
      </c>
      <c r="H139">
        <v>45</v>
      </c>
      <c r="I139">
        <v>697</v>
      </c>
      <c r="J139">
        <v>88</v>
      </c>
      <c r="K139">
        <v>10.9</v>
      </c>
      <c r="L139" t="s">
        <v>78</v>
      </c>
      <c r="M139">
        <v>27926.15</v>
      </c>
      <c r="N139">
        <v>17093</v>
      </c>
      <c r="O139" t="s">
        <v>91</v>
      </c>
      <c r="P139" t="str">
        <f t="shared" si="18"/>
        <v>No</v>
      </c>
      <c r="Q139">
        <f t="shared" si="19"/>
        <v>15.49</v>
      </c>
      <c r="R139">
        <f t="shared" si="20"/>
        <v>40.07</v>
      </c>
      <c r="S139">
        <f t="shared" si="21"/>
        <v>1.63</v>
      </c>
      <c r="T139" t="str">
        <f t="shared" si="22"/>
        <v>On Time</v>
      </c>
      <c r="U139" t="str">
        <f t="shared" si="23"/>
        <v>Medium</v>
      </c>
      <c r="V139" t="str">
        <f t="shared" si="24"/>
        <v>Low Risk</v>
      </c>
      <c r="W139" t="str">
        <f t="shared" si="25"/>
        <v>Oct</v>
      </c>
      <c r="X139">
        <f t="shared" si="26"/>
        <v>2025</v>
      </c>
    </row>
    <row r="140" spans="1:24" x14ac:dyDescent="0.35">
      <c r="A140" s="3">
        <v>45675</v>
      </c>
      <c r="B140" t="s">
        <v>120</v>
      </c>
      <c r="C140" t="s">
        <v>52</v>
      </c>
      <c r="D140" t="s">
        <v>273</v>
      </c>
      <c r="E140" t="s">
        <v>54</v>
      </c>
      <c r="F140" t="s">
        <v>66</v>
      </c>
      <c r="G140" t="s">
        <v>35</v>
      </c>
      <c r="H140">
        <v>22.3</v>
      </c>
      <c r="I140">
        <v>3632</v>
      </c>
      <c r="J140">
        <v>97</v>
      </c>
      <c r="K140">
        <v>11.5</v>
      </c>
      <c r="L140" t="s">
        <v>43</v>
      </c>
      <c r="M140">
        <v>10222.56</v>
      </c>
      <c r="N140">
        <v>23664</v>
      </c>
      <c r="O140" t="s">
        <v>67</v>
      </c>
      <c r="P140" t="str">
        <f t="shared" si="18"/>
        <v>Yes</v>
      </c>
      <c r="Q140">
        <f t="shared" si="19"/>
        <v>162.87</v>
      </c>
      <c r="R140">
        <f t="shared" si="20"/>
        <v>2.81</v>
      </c>
      <c r="S140">
        <f t="shared" si="21"/>
        <v>0.43</v>
      </c>
      <c r="T140" t="str">
        <f t="shared" si="22"/>
        <v>Delayed</v>
      </c>
      <c r="U140" t="str">
        <f t="shared" si="23"/>
        <v>Low</v>
      </c>
      <c r="V140" t="str">
        <f t="shared" si="24"/>
        <v>Low Risk</v>
      </c>
      <c r="W140" t="str">
        <f t="shared" si="25"/>
        <v>Jan</v>
      </c>
      <c r="X140">
        <f t="shared" si="26"/>
        <v>2025</v>
      </c>
    </row>
    <row r="141" spans="1:24" x14ac:dyDescent="0.35">
      <c r="A141" s="3">
        <v>45923</v>
      </c>
      <c r="B141" t="s">
        <v>193</v>
      </c>
      <c r="C141" t="s">
        <v>52</v>
      </c>
      <c r="D141" t="s">
        <v>274</v>
      </c>
      <c r="E141" t="s">
        <v>55</v>
      </c>
      <c r="F141" t="s">
        <v>66</v>
      </c>
      <c r="G141" t="s">
        <v>71</v>
      </c>
      <c r="H141">
        <v>42.7</v>
      </c>
      <c r="I141">
        <v>4784</v>
      </c>
      <c r="J141">
        <v>101</v>
      </c>
      <c r="K141">
        <v>11.5</v>
      </c>
      <c r="L141" t="s">
        <v>43</v>
      </c>
      <c r="M141">
        <v>27819.07</v>
      </c>
      <c r="N141">
        <v>10776</v>
      </c>
      <c r="O141" t="s">
        <v>36</v>
      </c>
      <c r="P141" t="str">
        <f t="shared" si="18"/>
        <v>Yes</v>
      </c>
      <c r="Q141">
        <f t="shared" si="19"/>
        <v>112.04</v>
      </c>
      <c r="R141">
        <f t="shared" si="20"/>
        <v>5.82</v>
      </c>
      <c r="S141">
        <f t="shared" si="21"/>
        <v>2.58</v>
      </c>
      <c r="T141" t="str">
        <f t="shared" si="22"/>
        <v>Delayed</v>
      </c>
      <c r="U141" t="str">
        <f t="shared" si="23"/>
        <v>Medium</v>
      </c>
      <c r="V141" t="str">
        <f t="shared" si="24"/>
        <v>Low Risk</v>
      </c>
      <c r="W141" t="str">
        <f t="shared" si="25"/>
        <v>Sep</v>
      </c>
      <c r="X141">
        <f t="shared" si="26"/>
        <v>2025</v>
      </c>
    </row>
    <row r="142" spans="1:24" x14ac:dyDescent="0.35">
      <c r="A142" s="3">
        <v>45889</v>
      </c>
      <c r="B142" t="s">
        <v>275</v>
      </c>
      <c r="C142" t="s">
        <v>130</v>
      </c>
      <c r="D142" t="s">
        <v>276</v>
      </c>
      <c r="E142" t="s">
        <v>63</v>
      </c>
      <c r="F142" t="s">
        <v>27</v>
      </c>
      <c r="G142" t="s">
        <v>71</v>
      </c>
      <c r="H142">
        <v>45.4</v>
      </c>
      <c r="I142">
        <v>1938</v>
      </c>
      <c r="J142">
        <v>79</v>
      </c>
      <c r="K142">
        <v>10.1</v>
      </c>
      <c r="L142" t="s">
        <v>78</v>
      </c>
      <c r="M142">
        <v>28626.41</v>
      </c>
      <c r="N142">
        <v>9463</v>
      </c>
      <c r="O142" t="s">
        <v>50</v>
      </c>
      <c r="P142" t="str">
        <f t="shared" si="18"/>
        <v>No</v>
      </c>
      <c r="Q142">
        <f t="shared" si="19"/>
        <v>42.69</v>
      </c>
      <c r="R142">
        <f t="shared" si="20"/>
        <v>14.77</v>
      </c>
      <c r="S142">
        <f t="shared" si="21"/>
        <v>3.03</v>
      </c>
      <c r="T142" t="str">
        <f t="shared" si="22"/>
        <v>On Time</v>
      </c>
      <c r="U142" t="str">
        <f t="shared" si="23"/>
        <v>Medium</v>
      </c>
      <c r="V142" t="str">
        <f t="shared" si="24"/>
        <v>Low Risk</v>
      </c>
      <c r="W142" t="str">
        <f t="shared" si="25"/>
        <v>Aug</v>
      </c>
      <c r="X142">
        <f t="shared" si="26"/>
        <v>2025</v>
      </c>
    </row>
    <row r="143" spans="1:24" x14ac:dyDescent="0.35">
      <c r="A143" s="3">
        <v>45842</v>
      </c>
      <c r="B143" t="s">
        <v>277</v>
      </c>
      <c r="C143" t="s">
        <v>95</v>
      </c>
      <c r="D143" t="s">
        <v>278</v>
      </c>
      <c r="E143" t="s">
        <v>48</v>
      </c>
      <c r="F143" t="s">
        <v>27</v>
      </c>
      <c r="G143" t="s">
        <v>71</v>
      </c>
      <c r="H143">
        <v>26.2</v>
      </c>
      <c r="I143">
        <v>1779</v>
      </c>
      <c r="J143">
        <v>42</v>
      </c>
      <c r="K143">
        <v>20.6</v>
      </c>
      <c r="L143" t="s">
        <v>78</v>
      </c>
      <c r="M143">
        <v>17780.71</v>
      </c>
      <c r="N143">
        <v>13361</v>
      </c>
      <c r="O143" t="s">
        <v>59</v>
      </c>
      <c r="P143" t="str">
        <f t="shared" si="18"/>
        <v>No</v>
      </c>
      <c r="Q143">
        <f t="shared" si="19"/>
        <v>67.900000000000006</v>
      </c>
      <c r="R143">
        <f t="shared" si="20"/>
        <v>9.99</v>
      </c>
      <c r="S143">
        <f t="shared" si="21"/>
        <v>1.33</v>
      </c>
      <c r="T143" t="str">
        <f t="shared" si="22"/>
        <v>On Time</v>
      </c>
      <c r="U143" t="str">
        <f t="shared" si="23"/>
        <v>Low</v>
      </c>
      <c r="V143" t="str">
        <f t="shared" si="24"/>
        <v>Low Risk</v>
      </c>
      <c r="W143" t="str">
        <f t="shared" si="25"/>
        <v>Jul</v>
      </c>
      <c r="X143">
        <f t="shared" si="26"/>
        <v>2025</v>
      </c>
    </row>
    <row r="144" spans="1:24" x14ac:dyDescent="0.35">
      <c r="A144" s="3">
        <v>45695</v>
      </c>
      <c r="B144" t="s">
        <v>246</v>
      </c>
      <c r="C144" t="s">
        <v>130</v>
      </c>
      <c r="D144" t="s">
        <v>279</v>
      </c>
      <c r="E144" t="s">
        <v>41</v>
      </c>
      <c r="F144" t="s">
        <v>66</v>
      </c>
      <c r="G144" t="s">
        <v>42</v>
      </c>
      <c r="H144">
        <v>29.2</v>
      </c>
      <c r="I144">
        <v>1969</v>
      </c>
      <c r="J144">
        <v>68</v>
      </c>
      <c r="K144">
        <v>19.5</v>
      </c>
      <c r="L144" t="s">
        <v>43</v>
      </c>
      <c r="M144">
        <v>13509.86</v>
      </c>
      <c r="N144">
        <v>26370</v>
      </c>
      <c r="O144" t="s">
        <v>36</v>
      </c>
      <c r="P144" t="str">
        <f t="shared" si="18"/>
        <v>Yes</v>
      </c>
      <c r="Q144">
        <f t="shared" si="19"/>
        <v>67.430000000000007</v>
      </c>
      <c r="R144">
        <f t="shared" si="20"/>
        <v>6.86</v>
      </c>
      <c r="S144">
        <f t="shared" si="21"/>
        <v>0.51</v>
      </c>
      <c r="T144" t="str">
        <f t="shared" si="22"/>
        <v>Delayed</v>
      </c>
      <c r="U144" t="str">
        <f t="shared" si="23"/>
        <v>Low</v>
      </c>
      <c r="V144" t="str">
        <f t="shared" si="24"/>
        <v>Low Risk</v>
      </c>
      <c r="W144" t="str">
        <f t="shared" si="25"/>
        <v>Feb</v>
      </c>
      <c r="X144">
        <f t="shared" si="26"/>
        <v>2025</v>
      </c>
    </row>
    <row r="145" spans="1:24" x14ac:dyDescent="0.35">
      <c r="A145" s="3">
        <v>45677</v>
      </c>
      <c r="B145" t="s">
        <v>173</v>
      </c>
      <c r="C145" t="s">
        <v>69</v>
      </c>
      <c r="D145" t="s">
        <v>280</v>
      </c>
      <c r="E145" t="s">
        <v>28</v>
      </c>
      <c r="F145" t="s">
        <v>27</v>
      </c>
      <c r="G145" t="s">
        <v>42</v>
      </c>
      <c r="H145">
        <v>44.3</v>
      </c>
      <c r="I145">
        <v>4817</v>
      </c>
      <c r="J145">
        <v>86</v>
      </c>
      <c r="K145">
        <v>17.399999999999999</v>
      </c>
      <c r="L145" t="s">
        <v>43</v>
      </c>
      <c r="M145">
        <v>27254.93</v>
      </c>
      <c r="N145">
        <v>11619</v>
      </c>
      <c r="O145" t="s">
        <v>84</v>
      </c>
      <c r="P145" t="str">
        <f t="shared" si="18"/>
        <v>Yes</v>
      </c>
      <c r="Q145">
        <f t="shared" si="19"/>
        <v>108.74</v>
      </c>
      <c r="R145">
        <f t="shared" si="20"/>
        <v>5.66</v>
      </c>
      <c r="S145">
        <f t="shared" si="21"/>
        <v>2.35</v>
      </c>
      <c r="T145" t="str">
        <f t="shared" si="22"/>
        <v>Delayed</v>
      </c>
      <c r="U145" t="str">
        <f t="shared" si="23"/>
        <v>Medium</v>
      </c>
      <c r="V145" t="str">
        <f t="shared" si="24"/>
        <v>Low Risk</v>
      </c>
      <c r="W145" t="str">
        <f t="shared" si="25"/>
        <v>Jan</v>
      </c>
      <c r="X145">
        <f t="shared" si="26"/>
        <v>2025</v>
      </c>
    </row>
    <row r="146" spans="1:24" x14ac:dyDescent="0.35">
      <c r="A146" s="3">
        <v>45855</v>
      </c>
      <c r="B146" t="s">
        <v>221</v>
      </c>
      <c r="C146" t="s">
        <v>25</v>
      </c>
      <c r="D146" t="s">
        <v>281</v>
      </c>
      <c r="E146" t="s">
        <v>48</v>
      </c>
      <c r="F146" t="s">
        <v>54</v>
      </c>
      <c r="G146" t="s">
        <v>71</v>
      </c>
      <c r="H146">
        <v>52.4</v>
      </c>
      <c r="I146">
        <v>1818</v>
      </c>
      <c r="J146">
        <v>31</v>
      </c>
      <c r="K146">
        <v>15.8</v>
      </c>
      <c r="L146" t="s">
        <v>49</v>
      </c>
      <c r="M146">
        <v>26598.31</v>
      </c>
      <c r="N146">
        <v>25413</v>
      </c>
      <c r="O146" t="s">
        <v>91</v>
      </c>
      <c r="P146" t="str">
        <f t="shared" si="18"/>
        <v>Yes</v>
      </c>
      <c r="Q146">
        <f t="shared" si="19"/>
        <v>34.69</v>
      </c>
      <c r="R146">
        <f t="shared" si="20"/>
        <v>14.63</v>
      </c>
      <c r="S146">
        <f t="shared" si="21"/>
        <v>1.05</v>
      </c>
      <c r="T146" t="str">
        <f t="shared" si="22"/>
        <v>Delayed</v>
      </c>
      <c r="U146" t="str">
        <f t="shared" si="23"/>
        <v>Medium</v>
      </c>
      <c r="V146" t="str">
        <f t="shared" si="24"/>
        <v>High Risk</v>
      </c>
      <c r="W146" t="str">
        <f t="shared" si="25"/>
        <v>Jul</v>
      </c>
      <c r="X146">
        <f t="shared" si="26"/>
        <v>2025</v>
      </c>
    </row>
    <row r="147" spans="1:24" x14ac:dyDescent="0.35">
      <c r="A147" s="3">
        <v>45751</v>
      </c>
      <c r="B147" t="s">
        <v>167</v>
      </c>
      <c r="C147" t="s">
        <v>57</v>
      </c>
      <c r="D147" t="s">
        <v>282</v>
      </c>
      <c r="E147" t="s">
        <v>48</v>
      </c>
      <c r="F147" t="s">
        <v>63</v>
      </c>
      <c r="G147" t="s">
        <v>29</v>
      </c>
      <c r="H147">
        <v>51.8</v>
      </c>
      <c r="I147">
        <v>3447</v>
      </c>
      <c r="J147">
        <v>116</v>
      </c>
      <c r="K147">
        <v>19.899999999999999</v>
      </c>
      <c r="L147" t="s">
        <v>49</v>
      </c>
      <c r="M147">
        <v>34938.42</v>
      </c>
      <c r="N147">
        <v>15599</v>
      </c>
      <c r="O147" t="s">
        <v>44</v>
      </c>
      <c r="P147" t="str">
        <f t="shared" si="18"/>
        <v>Yes</v>
      </c>
      <c r="Q147">
        <f t="shared" si="19"/>
        <v>66.540000000000006</v>
      </c>
      <c r="R147">
        <f t="shared" si="20"/>
        <v>10.14</v>
      </c>
      <c r="S147">
        <f t="shared" si="21"/>
        <v>2.2400000000000002</v>
      </c>
      <c r="T147" t="str">
        <f t="shared" si="22"/>
        <v>Delayed</v>
      </c>
      <c r="U147" t="str">
        <f t="shared" si="23"/>
        <v>Medium</v>
      </c>
      <c r="V147" t="str">
        <f t="shared" si="24"/>
        <v>High Risk</v>
      </c>
      <c r="W147" t="str">
        <f t="shared" si="25"/>
        <v>Apr</v>
      </c>
      <c r="X147">
        <f t="shared" si="26"/>
        <v>2025</v>
      </c>
    </row>
    <row r="148" spans="1:24" x14ac:dyDescent="0.35">
      <c r="A148" s="3">
        <v>45760</v>
      </c>
      <c r="B148" t="s">
        <v>104</v>
      </c>
      <c r="C148" t="s">
        <v>57</v>
      </c>
      <c r="D148" t="s">
        <v>283</v>
      </c>
      <c r="E148" t="s">
        <v>28</v>
      </c>
      <c r="F148" t="s">
        <v>54</v>
      </c>
      <c r="G148" t="s">
        <v>29</v>
      </c>
      <c r="H148">
        <v>50.8</v>
      </c>
      <c r="I148">
        <v>1618</v>
      </c>
      <c r="J148">
        <v>59</v>
      </c>
      <c r="K148">
        <v>12.8</v>
      </c>
      <c r="L148" t="s">
        <v>49</v>
      </c>
      <c r="M148">
        <v>25488.38</v>
      </c>
      <c r="N148">
        <v>21601</v>
      </c>
      <c r="O148" t="s">
        <v>84</v>
      </c>
      <c r="P148" t="str">
        <f t="shared" si="18"/>
        <v>Yes</v>
      </c>
      <c r="Q148">
        <f t="shared" si="19"/>
        <v>31.85</v>
      </c>
      <c r="R148">
        <f t="shared" si="20"/>
        <v>15.75</v>
      </c>
      <c r="S148">
        <f t="shared" si="21"/>
        <v>1.18</v>
      </c>
      <c r="T148" t="str">
        <f t="shared" si="22"/>
        <v>Delayed</v>
      </c>
      <c r="U148" t="str">
        <f t="shared" si="23"/>
        <v>Medium</v>
      </c>
      <c r="V148" t="str">
        <f t="shared" si="24"/>
        <v>High Risk</v>
      </c>
      <c r="W148" t="str">
        <f t="shared" si="25"/>
        <v>Apr</v>
      </c>
      <c r="X148">
        <f t="shared" si="26"/>
        <v>2025</v>
      </c>
    </row>
    <row r="149" spans="1:24" x14ac:dyDescent="0.35">
      <c r="A149" s="3">
        <v>45693</v>
      </c>
      <c r="B149" t="s">
        <v>214</v>
      </c>
      <c r="C149" t="s">
        <v>95</v>
      </c>
      <c r="D149" t="s">
        <v>284</v>
      </c>
      <c r="E149" t="s">
        <v>27</v>
      </c>
      <c r="F149" t="s">
        <v>48</v>
      </c>
      <c r="G149" t="s">
        <v>29</v>
      </c>
      <c r="H149">
        <v>75.400000000000006</v>
      </c>
      <c r="I149">
        <v>1234</v>
      </c>
      <c r="J149">
        <v>91</v>
      </c>
      <c r="K149">
        <v>21.3</v>
      </c>
      <c r="L149" t="s">
        <v>30</v>
      </c>
      <c r="M149">
        <v>35292.31</v>
      </c>
      <c r="N149">
        <v>19129</v>
      </c>
      <c r="O149" t="s">
        <v>31</v>
      </c>
      <c r="P149" t="str">
        <f t="shared" si="18"/>
        <v>Yes</v>
      </c>
      <c r="Q149">
        <f t="shared" si="19"/>
        <v>16.37</v>
      </c>
      <c r="R149">
        <f t="shared" si="20"/>
        <v>28.6</v>
      </c>
      <c r="S149">
        <f t="shared" si="21"/>
        <v>1.84</v>
      </c>
      <c r="T149" t="str">
        <f t="shared" si="22"/>
        <v>Delayed</v>
      </c>
      <c r="U149" t="str">
        <f t="shared" si="23"/>
        <v>High</v>
      </c>
      <c r="V149" t="str">
        <f t="shared" si="24"/>
        <v>Medium Risk</v>
      </c>
      <c r="W149" t="str">
        <f t="shared" si="25"/>
        <v>Feb</v>
      </c>
      <c r="X149">
        <f t="shared" si="26"/>
        <v>2025</v>
      </c>
    </row>
    <row r="150" spans="1:24" x14ac:dyDescent="0.35">
      <c r="A150" s="3">
        <v>46013</v>
      </c>
      <c r="B150" t="s">
        <v>214</v>
      </c>
      <c r="C150" t="s">
        <v>52</v>
      </c>
      <c r="D150" t="s">
        <v>285</v>
      </c>
      <c r="E150" t="s">
        <v>48</v>
      </c>
      <c r="F150" t="s">
        <v>54</v>
      </c>
      <c r="G150" t="s">
        <v>29</v>
      </c>
      <c r="H150">
        <v>79.400000000000006</v>
      </c>
      <c r="I150">
        <v>4608</v>
      </c>
      <c r="J150">
        <v>21</v>
      </c>
      <c r="K150">
        <v>15.9</v>
      </c>
      <c r="L150" t="s">
        <v>49</v>
      </c>
      <c r="M150">
        <v>39219.68</v>
      </c>
      <c r="N150">
        <v>5457</v>
      </c>
      <c r="O150" t="s">
        <v>50</v>
      </c>
      <c r="P150" t="str">
        <f t="shared" si="18"/>
        <v>Yes</v>
      </c>
      <c r="Q150">
        <f t="shared" si="19"/>
        <v>58.04</v>
      </c>
      <c r="R150">
        <f t="shared" si="20"/>
        <v>8.51</v>
      </c>
      <c r="S150">
        <f t="shared" si="21"/>
        <v>7.19</v>
      </c>
      <c r="T150" t="str">
        <f t="shared" si="22"/>
        <v>Delayed</v>
      </c>
      <c r="U150" t="str">
        <f t="shared" si="23"/>
        <v>High</v>
      </c>
      <c r="V150" t="str">
        <f t="shared" si="24"/>
        <v>High Risk</v>
      </c>
      <c r="W150" t="str">
        <f t="shared" si="25"/>
        <v>Dec</v>
      </c>
      <c r="X150">
        <f t="shared" si="26"/>
        <v>2025</v>
      </c>
    </row>
    <row r="151" spans="1:24" x14ac:dyDescent="0.35">
      <c r="A151" s="3">
        <v>46019</v>
      </c>
      <c r="B151" t="s">
        <v>68</v>
      </c>
      <c r="C151" t="s">
        <v>39</v>
      </c>
      <c r="D151" t="s">
        <v>286</v>
      </c>
      <c r="E151" t="s">
        <v>48</v>
      </c>
      <c r="F151" t="s">
        <v>63</v>
      </c>
      <c r="G151" t="s">
        <v>29</v>
      </c>
      <c r="H151">
        <v>41.7</v>
      </c>
      <c r="I151">
        <v>2696</v>
      </c>
      <c r="J151">
        <v>26</v>
      </c>
      <c r="K151">
        <v>13.3</v>
      </c>
      <c r="L151" t="s">
        <v>49</v>
      </c>
      <c r="M151">
        <v>29146.15</v>
      </c>
      <c r="N151">
        <v>16318</v>
      </c>
      <c r="O151" t="s">
        <v>31</v>
      </c>
      <c r="P151" t="str">
        <f t="shared" si="18"/>
        <v>Yes</v>
      </c>
      <c r="Q151">
        <f t="shared" si="19"/>
        <v>64.650000000000006</v>
      </c>
      <c r="R151">
        <f t="shared" si="20"/>
        <v>10.81</v>
      </c>
      <c r="S151">
        <f t="shared" si="21"/>
        <v>1.79</v>
      </c>
      <c r="T151" t="str">
        <f t="shared" si="22"/>
        <v>Delayed</v>
      </c>
      <c r="U151" t="str">
        <f t="shared" si="23"/>
        <v>Medium</v>
      </c>
      <c r="V151" t="str">
        <f t="shared" si="24"/>
        <v>High Risk</v>
      </c>
      <c r="W151" t="str">
        <f t="shared" si="25"/>
        <v>Dec</v>
      </c>
      <c r="X151">
        <f t="shared" si="26"/>
        <v>2025</v>
      </c>
    </row>
    <row r="152" spans="1:24" x14ac:dyDescent="0.35">
      <c r="A152" s="3">
        <v>45723</v>
      </c>
      <c r="B152" t="s">
        <v>142</v>
      </c>
      <c r="C152" t="s">
        <v>95</v>
      </c>
      <c r="D152" t="s">
        <v>287</v>
      </c>
      <c r="E152" t="s">
        <v>63</v>
      </c>
      <c r="F152" t="s">
        <v>27</v>
      </c>
      <c r="G152" t="s">
        <v>42</v>
      </c>
      <c r="H152">
        <v>21.9</v>
      </c>
      <c r="I152">
        <v>1847</v>
      </c>
      <c r="J152">
        <v>90</v>
      </c>
      <c r="K152">
        <v>14.7</v>
      </c>
      <c r="L152" t="s">
        <v>78</v>
      </c>
      <c r="M152">
        <v>13052.31</v>
      </c>
      <c r="N152">
        <v>22859</v>
      </c>
      <c r="O152" t="s">
        <v>44</v>
      </c>
      <c r="P152" t="str">
        <f t="shared" si="18"/>
        <v>No</v>
      </c>
      <c r="Q152">
        <f t="shared" si="19"/>
        <v>84.34</v>
      </c>
      <c r="R152">
        <f t="shared" si="20"/>
        <v>7.07</v>
      </c>
      <c r="S152">
        <f t="shared" si="21"/>
        <v>0.56999999999999995</v>
      </c>
      <c r="T152" t="str">
        <f t="shared" si="22"/>
        <v>On Time</v>
      </c>
      <c r="U152" t="str">
        <f t="shared" si="23"/>
        <v>Low</v>
      </c>
      <c r="V152" t="str">
        <f t="shared" si="24"/>
        <v>Low Risk</v>
      </c>
      <c r="W152" t="str">
        <f t="shared" si="25"/>
        <v>Mar</v>
      </c>
      <c r="X152">
        <f t="shared" si="26"/>
        <v>2025</v>
      </c>
    </row>
    <row r="153" spans="1:24" x14ac:dyDescent="0.35">
      <c r="A153" s="3">
        <v>45698</v>
      </c>
      <c r="B153" t="s">
        <v>167</v>
      </c>
      <c r="C153" t="s">
        <v>25</v>
      </c>
      <c r="D153" t="s">
        <v>288</v>
      </c>
      <c r="E153" t="s">
        <v>28</v>
      </c>
      <c r="F153" t="s">
        <v>55</v>
      </c>
      <c r="G153" t="s">
        <v>71</v>
      </c>
      <c r="H153">
        <v>56.4</v>
      </c>
      <c r="I153">
        <v>2762</v>
      </c>
      <c r="J153">
        <v>113</v>
      </c>
      <c r="K153">
        <v>14.5</v>
      </c>
      <c r="L153" t="s">
        <v>43</v>
      </c>
      <c r="M153">
        <v>28996.03</v>
      </c>
      <c r="N153">
        <v>11162</v>
      </c>
      <c r="O153" t="s">
        <v>44</v>
      </c>
      <c r="P153" t="str">
        <f t="shared" si="18"/>
        <v>Yes</v>
      </c>
      <c r="Q153">
        <f t="shared" si="19"/>
        <v>48.97</v>
      </c>
      <c r="R153">
        <f t="shared" si="20"/>
        <v>10.5</v>
      </c>
      <c r="S153">
        <f t="shared" si="21"/>
        <v>2.6</v>
      </c>
      <c r="T153" t="str">
        <f t="shared" si="22"/>
        <v>Delayed</v>
      </c>
      <c r="U153" t="str">
        <f t="shared" si="23"/>
        <v>Medium</v>
      </c>
      <c r="V153" t="str">
        <f t="shared" si="24"/>
        <v>Low Risk</v>
      </c>
      <c r="W153" t="str">
        <f t="shared" si="25"/>
        <v>Feb</v>
      </c>
      <c r="X153">
        <f t="shared" si="26"/>
        <v>2025</v>
      </c>
    </row>
    <row r="154" spans="1:24" x14ac:dyDescent="0.35">
      <c r="A154" s="3">
        <v>45805</v>
      </c>
      <c r="B154" t="s">
        <v>188</v>
      </c>
      <c r="C154" t="s">
        <v>39</v>
      </c>
      <c r="D154" t="s">
        <v>289</v>
      </c>
      <c r="E154" t="s">
        <v>28</v>
      </c>
      <c r="F154" t="s">
        <v>48</v>
      </c>
      <c r="G154" t="s">
        <v>71</v>
      </c>
      <c r="H154">
        <v>66</v>
      </c>
      <c r="I154">
        <v>2255</v>
      </c>
      <c r="J154">
        <v>82</v>
      </c>
      <c r="K154">
        <v>18.600000000000001</v>
      </c>
      <c r="L154" t="s">
        <v>78</v>
      </c>
      <c r="M154">
        <v>36517.769999999997</v>
      </c>
      <c r="N154">
        <v>7223</v>
      </c>
      <c r="O154" t="s">
        <v>59</v>
      </c>
      <c r="P154" t="str">
        <f t="shared" si="18"/>
        <v>No</v>
      </c>
      <c r="Q154">
        <f t="shared" si="19"/>
        <v>34.17</v>
      </c>
      <c r="R154">
        <f t="shared" si="20"/>
        <v>16.190000000000001</v>
      </c>
      <c r="S154">
        <f t="shared" si="21"/>
        <v>5.0599999999999996</v>
      </c>
      <c r="T154" t="str">
        <f t="shared" si="22"/>
        <v>On Time</v>
      </c>
      <c r="U154" t="str">
        <f t="shared" si="23"/>
        <v>High</v>
      </c>
      <c r="V154" t="str">
        <f t="shared" si="24"/>
        <v>Low Risk</v>
      </c>
      <c r="W154" t="str">
        <f t="shared" si="25"/>
        <v>May</v>
      </c>
      <c r="X154">
        <f t="shared" si="26"/>
        <v>2025</v>
      </c>
    </row>
    <row r="155" spans="1:24" x14ac:dyDescent="0.35">
      <c r="A155" s="3">
        <v>45700</v>
      </c>
      <c r="B155" t="s">
        <v>159</v>
      </c>
      <c r="C155" t="s">
        <v>130</v>
      </c>
      <c r="D155" t="s">
        <v>290</v>
      </c>
      <c r="E155" t="s">
        <v>54</v>
      </c>
      <c r="F155" t="s">
        <v>63</v>
      </c>
      <c r="G155" t="s">
        <v>35</v>
      </c>
      <c r="H155">
        <v>57.4</v>
      </c>
      <c r="I155">
        <v>1104</v>
      </c>
      <c r="J155">
        <v>85</v>
      </c>
      <c r="K155">
        <v>10.3</v>
      </c>
      <c r="L155" t="s">
        <v>78</v>
      </c>
      <c r="M155">
        <v>39519.57</v>
      </c>
      <c r="N155">
        <v>15760</v>
      </c>
      <c r="O155" t="s">
        <v>31</v>
      </c>
      <c r="P155" t="str">
        <f t="shared" si="18"/>
        <v>No</v>
      </c>
      <c r="Q155">
        <f t="shared" si="19"/>
        <v>19.23</v>
      </c>
      <c r="R155">
        <f t="shared" si="20"/>
        <v>35.799999999999997</v>
      </c>
      <c r="S155">
        <f t="shared" si="21"/>
        <v>2.5099999999999998</v>
      </c>
      <c r="T155" t="str">
        <f t="shared" si="22"/>
        <v>On Time</v>
      </c>
      <c r="U155" t="str">
        <f t="shared" si="23"/>
        <v>Medium</v>
      </c>
      <c r="V155" t="str">
        <f t="shared" si="24"/>
        <v>Low Risk</v>
      </c>
      <c r="W155" t="str">
        <f t="shared" si="25"/>
        <v>Feb</v>
      </c>
      <c r="X155">
        <f t="shared" si="26"/>
        <v>2025</v>
      </c>
    </row>
    <row r="156" spans="1:24" x14ac:dyDescent="0.35">
      <c r="A156" s="3">
        <v>45891</v>
      </c>
      <c r="B156" t="s">
        <v>291</v>
      </c>
      <c r="C156" t="s">
        <v>39</v>
      </c>
      <c r="D156" t="s">
        <v>292</v>
      </c>
      <c r="E156" t="s">
        <v>27</v>
      </c>
      <c r="F156" t="s">
        <v>66</v>
      </c>
      <c r="G156" t="s">
        <v>35</v>
      </c>
      <c r="H156">
        <v>44.3</v>
      </c>
      <c r="I156">
        <v>2499</v>
      </c>
      <c r="J156">
        <v>47</v>
      </c>
      <c r="K156">
        <v>21.2</v>
      </c>
      <c r="L156" t="s">
        <v>49</v>
      </c>
      <c r="M156">
        <v>24580.66</v>
      </c>
      <c r="N156">
        <v>7670</v>
      </c>
      <c r="O156" t="s">
        <v>44</v>
      </c>
      <c r="P156" t="str">
        <f t="shared" si="18"/>
        <v>Yes</v>
      </c>
      <c r="Q156">
        <f t="shared" si="19"/>
        <v>56.41</v>
      </c>
      <c r="R156">
        <f t="shared" si="20"/>
        <v>9.84</v>
      </c>
      <c r="S156">
        <f t="shared" si="21"/>
        <v>3.2</v>
      </c>
      <c r="T156" t="str">
        <f t="shared" si="22"/>
        <v>Delayed</v>
      </c>
      <c r="U156" t="str">
        <f t="shared" si="23"/>
        <v>Medium</v>
      </c>
      <c r="V156" t="str">
        <f t="shared" si="24"/>
        <v>High Risk</v>
      </c>
      <c r="W156" t="str">
        <f t="shared" si="25"/>
        <v>Aug</v>
      </c>
      <c r="X156">
        <f t="shared" si="26"/>
        <v>2025</v>
      </c>
    </row>
    <row r="157" spans="1:24" x14ac:dyDescent="0.35">
      <c r="A157" s="3">
        <v>45687</v>
      </c>
      <c r="B157" t="s">
        <v>125</v>
      </c>
      <c r="C157" t="s">
        <v>25</v>
      </c>
      <c r="D157" t="s">
        <v>293</v>
      </c>
      <c r="E157" t="s">
        <v>28</v>
      </c>
      <c r="F157" t="s">
        <v>55</v>
      </c>
      <c r="G157" t="s">
        <v>42</v>
      </c>
      <c r="H157">
        <v>29.1</v>
      </c>
      <c r="I157">
        <v>4534</v>
      </c>
      <c r="J157">
        <v>83</v>
      </c>
      <c r="K157">
        <v>13.6</v>
      </c>
      <c r="L157" t="s">
        <v>78</v>
      </c>
      <c r="M157">
        <v>15214.33</v>
      </c>
      <c r="N157">
        <v>29585</v>
      </c>
      <c r="O157" t="s">
        <v>91</v>
      </c>
      <c r="P157" t="str">
        <f t="shared" si="18"/>
        <v>No</v>
      </c>
      <c r="Q157">
        <f t="shared" si="19"/>
        <v>155.81</v>
      </c>
      <c r="R157">
        <f t="shared" si="20"/>
        <v>3.36</v>
      </c>
      <c r="S157">
        <f t="shared" si="21"/>
        <v>0.51</v>
      </c>
      <c r="T157" t="str">
        <f t="shared" si="22"/>
        <v>On Time</v>
      </c>
      <c r="U157" t="str">
        <f t="shared" si="23"/>
        <v>Low</v>
      </c>
      <c r="V157" t="str">
        <f t="shared" si="24"/>
        <v>Low Risk</v>
      </c>
      <c r="W157" t="str">
        <f t="shared" si="25"/>
        <v>Jan</v>
      </c>
      <c r="X157">
        <f t="shared" si="26"/>
        <v>2025</v>
      </c>
    </row>
    <row r="158" spans="1:24" x14ac:dyDescent="0.35">
      <c r="A158" s="3">
        <v>45941</v>
      </c>
      <c r="B158" t="s">
        <v>152</v>
      </c>
      <c r="C158" t="s">
        <v>52</v>
      </c>
      <c r="D158" t="s">
        <v>294</v>
      </c>
      <c r="E158" t="s">
        <v>55</v>
      </c>
      <c r="F158" t="s">
        <v>54</v>
      </c>
      <c r="G158" t="s">
        <v>71</v>
      </c>
      <c r="H158">
        <v>46.3</v>
      </c>
      <c r="I158">
        <v>2899</v>
      </c>
      <c r="J158">
        <v>92</v>
      </c>
      <c r="K158">
        <v>12.1</v>
      </c>
      <c r="L158" t="s">
        <v>30</v>
      </c>
      <c r="M158">
        <v>21846.66</v>
      </c>
      <c r="N158">
        <v>15968</v>
      </c>
      <c r="O158" t="s">
        <v>44</v>
      </c>
      <c r="P158" t="str">
        <f t="shared" si="18"/>
        <v>Yes</v>
      </c>
      <c r="Q158">
        <f t="shared" si="19"/>
        <v>62.61</v>
      </c>
      <c r="R158">
        <f t="shared" si="20"/>
        <v>7.54</v>
      </c>
      <c r="S158">
        <f t="shared" si="21"/>
        <v>1.37</v>
      </c>
      <c r="T158" t="str">
        <f t="shared" si="22"/>
        <v>Delayed</v>
      </c>
      <c r="U158" t="str">
        <f t="shared" si="23"/>
        <v>Medium</v>
      </c>
      <c r="V158" t="str">
        <f t="shared" si="24"/>
        <v>Medium Risk</v>
      </c>
      <c r="W158" t="str">
        <f t="shared" si="25"/>
        <v>Oct</v>
      </c>
      <c r="X158">
        <f t="shared" si="26"/>
        <v>2025</v>
      </c>
    </row>
    <row r="159" spans="1:24" x14ac:dyDescent="0.35">
      <c r="A159" s="3">
        <v>45884</v>
      </c>
      <c r="B159" t="s">
        <v>214</v>
      </c>
      <c r="C159" t="s">
        <v>109</v>
      </c>
      <c r="D159" t="s">
        <v>295</v>
      </c>
      <c r="E159" t="s">
        <v>66</v>
      </c>
      <c r="F159" t="s">
        <v>55</v>
      </c>
      <c r="G159" t="s">
        <v>42</v>
      </c>
      <c r="H159">
        <v>78.5</v>
      </c>
      <c r="I159">
        <v>1655</v>
      </c>
      <c r="J159">
        <v>88</v>
      </c>
      <c r="K159">
        <v>10.4</v>
      </c>
      <c r="L159" t="s">
        <v>43</v>
      </c>
      <c r="M159">
        <v>43884.6</v>
      </c>
      <c r="N159">
        <v>23361</v>
      </c>
      <c r="O159" t="s">
        <v>91</v>
      </c>
      <c r="P159" t="str">
        <f t="shared" si="18"/>
        <v>Yes</v>
      </c>
      <c r="Q159">
        <f t="shared" si="19"/>
        <v>21.08</v>
      </c>
      <c r="R159">
        <f t="shared" si="20"/>
        <v>26.52</v>
      </c>
      <c r="S159">
        <f t="shared" si="21"/>
        <v>1.88</v>
      </c>
      <c r="T159" t="str">
        <f t="shared" si="22"/>
        <v>Delayed</v>
      </c>
      <c r="U159" t="str">
        <f t="shared" si="23"/>
        <v>High</v>
      </c>
      <c r="V159" t="str">
        <f t="shared" si="24"/>
        <v>Low Risk</v>
      </c>
      <c r="W159" t="str">
        <f t="shared" si="25"/>
        <v>Aug</v>
      </c>
      <c r="X159">
        <f t="shared" si="26"/>
        <v>2025</v>
      </c>
    </row>
    <row r="160" spans="1:24" x14ac:dyDescent="0.35">
      <c r="A160" s="3">
        <v>45869</v>
      </c>
      <c r="B160" t="s">
        <v>223</v>
      </c>
      <c r="C160" t="s">
        <v>109</v>
      </c>
      <c r="D160" t="s">
        <v>296</v>
      </c>
      <c r="E160" t="s">
        <v>48</v>
      </c>
      <c r="F160" t="s">
        <v>55</v>
      </c>
      <c r="G160" t="s">
        <v>71</v>
      </c>
      <c r="H160">
        <v>64.3</v>
      </c>
      <c r="I160">
        <v>1291</v>
      </c>
      <c r="J160">
        <v>59</v>
      </c>
      <c r="K160">
        <v>13.1</v>
      </c>
      <c r="L160" t="s">
        <v>49</v>
      </c>
      <c r="M160">
        <v>37806.54</v>
      </c>
      <c r="N160">
        <v>22334</v>
      </c>
      <c r="O160" t="s">
        <v>36</v>
      </c>
      <c r="P160" t="str">
        <f t="shared" si="18"/>
        <v>Yes</v>
      </c>
      <c r="Q160">
        <f t="shared" si="19"/>
        <v>20.079999999999998</v>
      </c>
      <c r="R160">
        <f t="shared" si="20"/>
        <v>29.28</v>
      </c>
      <c r="S160">
        <f t="shared" si="21"/>
        <v>1.69</v>
      </c>
      <c r="T160" t="str">
        <f t="shared" si="22"/>
        <v>Delayed</v>
      </c>
      <c r="U160" t="str">
        <f t="shared" si="23"/>
        <v>High</v>
      </c>
      <c r="V160" t="str">
        <f t="shared" si="24"/>
        <v>High Risk</v>
      </c>
      <c r="W160" t="str">
        <f t="shared" si="25"/>
        <v>Jul</v>
      </c>
      <c r="X160">
        <f t="shared" si="26"/>
        <v>2025</v>
      </c>
    </row>
    <row r="161" spans="1:24" x14ac:dyDescent="0.35">
      <c r="A161" s="3">
        <v>46006</v>
      </c>
      <c r="B161" t="s">
        <v>171</v>
      </c>
      <c r="C161" t="s">
        <v>39</v>
      </c>
      <c r="D161" t="s">
        <v>297</v>
      </c>
      <c r="E161" t="s">
        <v>41</v>
      </c>
      <c r="F161" t="s">
        <v>27</v>
      </c>
      <c r="G161" t="s">
        <v>35</v>
      </c>
      <c r="H161">
        <v>26.5</v>
      </c>
      <c r="I161">
        <v>1521</v>
      </c>
      <c r="J161">
        <v>32</v>
      </c>
      <c r="K161">
        <v>14.9</v>
      </c>
      <c r="L161" t="s">
        <v>30</v>
      </c>
      <c r="M161">
        <v>16511.79</v>
      </c>
      <c r="N161">
        <v>5941</v>
      </c>
      <c r="O161" t="s">
        <v>44</v>
      </c>
      <c r="P161" t="str">
        <f t="shared" si="18"/>
        <v>Yes</v>
      </c>
      <c r="Q161">
        <f t="shared" si="19"/>
        <v>57.4</v>
      </c>
      <c r="R161">
        <f t="shared" si="20"/>
        <v>10.86</v>
      </c>
      <c r="S161">
        <f t="shared" si="21"/>
        <v>2.78</v>
      </c>
      <c r="T161" t="str">
        <f t="shared" si="22"/>
        <v>Delayed</v>
      </c>
      <c r="U161" t="str">
        <f t="shared" si="23"/>
        <v>Low</v>
      </c>
      <c r="V161" t="str">
        <f t="shared" si="24"/>
        <v>Medium Risk</v>
      </c>
      <c r="W161" t="str">
        <f t="shared" si="25"/>
        <v>Dec</v>
      </c>
      <c r="X161">
        <f t="shared" si="26"/>
        <v>2025</v>
      </c>
    </row>
    <row r="162" spans="1:24" x14ac:dyDescent="0.35">
      <c r="A162" s="3">
        <v>45803</v>
      </c>
      <c r="B162" t="s">
        <v>125</v>
      </c>
      <c r="C162" t="s">
        <v>39</v>
      </c>
      <c r="D162" t="s">
        <v>298</v>
      </c>
      <c r="E162" t="s">
        <v>41</v>
      </c>
      <c r="F162" t="s">
        <v>66</v>
      </c>
      <c r="G162" t="s">
        <v>71</v>
      </c>
      <c r="H162">
        <v>44.4</v>
      </c>
      <c r="I162">
        <v>525</v>
      </c>
      <c r="J162">
        <v>105</v>
      </c>
      <c r="K162">
        <v>19</v>
      </c>
      <c r="L162" t="s">
        <v>78</v>
      </c>
      <c r="M162">
        <v>25974.17</v>
      </c>
      <c r="N162">
        <v>17555</v>
      </c>
      <c r="O162" t="s">
        <v>44</v>
      </c>
      <c r="P162" t="str">
        <f t="shared" si="18"/>
        <v>No</v>
      </c>
      <c r="Q162">
        <f t="shared" si="19"/>
        <v>11.82</v>
      </c>
      <c r="R162">
        <f t="shared" si="20"/>
        <v>49.47</v>
      </c>
      <c r="S162">
        <f t="shared" si="21"/>
        <v>1.48</v>
      </c>
      <c r="T162" t="str">
        <f t="shared" si="22"/>
        <v>On Time</v>
      </c>
      <c r="U162" t="str">
        <f t="shared" si="23"/>
        <v>Medium</v>
      </c>
      <c r="V162" t="str">
        <f t="shared" si="24"/>
        <v>Low Risk</v>
      </c>
      <c r="W162" t="str">
        <f t="shared" si="25"/>
        <v>May</v>
      </c>
      <c r="X162">
        <f t="shared" si="26"/>
        <v>2025</v>
      </c>
    </row>
    <row r="163" spans="1:24" x14ac:dyDescent="0.35">
      <c r="A163" s="3">
        <v>45681</v>
      </c>
      <c r="B163" t="s">
        <v>148</v>
      </c>
      <c r="C163" t="s">
        <v>130</v>
      </c>
      <c r="D163" t="s">
        <v>299</v>
      </c>
      <c r="E163" t="s">
        <v>54</v>
      </c>
      <c r="F163" t="s">
        <v>41</v>
      </c>
      <c r="G163" t="s">
        <v>35</v>
      </c>
      <c r="H163">
        <v>67.400000000000006</v>
      </c>
      <c r="I163">
        <v>2275</v>
      </c>
      <c r="J163">
        <v>116</v>
      </c>
      <c r="K163">
        <v>17.8</v>
      </c>
      <c r="L163" t="s">
        <v>49</v>
      </c>
      <c r="M163">
        <v>46443.96</v>
      </c>
      <c r="N163">
        <v>17890</v>
      </c>
      <c r="O163" t="s">
        <v>67</v>
      </c>
      <c r="P163" t="str">
        <f t="shared" si="18"/>
        <v>Yes</v>
      </c>
      <c r="Q163">
        <f t="shared" si="19"/>
        <v>33.75</v>
      </c>
      <c r="R163">
        <f t="shared" si="20"/>
        <v>20.41</v>
      </c>
      <c r="S163">
        <f t="shared" si="21"/>
        <v>2.6</v>
      </c>
      <c r="T163" t="str">
        <f t="shared" si="22"/>
        <v>Delayed</v>
      </c>
      <c r="U163" t="str">
        <f t="shared" si="23"/>
        <v>High</v>
      </c>
      <c r="V163" t="str">
        <f t="shared" si="24"/>
        <v>High Risk</v>
      </c>
      <c r="W163" t="str">
        <f t="shared" si="25"/>
        <v>Jan</v>
      </c>
      <c r="X163">
        <f t="shared" si="26"/>
        <v>2025</v>
      </c>
    </row>
    <row r="164" spans="1:24" x14ac:dyDescent="0.35">
      <c r="A164" s="3">
        <v>45784</v>
      </c>
      <c r="B164" t="s">
        <v>300</v>
      </c>
      <c r="C164" t="s">
        <v>25</v>
      </c>
      <c r="D164" t="s">
        <v>301</v>
      </c>
      <c r="E164" t="s">
        <v>54</v>
      </c>
      <c r="F164" t="s">
        <v>28</v>
      </c>
      <c r="G164" t="s">
        <v>42</v>
      </c>
      <c r="H164">
        <v>47.7</v>
      </c>
      <c r="I164">
        <v>2074</v>
      </c>
      <c r="J164">
        <v>60</v>
      </c>
      <c r="K164">
        <v>18.2</v>
      </c>
      <c r="L164" t="s">
        <v>43</v>
      </c>
      <c r="M164">
        <v>23687.23</v>
      </c>
      <c r="N164">
        <v>22179</v>
      </c>
      <c r="O164" t="s">
        <v>67</v>
      </c>
      <c r="P164" t="str">
        <f t="shared" si="18"/>
        <v>Yes</v>
      </c>
      <c r="Q164">
        <f t="shared" si="19"/>
        <v>43.48</v>
      </c>
      <c r="R164">
        <f t="shared" si="20"/>
        <v>11.42</v>
      </c>
      <c r="S164">
        <f t="shared" si="21"/>
        <v>1.07</v>
      </c>
      <c r="T164" t="str">
        <f t="shared" si="22"/>
        <v>Delayed</v>
      </c>
      <c r="U164" t="str">
        <f t="shared" si="23"/>
        <v>Medium</v>
      </c>
      <c r="V164" t="str">
        <f t="shared" si="24"/>
        <v>Low Risk</v>
      </c>
      <c r="W164" t="str">
        <f t="shared" si="25"/>
        <v>May</v>
      </c>
      <c r="X164">
        <f t="shared" si="26"/>
        <v>2025</v>
      </c>
    </row>
    <row r="165" spans="1:24" x14ac:dyDescent="0.35">
      <c r="A165" s="3">
        <v>45833</v>
      </c>
      <c r="B165" t="s">
        <v>61</v>
      </c>
      <c r="C165" t="s">
        <v>95</v>
      </c>
      <c r="D165" t="s">
        <v>302</v>
      </c>
      <c r="E165" t="s">
        <v>54</v>
      </c>
      <c r="F165" t="s">
        <v>28</v>
      </c>
      <c r="G165" t="s">
        <v>35</v>
      </c>
      <c r="H165">
        <v>48.6</v>
      </c>
      <c r="I165">
        <v>1333</v>
      </c>
      <c r="J165">
        <v>45</v>
      </c>
      <c r="K165">
        <v>15.9</v>
      </c>
      <c r="L165" t="s">
        <v>49</v>
      </c>
      <c r="M165">
        <v>22216.71</v>
      </c>
      <c r="N165">
        <v>18324</v>
      </c>
      <c r="O165" t="s">
        <v>67</v>
      </c>
      <c r="P165" t="str">
        <f t="shared" si="18"/>
        <v>Yes</v>
      </c>
      <c r="Q165">
        <f t="shared" si="19"/>
        <v>27.43</v>
      </c>
      <c r="R165">
        <f t="shared" si="20"/>
        <v>16.670000000000002</v>
      </c>
      <c r="S165">
        <f t="shared" si="21"/>
        <v>1.21</v>
      </c>
      <c r="T165" t="str">
        <f t="shared" si="22"/>
        <v>Delayed</v>
      </c>
      <c r="U165" t="str">
        <f t="shared" si="23"/>
        <v>Medium</v>
      </c>
      <c r="V165" t="str">
        <f t="shared" si="24"/>
        <v>High Risk</v>
      </c>
      <c r="W165" t="str">
        <f t="shared" si="25"/>
        <v>Jun</v>
      </c>
      <c r="X165">
        <f t="shared" si="26"/>
        <v>2025</v>
      </c>
    </row>
    <row r="166" spans="1:24" x14ac:dyDescent="0.35">
      <c r="A166" s="3">
        <v>45890</v>
      </c>
      <c r="B166" t="s">
        <v>150</v>
      </c>
      <c r="C166" t="s">
        <v>39</v>
      </c>
      <c r="D166" t="s">
        <v>303</v>
      </c>
      <c r="E166" t="s">
        <v>66</v>
      </c>
      <c r="F166" t="s">
        <v>55</v>
      </c>
      <c r="G166" t="s">
        <v>71</v>
      </c>
      <c r="H166">
        <v>41.2</v>
      </c>
      <c r="I166">
        <v>1616</v>
      </c>
      <c r="J166">
        <v>67</v>
      </c>
      <c r="K166">
        <v>16.8</v>
      </c>
      <c r="L166" t="s">
        <v>49</v>
      </c>
      <c r="M166">
        <v>22030.76</v>
      </c>
      <c r="N166">
        <v>9912</v>
      </c>
      <c r="O166" t="s">
        <v>36</v>
      </c>
      <c r="P166" t="str">
        <f t="shared" si="18"/>
        <v>Yes</v>
      </c>
      <c r="Q166">
        <f t="shared" si="19"/>
        <v>39.22</v>
      </c>
      <c r="R166">
        <f t="shared" si="20"/>
        <v>13.63</v>
      </c>
      <c r="S166">
        <f t="shared" si="21"/>
        <v>2.2200000000000002</v>
      </c>
      <c r="T166" t="str">
        <f t="shared" si="22"/>
        <v>Delayed</v>
      </c>
      <c r="U166" t="str">
        <f t="shared" si="23"/>
        <v>Medium</v>
      </c>
      <c r="V166" t="str">
        <f t="shared" si="24"/>
        <v>High Risk</v>
      </c>
      <c r="W166" t="str">
        <f t="shared" si="25"/>
        <v>Aug</v>
      </c>
      <c r="X166">
        <f t="shared" si="26"/>
        <v>2025</v>
      </c>
    </row>
    <row r="167" spans="1:24" x14ac:dyDescent="0.35">
      <c r="A167" s="3">
        <v>45866</v>
      </c>
      <c r="B167" t="s">
        <v>87</v>
      </c>
      <c r="C167" t="s">
        <v>95</v>
      </c>
      <c r="D167" t="s">
        <v>304</v>
      </c>
      <c r="E167" t="s">
        <v>48</v>
      </c>
      <c r="F167" t="s">
        <v>63</v>
      </c>
      <c r="G167" t="s">
        <v>42</v>
      </c>
      <c r="H167">
        <v>47.9</v>
      </c>
      <c r="I167">
        <v>696</v>
      </c>
      <c r="J167">
        <v>76</v>
      </c>
      <c r="K167">
        <v>11.5</v>
      </c>
      <c r="L167" t="s">
        <v>30</v>
      </c>
      <c r="M167">
        <v>23588.33</v>
      </c>
      <c r="N167">
        <v>19025</v>
      </c>
      <c r="O167" t="s">
        <v>84</v>
      </c>
      <c r="P167" t="str">
        <f t="shared" si="18"/>
        <v>Yes</v>
      </c>
      <c r="Q167">
        <f t="shared" si="19"/>
        <v>14.53</v>
      </c>
      <c r="R167">
        <f t="shared" si="20"/>
        <v>33.89</v>
      </c>
      <c r="S167">
        <f t="shared" si="21"/>
        <v>1.24</v>
      </c>
      <c r="T167" t="str">
        <f t="shared" si="22"/>
        <v>Delayed</v>
      </c>
      <c r="U167" t="str">
        <f t="shared" si="23"/>
        <v>Medium</v>
      </c>
      <c r="V167" t="str">
        <f t="shared" si="24"/>
        <v>Medium Risk</v>
      </c>
      <c r="W167" t="str">
        <f t="shared" si="25"/>
        <v>Jul</v>
      </c>
      <c r="X167">
        <f t="shared" si="26"/>
        <v>2025</v>
      </c>
    </row>
    <row r="168" spans="1:24" x14ac:dyDescent="0.35">
      <c r="A168" s="3">
        <v>45955</v>
      </c>
      <c r="B168" t="s">
        <v>115</v>
      </c>
      <c r="C168" t="s">
        <v>25</v>
      </c>
      <c r="D168" t="s">
        <v>305</v>
      </c>
      <c r="E168" t="s">
        <v>41</v>
      </c>
      <c r="F168" t="s">
        <v>48</v>
      </c>
      <c r="G168" t="s">
        <v>71</v>
      </c>
      <c r="H168">
        <v>50.6</v>
      </c>
      <c r="I168">
        <v>1972</v>
      </c>
      <c r="J168">
        <v>98</v>
      </c>
      <c r="K168">
        <v>11.4</v>
      </c>
      <c r="L168" t="s">
        <v>30</v>
      </c>
      <c r="M168">
        <v>25602.85</v>
      </c>
      <c r="N168">
        <v>10937</v>
      </c>
      <c r="O168" t="s">
        <v>91</v>
      </c>
      <c r="P168" t="str">
        <f t="shared" si="18"/>
        <v>Yes</v>
      </c>
      <c r="Q168">
        <f t="shared" si="19"/>
        <v>38.97</v>
      </c>
      <c r="R168">
        <f t="shared" si="20"/>
        <v>12.98</v>
      </c>
      <c r="S168">
        <f t="shared" si="21"/>
        <v>2.34</v>
      </c>
      <c r="T168" t="str">
        <f t="shared" si="22"/>
        <v>Delayed</v>
      </c>
      <c r="U168" t="str">
        <f t="shared" si="23"/>
        <v>Medium</v>
      </c>
      <c r="V168" t="str">
        <f t="shared" si="24"/>
        <v>Medium Risk</v>
      </c>
      <c r="W168" t="str">
        <f t="shared" si="25"/>
        <v>Oct</v>
      </c>
      <c r="X168">
        <f t="shared" si="26"/>
        <v>2025</v>
      </c>
    </row>
    <row r="169" spans="1:24" x14ac:dyDescent="0.35">
      <c r="A169" s="3">
        <v>45983</v>
      </c>
      <c r="B169" t="s">
        <v>190</v>
      </c>
      <c r="C169" t="s">
        <v>52</v>
      </c>
      <c r="D169" t="s">
        <v>306</v>
      </c>
      <c r="E169" t="s">
        <v>63</v>
      </c>
      <c r="F169" t="s">
        <v>28</v>
      </c>
      <c r="G169" t="s">
        <v>35</v>
      </c>
      <c r="H169">
        <v>74.099999999999994</v>
      </c>
      <c r="I169">
        <v>1624</v>
      </c>
      <c r="J169">
        <v>70</v>
      </c>
      <c r="K169">
        <v>16</v>
      </c>
      <c r="L169" t="s">
        <v>78</v>
      </c>
      <c r="M169">
        <v>37545.4</v>
      </c>
      <c r="N169">
        <v>24424</v>
      </c>
      <c r="O169" t="s">
        <v>50</v>
      </c>
      <c r="P169" t="str">
        <f t="shared" si="18"/>
        <v>No</v>
      </c>
      <c r="Q169">
        <f t="shared" si="19"/>
        <v>21.92</v>
      </c>
      <c r="R169">
        <f t="shared" si="20"/>
        <v>23.12</v>
      </c>
      <c r="S169">
        <f t="shared" si="21"/>
        <v>1.54</v>
      </c>
      <c r="T169" t="str">
        <f t="shared" si="22"/>
        <v>On Time</v>
      </c>
      <c r="U169" t="str">
        <f t="shared" si="23"/>
        <v>High</v>
      </c>
      <c r="V169" t="str">
        <f t="shared" si="24"/>
        <v>Low Risk</v>
      </c>
      <c r="W169" t="str">
        <f t="shared" si="25"/>
        <v>Nov</v>
      </c>
      <c r="X169">
        <f t="shared" si="26"/>
        <v>2025</v>
      </c>
    </row>
    <row r="170" spans="1:24" x14ac:dyDescent="0.35">
      <c r="A170" s="3">
        <v>45826</v>
      </c>
      <c r="B170" t="s">
        <v>210</v>
      </c>
      <c r="C170" t="s">
        <v>25</v>
      </c>
      <c r="D170" t="s">
        <v>307</v>
      </c>
      <c r="E170" t="s">
        <v>48</v>
      </c>
      <c r="F170" t="s">
        <v>63</v>
      </c>
      <c r="G170" t="s">
        <v>35</v>
      </c>
      <c r="H170">
        <v>49.7</v>
      </c>
      <c r="I170">
        <v>1272</v>
      </c>
      <c r="J170">
        <v>117</v>
      </c>
      <c r="K170">
        <v>13.1</v>
      </c>
      <c r="L170" t="s">
        <v>30</v>
      </c>
      <c r="M170">
        <v>26669.24</v>
      </c>
      <c r="N170">
        <v>7645</v>
      </c>
      <c r="O170" t="s">
        <v>59</v>
      </c>
      <c r="P170" t="str">
        <f t="shared" si="18"/>
        <v>Yes</v>
      </c>
      <c r="Q170">
        <f t="shared" si="19"/>
        <v>25.59</v>
      </c>
      <c r="R170">
        <f t="shared" si="20"/>
        <v>20.97</v>
      </c>
      <c r="S170">
        <f t="shared" si="21"/>
        <v>3.49</v>
      </c>
      <c r="T170" t="str">
        <f t="shared" si="22"/>
        <v>Delayed</v>
      </c>
      <c r="U170" t="str">
        <f t="shared" si="23"/>
        <v>Medium</v>
      </c>
      <c r="V170" t="str">
        <f t="shared" si="24"/>
        <v>Medium Risk</v>
      </c>
      <c r="W170" t="str">
        <f t="shared" si="25"/>
        <v>Jun</v>
      </c>
      <c r="X170">
        <f t="shared" si="26"/>
        <v>2025</v>
      </c>
    </row>
    <row r="171" spans="1:24" x14ac:dyDescent="0.35">
      <c r="A171" s="3">
        <v>45667</v>
      </c>
      <c r="B171" t="s">
        <v>233</v>
      </c>
      <c r="C171" t="s">
        <v>130</v>
      </c>
      <c r="D171" t="s">
        <v>308</v>
      </c>
      <c r="E171" t="s">
        <v>41</v>
      </c>
      <c r="F171" t="s">
        <v>54</v>
      </c>
      <c r="G171" t="s">
        <v>71</v>
      </c>
      <c r="H171">
        <v>65.8</v>
      </c>
      <c r="I171">
        <v>1417</v>
      </c>
      <c r="J171">
        <v>43</v>
      </c>
      <c r="K171">
        <v>10</v>
      </c>
      <c r="L171" t="s">
        <v>78</v>
      </c>
      <c r="M171">
        <v>42842.35</v>
      </c>
      <c r="N171">
        <v>21490</v>
      </c>
      <c r="O171" t="s">
        <v>84</v>
      </c>
      <c r="P171" t="str">
        <f t="shared" si="18"/>
        <v>No</v>
      </c>
      <c r="Q171">
        <f t="shared" si="19"/>
        <v>21.53</v>
      </c>
      <c r="R171">
        <f t="shared" si="20"/>
        <v>30.23</v>
      </c>
      <c r="S171">
        <f t="shared" si="21"/>
        <v>1.99</v>
      </c>
      <c r="T171" t="str">
        <f t="shared" si="22"/>
        <v>On Time</v>
      </c>
      <c r="U171" t="str">
        <f t="shared" si="23"/>
        <v>High</v>
      </c>
      <c r="V171" t="str">
        <f t="shared" si="24"/>
        <v>Low Risk</v>
      </c>
      <c r="W171" t="str">
        <f t="shared" si="25"/>
        <v>Jan</v>
      </c>
      <c r="X171">
        <f t="shared" si="26"/>
        <v>2025</v>
      </c>
    </row>
    <row r="172" spans="1:24" x14ac:dyDescent="0.35">
      <c r="A172" s="3">
        <v>45880</v>
      </c>
      <c r="B172" t="s">
        <v>309</v>
      </c>
      <c r="C172" t="s">
        <v>109</v>
      </c>
      <c r="D172" t="s">
        <v>310</v>
      </c>
      <c r="E172" t="s">
        <v>48</v>
      </c>
      <c r="F172" t="s">
        <v>63</v>
      </c>
      <c r="G172" t="s">
        <v>42</v>
      </c>
      <c r="H172">
        <v>36.4</v>
      </c>
      <c r="I172">
        <v>1506</v>
      </c>
      <c r="J172">
        <v>111</v>
      </c>
      <c r="K172">
        <v>17.7</v>
      </c>
      <c r="L172" t="s">
        <v>30</v>
      </c>
      <c r="M172">
        <v>18921.919999999998</v>
      </c>
      <c r="N172">
        <v>22259</v>
      </c>
      <c r="O172" t="s">
        <v>31</v>
      </c>
      <c r="P172" t="str">
        <f t="shared" si="18"/>
        <v>Yes</v>
      </c>
      <c r="Q172">
        <f t="shared" si="19"/>
        <v>41.37</v>
      </c>
      <c r="R172">
        <f t="shared" si="20"/>
        <v>12.56</v>
      </c>
      <c r="S172">
        <f t="shared" si="21"/>
        <v>0.85</v>
      </c>
      <c r="T172" t="str">
        <f t="shared" si="22"/>
        <v>Delayed</v>
      </c>
      <c r="U172" t="str">
        <f t="shared" si="23"/>
        <v>Low</v>
      </c>
      <c r="V172" t="str">
        <f t="shared" si="24"/>
        <v>Medium Risk</v>
      </c>
      <c r="W172" t="str">
        <f t="shared" si="25"/>
        <v>Aug</v>
      </c>
      <c r="X172">
        <f t="shared" si="26"/>
        <v>2025</v>
      </c>
    </row>
    <row r="173" spans="1:24" x14ac:dyDescent="0.35">
      <c r="A173" s="3">
        <v>45758</v>
      </c>
      <c r="B173" t="s">
        <v>311</v>
      </c>
      <c r="C173" t="s">
        <v>95</v>
      </c>
      <c r="D173" t="s">
        <v>312</v>
      </c>
      <c r="E173" t="s">
        <v>54</v>
      </c>
      <c r="F173" t="s">
        <v>41</v>
      </c>
      <c r="G173" t="s">
        <v>71</v>
      </c>
      <c r="H173">
        <v>26</v>
      </c>
      <c r="I173">
        <v>3922</v>
      </c>
      <c r="J173">
        <v>94</v>
      </c>
      <c r="K173">
        <v>10.3</v>
      </c>
      <c r="L173" t="s">
        <v>43</v>
      </c>
      <c r="M173">
        <v>13967.2</v>
      </c>
      <c r="N173">
        <v>28235</v>
      </c>
      <c r="O173" t="s">
        <v>50</v>
      </c>
      <c r="P173" t="str">
        <f t="shared" si="18"/>
        <v>Yes</v>
      </c>
      <c r="Q173">
        <f t="shared" si="19"/>
        <v>150.85</v>
      </c>
      <c r="R173">
        <f t="shared" si="20"/>
        <v>3.56</v>
      </c>
      <c r="S173">
        <f t="shared" si="21"/>
        <v>0.49</v>
      </c>
      <c r="T173" t="str">
        <f t="shared" si="22"/>
        <v>Delayed</v>
      </c>
      <c r="U173" t="str">
        <f t="shared" si="23"/>
        <v>Low</v>
      </c>
      <c r="V173" t="str">
        <f t="shared" si="24"/>
        <v>Low Risk</v>
      </c>
      <c r="W173" t="str">
        <f t="shared" si="25"/>
        <v>Apr</v>
      </c>
      <c r="X173">
        <f t="shared" si="26"/>
        <v>2025</v>
      </c>
    </row>
    <row r="174" spans="1:24" x14ac:dyDescent="0.35">
      <c r="A174" s="3">
        <v>45762</v>
      </c>
      <c r="B174" t="s">
        <v>111</v>
      </c>
      <c r="C174" t="s">
        <v>52</v>
      </c>
      <c r="D174" t="s">
        <v>313</v>
      </c>
      <c r="E174" t="s">
        <v>41</v>
      </c>
      <c r="F174" t="s">
        <v>66</v>
      </c>
      <c r="G174" t="s">
        <v>42</v>
      </c>
      <c r="H174">
        <v>42.1</v>
      </c>
      <c r="I174">
        <v>1291</v>
      </c>
      <c r="J174">
        <v>92</v>
      </c>
      <c r="K174">
        <v>19.5</v>
      </c>
      <c r="L174" t="s">
        <v>30</v>
      </c>
      <c r="M174">
        <v>20646.25</v>
      </c>
      <c r="N174">
        <v>10988</v>
      </c>
      <c r="O174" t="s">
        <v>67</v>
      </c>
      <c r="P174" t="str">
        <f t="shared" si="18"/>
        <v>Yes</v>
      </c>
      <c r="Q174">
        <f t="shared" si="19"/>
        <v>30.67</v>
      </c>
      <c r="R174">
        <f t="shared" si="20"/>
        <v>15.99</v>
      </c>
      <c r="S174">
        <f t="shared" si="21"/>
        <v>1.88</v>
      </c>
      <c r="T174" t="str">
        <f t="shared" si="22"/>
        <v>Delayed</v>
      </c>
      <c r="U174" t="str">
        <f t="shared" si="23"/>
        <v>Medium</v>
      </c>
      <c r="V174" t="str">
        <f t="shared" si="24"/>
        <v>Medium Risk</v>
      </c>
      <c r="W174" t="str">
        <f t="shared" si="25"/>
        <v>Apr</v>
      </c>
      <c r="X174">
        <f t="shared" si="26"/>
        <v>2025</v>
      </c>
    </row>
    <row r="175" spans="1:24" x14ac:dyDescent="0.35">
      <c r="A175" s="3">
        <v>45923</v>
      </c>
      <c r="B175" t="s">
        <v>148</v>
      </c>
      <c r="C175" t="s">
        <v>57</v>
      </c>
      <c r="D175" t="s">
        <v>314</v>
      </c>
      <c r="E175" t="s">
        <v>55</v>
      </c>
      <c r="F175" t="s">
        <v>27</v>
      </c>
      <c r="G175" t="s">
        <v>71</v>
      </c>
      <c r="H175">
        <v>44.6</v>
      </c>
      <c r="I175">
        <v>4636</v>
      </c>
      <c r="J175">
        <v>90</v>
      </c>
      <c r="K175">
        <v>19.3</v>
      </c>
      <c r="L175" t="s">
        <v>49</v>
      </c>
      <c r="M175">
        <v>30263.360000000001</v>
      </c>
      <c r="N175">
        <v>9711</v>
      </c>
      <c r="O175" t="s">
        <v>59</v>
      </c>
      <c r="P175" t="str">
        <f t="shared" si="18"/>
        <v>Yes</v>
      </c>
      <c r="Q175">
        <f t="shared" si="19"/>
        <v>103.95</v>
      </c>
      <c r="R175">
        <f t="shared" si="20"/>
        <v>6.53</v>
      </c>
      <c r="S175">
        <f t="shared" si="21"/>
        <v>3.12</v>
      </c>
      <c r="T175" t="str">
        <f t="shared" si="22"/>
        <v>Delayed</v>
      </c>
      <c r="U175" t="str">
        <f t="shared" si="23"/>
        <v>Medium</v>
      </c>
      <c r="V175" t="str">
        <f t="shared" si="24"/>
        <v>High Risk</v>
      </c>
      <c r="W175" t="str">
        <f t="shared" si="25"/>
        <v>Sep</v>
      </c>
      <c r="X175">
        <f t="shared" si="26"/>
        <v>2025</v>
      </c>
    </row>
    <row r="176" spans="1:24" x14ac:dyDescent="0.35">
      <c r="A176" s="3">
        <v>45826</v>
      </c>
      <c r="B176" t="s">
        <v>82</v>
      </c>
      <c r="C176" t="s">
        <v>57</v>
      </c>
      <c r="D176" t="s">
        <v>315</v>
      </c>
      <c r="E176" t="s">
        <v>66</v>
      </c>
      <c r="F176" t="s">
        <v>63</v>
      </c>
      <c r="G176" t="s">
        <v>35</v>
      </c>
      <c r="H176">
        <v>33.1</v>
      </c>
      <c r="I176">
        <v>4991</v>
      </c>
      <c r="J176">
        <v>108</v>
      </c>
      <c r="K176">
        <v>11.7</v>
      </c>
      <c r="L176" t="s">
        <v>30</v>
      </c>
      <c r="M176">
        <v>17614.64</v>
      </c>
      <c r="N176">
        <v>22921</v>
      </c>
      <c r="O176" t="s">
        <v>91</v>
      </c>
      <c r="P176" t="str">
        <f t="shared" si="18"/>
        <v>Yes</v>
      </c>
      <c r="Q176">
        <f t="shared" si="19"/>
        <v>150.79</v>
      </c>
      <c r="R176">
        <f t="shared" si="20"/>
        <v>3.53</v>
      </c>
      <c r="S176">
        <f t="shared" si="21"/>
        <v>0.77</v>
      </c>
      <c r="T176" t="str">
        <f t="shared" si="22"/>
        <v>Delayed</v>
      </c>
      <c r="U176" t="str">
        <f t="shared" si="23"/>
        <v>Low</v>
      </c>
      <c r="V176" t="str">
        <f t="shared" si="24"/>
        <v>Medium Risk</v>
      </c>
      <c r="W176" t="str">
        <f t="shared" si="25"/>
        <v>Jun</v>
      </c>
      <c r="X176">
        <f t="shared" si="26"/>
        <v>2025</v>
      </c>
    </row>
    <row r="177" spans="1:24" x14ac:dyDescent="0.35">
      <c r="A177" s="3">
        <v>45953</v>
      </c>
      <c r="B177" t="s">
        <v>76</v>
      </c>
      <c r="C177" t="s">
        <v>95</v>
      </c>
      <c r="D177" t="s">
        <v>316</v>
      </c>
      <c r="E177" t="s">
        <v>48</v>
      </c>
      <c r="F177" t="s">
        <v>55</v>
      </c>
      <c r="G177" t="s">
        <v>71</v>
      </c>
      <c r="H177">
        <v>46</v>
      </c>
      <c r="I177">
        <v>3189</v>
      </c>
      <c r="J177">
        <v>51</v>
      </c>
      <c r="K177">
        <v>16.7</v>
      </c>
      <c r="L177" t="s">
        <v>49</v>
      </c>
      <c r="M177">
        <v>25152.62</v>
      </c>
      <c r="N177">
        <v>8199</v>
      </c>
      <c r="O177" t="s">
        <v>67</v>
      </c>
      <c r="P177" t="str">
        <f t="shared" si="18"/>
        <v>Yes</v>
      </c>
      <c r="Q177">
        <f t="shared" si="19"/>
        <v>69.33</v>
      </c>
      <c r="R177">
        <f t="shared" si="20"/>
        <v>7.89</v>
      </c>
      <c r="S177">
        <f t="shared" si="21"/>
        <v>3.07</v>
      </c>
      <c r="T177" t="str">
        <f t="shared" si="22"/>
        <v>Delayed</v>
      </c>
      <c r="U177" t="str">
        <f t="shared" si="23"/>
        <v>Medium</v>
      </c>
      <c r="V177" t="str">
        <f t="shared" si="24"/>
        <v>High Risk</v>
      </c>
      <c r="W177" t="str">
        <f t="shared" si="25"/>
        <v>Oct</v>
      </c>
      <c r="X177">
        <f t="shared" si="26"/>
        <v>2025</v>
      </c>
    </row>
    <row r="178" spans="1:24" x14ac:dyDescent="0.35">
      <c r="A178" s="3">
        <v>45984</v>
      </c>
      <c r="B178" t="s">
        <v>317</v>
      </c>
      <c r="C178" t="s">
        <v>109</v>
      </c>
      <c r="D178" t="s">
        <v>318</v>
      </c>
      <c r="E178" t="s">
        <v>66</v>
      </c>
      <c r="F178" t="s">
        <v>54</v>
      </c>
      <c r="G178" t="s">
        <v>35</v>
      </c>
      <c r="H178">
        <v>27</v>
      </c>
      <c r="I178">
        <v>3432</v>
      </c>
      <c r="J178">
        <v>22</v>
      </c>
      <c r="K178">
        <v>19.399999999999999</v>
      </c>
      <c r="L178" t="s">
        <v>49</v>
      </c>
      <c r="M178">
        <v>17024.04</v>
      </c>
      <c r="N178">
        <v>15325</v>
      </c>
      <c r="O178" t="s">
        <v>36</v>
      </c>
      <c r="P178" t="str">
        <f t="shared" si="18"/>
        <v>Yes</v>
      </c>
      <c r="Q178">
        <f t="shared" si="19"/>
        <v>127.11</v>
      </c>
      <c r="R178">
        <f t="shared" si="20"/>
        <v>4.96</v>
      </c>
      <c r="S178">
        <f t="shared" si="21"/>
        <v>1.1100000000000001</v>
      </c>
      <c r="T178" t="str">
        <f t="shared" si="22"/>
        <v>Delayed</v>
      </c>
      <c r="U178" t="str">
        <f t="shared" si="23"/>
        <v>Low</v>
      </c>
      <c r="V178" t="str">
        <f t="shared" si="24"/>
        <v>High Risk</v>
      </c>
      <c r="W178" t="str">
        <f t="shared" si="25"/>
        <v>Nov</v>
      </c>
      <c r="X178">
        <f t="shared" si="26"/>
        <v>2025</v>
      </c>
    </row>
    <row r="179" spans="1:24" x14ac:dyDescent="0.35">
      <c r="A179" s="3">
        <v>45841</v>
      </c>
      <c r="B179" t="s">
        <v>68</v>
      </c>
      <c r="C179" t="s">
        <v>52</v>
      </c>
      <c r="D179" t="s">
        <v>319</v>
      </c>
      <c r="E179" t="s">
        <v>41</v>
      </c>
      <c r="F179" t="s">
        <v>27</v>
      </c>
      <c r="G179" t="s">
        <v>35</v>
      </c>
      <c r="H179">
        <v>72</v>
      </c>
      <c r="I179">
        <v>1069</v>
      </c>
      <c r="J179">
        <v>97</v>
      </c>
      <c r="K179">
        <v>17.600000000000001</v>
      </c>
      <c r="L179" t="s">
        <v>43</v>
      </c>
      <c r="M179">
        <v>46600.46</v>
      </c>
      <c r="N179">
        <v>26244</v>
      </c>
      <c r="O179" t="s">
        <v>31</v>
      </c>
      <c r="P179" t="str">
        <f t="shared" si="18"/>
        <v>Yes</v>
      </c>
      <c r="Q179">
        <f t="shared" si="19"/>
        <v>14.85</v>
      </c>
      <c r="R179">
        <f t="shared" si="20"/>
        <v>43.59</v>
      </c>
      <c r="S179">
        <f t="shared" si="21"/>
        <v>1.78</v>
      </c>
      <c r="T179" t="str">
        <f t="shared" si="22"/>
        <v>Delayed</v>
      </c>
      <c r="U179" t="str">
        <f t="shared" si="23"/>
        <v>High</v>
      </c>
      <c r="V179" t="str">
        <f t="shared" si="24"/>
        <v>Low Risk</v>
      </c>
      <c r="W179" t="str">
        <f t="shared" si="25"/>
        <v>Jul</v>
      </c>
      <c r="X179">
        <f t="shared" si="26"/>
        <v>2025</v>
      </c>
    </row>
    <row r="180" spans="1:24" x14ac:dyDescent="0.35">
      <c r="A180" s="3">
        <v>46003</v>
      </c>
      <c r="B180" t="s">
        <v>46</v>
      </c>
      <c r="C180" t="s">
        <v>57</v>
      </c>
      <c r="D180" t="s">
        <v>320</v>
      </c>
      <c r="E180" t="s">
        <v>63</v>
      </c>
      <c r="F180" t="s">
        <v>48</v>
      </c>
      <c r="G180" t="s">
        <v>42</v>
      </c>
      <c r="H180">
        <v>34.1</v>
      </c>
      <c r="I180">
        <v>4005</v>
      </c>
      <c r="J180">
        <v>66</v>
      </c>
      <c r="K180">
        <v>20.3</v>
      </c>
      <c r="L180" t="s">
        <v>78</v>
      </c>
      <c r="M180">
        <v>20871.740000000002</v>
      </c>
      <c r="N180">
        <v>15532</v>
      </c>
      <c r="O180" t="s">
        <v>36</v>
      </c>
      <c r="P180" t="str">
        <f t="shared" si="18"/>
        <v>No</v>
      </c>
      <c r="Q180">
        <f t="shared" si="19"/>
        <v>117.45</v>
      </c>
      <c r="R180">
        <f t="shared" si="20"/>
        <v>5.21</v>
      </c>
      <c r="S180">
        <f t="shared" si="21"/>
        <v>1.34</v>
      </c>
      <c r="T180" t="str">
        <f t="shared" si="22"/>
        <v>On Time</v>
      </c>
      <c r="U180" t="str">
        <f t="shared" si="23"/>
        <v>Low</v>
      </c>
      <c r="V180" t="str">
        <f t="shared" si="24"/>
        <v>Low Risk</v>
      </c>
      <c r="W180" t="str">
        <f t="shared" si="25"/>
        <v>Dec</v>
      </c>
      <c r="X180">
        <f t="shared" si="26"/>
        <v>2025</v>
      </c>
    </row>
    <row r="181" spans="1:24" x14ac:dyDescent="0.35">
      <c r="A181" s="3">
        <v>45679</v>
      </c>
      <c r="B181" t="s">
        <v>115</v>
      </c>
      <c r="C181" t="s">
        <v>69</v>
      </c>
      <c r="D181" t="s">
        <v>321</v>
      </c>
      <c r="E181" t="s">
        <v>66</v>
      </c>
      <c r="F181" t="s">
        <v>55</v>
      </c>
      <c r="G181" t="s">
        <v>42</v>
      </c>
      <c r="H181">
        <v>63.8</v>
      </c>
      <c r="I181">
        <v>946</v>
      </c>
      <c r="J181">
        <v>81</v>
      </c>
      <c r="K181">
        <v>17</v>
      </c>
      <c r="L181" t="s">
        <v>43</v>
      </c>
      <c r="M181">
        <v>44571.24</v>
      </c>
      <c r="N181">
        <v>19195</v>
      </c>
      <c r="O181" t="s">
        <v>59</v>
      </c>
      <c r="P181" t="str">
        <f t="shared" si="18"/>
        <v>Yes</v>
      </c>
      <c r="Q181">
        <f t="shared" si="19"/>
        <v>14.83</v>
      </c>
      <c r="R181">
        <f t="shared" si="20"/>
        <v>47.12</v>
      </c>
      <c r="S181">
        <f t="shared" si="21"/>
        <v>2.3199999999999998</v>
      </c>
      <c r="T181" t="str">
        <f t="shared" si="22"/>
        <v>Delayed</v>
      </c>
      <c r="U181" t="str">
        <f t="shared" si="23"/>
        <v>High</v>
      </c>
      <c r="V181" t="str">
        <f t="shared" si="24"/>
        <v>Low Risk</v>
      </c>
      <c r="W181" t="str">
        <f t="shared" si="25"/>
        <v>Jan</v>
      </c>
      <c r="X181">
        <f t="shared" si="26"/>
        <v>2025</v>
      </c>
    </row>
    <row r="182" spans="1:24" x14ac:dyDescent="0.35">
      <c r="A182" s="3">
        <v>45895</v>
      </c>
      <c r="B182" t="s">
        <v>56</v>
      </c>
      <c r="C182" t="s">
        <v>52</v>
      </c>
      <c r="D182" t="s">
        <v>322</v>
      </c>
      <c r="E182" t="s">
        <v>27</v>
      </c>
      <c r="F182" t="s">
        <v>63</v>
      </c>
      <c r="G182" t="s">
        <v>29</v>
      </c>
      <c r="H182">
        <v>49.5</v>
      </c>
      <c r="I182">
        <v>4465</v>
      </c>
      <c r="J182">
        <v>23</v>
      </c>
      <c r="K182">
        <v>20.2</v>
      </c>
      <c r="L182" t="s">
        <v>49</v>
      </c>
      <c r="M182">
        <v>22505.360000000001</v>
      </c>
      <c r="N182">
        <v>6977</v>
      </c>
      <c r="O182" t="s">
        <v>31</v>
      </c>
      <c r="P182" t="str">
        <f t="shared" si="18"/>
        <v>Yes</v>
      </c>
      <c r="Q182">
        <f t="shared" si="19"/>
        <v>90.2</v>
      </c>
      <c r="R182">
        <f t="shared" si="20"/>
        <v>5.04</v>
      </c>
      <c r="S182">
        <f t="shared" si="21"/>
        <v>3.23</v>
      </c>
      <c r="T182" t="str">
        <f t="shared" si="22"/>
        <v>Delayed</v>
      </c>
      <c r="U182" t="str">
        <f t="shared" si="23"/>
        <v>Medium</v>
      </c>
      <c r="V182" t="str">
        <f t="shared" si="24"/>
        <v>High Risk</v>
      </c>
      <c r="W182" t="str">
        <f t="shared" si="25"/>
        <v>Aug</v>
      </c>
      <c r="X182">
        <f t="shared" si="26"/>
        <v>2025</v>
      </c>
    </row>
    <row r="183" spans="1:24" x14ac:dyDescent="0.35">
      <c r="A183" s="3">
        <v>45964</v>
      </c>
      <c r="B183" t="s">
        <v>133</v>
      </c>
      <c r="C183" t="s">
        <v>52</v>
      </c>
      <c r="D183" t="s">
        <v>323</v>
      </c>
      <c r="E183" t="s">
        <v>63</v>
      </c>
      <c r="F183" t="s">
        <v>66</v>
      </c>
      <c r="G183" t="s">
        <v>71</v>
      </c>
      <c r="H183">
        <v>42.2</v>
      </c>
      <c r="I183">
        <v>3417</v>
      </c>
      <c r="J183">
        <v>111</v>
      </c>
      <c r="K183">
        <v>17.600000000000001</v>
      </c>
      <c r="L183" t="s">
        <v>30</v>
      </c>
      <c r="M183">
        <v>28544.41</v>
      </c>
      <c r="N183">
        <v>24412</v>
      </c>
      <c r="O183" t="s">
        <v>44</v>
      </c>
      <c r="P183" t="str">
        <f t="shared" si="18"/>
        <v>Yes</v>
      </c>
      <c r="Q183">
        <f t="shared" si="19"/>
        <v>80.97</v>
      </c>
      <c r="R183">
        <f t="shared" si="20"/>
        <v>8.35</v>
      </c>
      <c r="S183">
        <f t="shared" si="21"/>
        <v>1.17</v>
      </c>
      <c r="T183" t="str">
        <f t="shared" si="22"/>
        <v>Delayed</v>
      </c>
      <c r="U183" t="str">
        <f t="shared" si="23"/>
        <v>Medium</v>
      </c>
      <c r="V183" t="str">
        <f t="shared" si="24"/>
        <v>Medium Risk</v>
      </c>
      <c r="W183" t="str">
        <f t="shared" si="25"/>
        <v>Nov</v>
      </c>
      <c r="X183">
        <f t="shared" si="26"/>
        <v>2025</v>
      </c>
    </row>
    <row r="184" spans="1:24" x14ac:dyDescent="0.35">
      <c r="A184" s="3">
        <v>45836</v>
      </c>
      <c r="B184" t="s">
        <v>233</v>
      </c>
      <c r="C184" t="s">
        <v>57</v>
      </c>
      <c r="D184" t="s">
        <v>324</v>
      </c>
      <c r="E184" t="s">
        <v>54</v>
      </c>
      <c r="F184" t="s">
        <v>28</v>
      </c>
      <c r="G184" t="s">
        <v>42</v>
      </c>
      <c r="H184">
        <v>78.3</v>
      </c>
      <c r="I184">
        <v>514</v>
      </c>
      <c r="J184">
        <v>61</v>
      </c>
      <c r="K184">
        <v>11.5</v>
      </c>
      <c r="L184" t="s">
        <v>49</v>
      </c>
      <c r="M184">
        <v>39050.519999999997</v>
      </c>
      <c r="N184">
        <v>15512</v>
      </c>
      <c r="O184" t="s">
        <v>50</v>
      </c>
      <c r="P184" t="str">
        <f t="shared" si="18"/>
        <v>Yes</v>
      </c>
      <c r="Q184">
        <f t="shared" si="19"/>
        <v>6.56</v>
      </c>
      <c r="R184">
        <f t="shared" si="20"/>
        <v>75.97</v>
      </c>
      <c r="S184">
        <f t="shared" si="21"/>
        <v>2.52</v>
      </c>
      <c r="T184" t="str">
        <f t="shared" si="22"/>
        <v>Delayed</v>
      </c>
      <c r="U184" t="str">
        <f t="shared" si="23"/>
        <v>High</v>
      </c>
      <c r="V184" t="str">
        <f t="shared" si="24"/>
        <v>High Risk</v>
      </c>
      <c r="W184" t="str">
        <f t="shared" si="25"/>
        <v>Jun</v>
      </c>
      <c r="X184">
        <f t="shared" si="26"/>
        <v>2025</v>
      </c>
    </row>
    <row r="185" spans="1:24" x14ac:dyDescent="0.35">
      <c r="A185" s="3">
        <v>45672</v>
      </c>
      <c r="B185" t="s">
        <v>309</v>
      </c>
      <c r="C185" t="s">
        <v>57</v>
      </c>
      <c r="D185" t="s">
        <v>325</v>
      </c>
      <c r="E185" t="s">
        <v>54</v>
      </c>
      <c r="F185" t="s">
        <v>63</v>
      </c>
      <c r="G185" t="s">
        <v>35</v>
      </c>
      <c r="H185">
        <v>29.6</v>
      </c>
      <c r="I185">
        <v>1115</v>
      </c>
      <c r="J185">
        <v>103</v>
      </c>
      <c r="K185">
        <v>15</v>
      </c>
      <c r="L185" t="s">
        <v>78</v>
      </c>
      <c r="M185">
        <v>17640.099999999999</v>
      </c>
      <c r="N185">
        <v>17384</v>
      </c>
      <c r="O185" t="s">
        <v>59</v>
      </c>
      <c r="P185" t="str">
        <f t="shared" si="18"/>
        <v>No</v>
      </c>
      <c r="Q185">
        <f t="shared" si="19"/>
        <v>37.67</v>
      </c>
      <c r="R185">
        <f t="shared" si="20"/>
        <v>15.82</v>
      </c>
      <c r="S185">
        <f t="shared" si="21"/>
        <v>1.01</v>
      </c>
      <c r="T185" t="str">
        <f t="shared" si="22"/>
        <v>On Time</v>
      </c>
      <c r="U185" t="str">
        <f t="shared" si="23"/>
        <v>Low</v>
      </c>
      <c r="V185" t="str">
        <f t="shared" si="24"/>
        <v>Low Risk</v>
      </c>
      <c r="W185" t="str">
        <f t="shared" si="25"/>
        <v>Jan</v>
      </c>
      <c r="X185">
        <f t="shared" si="26"/>
        <v>2025</v>
      </c>
    </row>
    <row r="186" spans="1:24" x14ac:dyDescent="0.35">
      <c r="A186" s="3">
        <v>45888</v>
      </c>
      <c r="B186" t="s">
        <v>146</v>
      </c>
      <c r="C186" t="s">
        <v>39</v>
      </c>
      <c r="D186" t="s">
        <v>326</v>
      </c>
      <c r="E186" t="s">
        <v>54</v>
      </c>
      <c r="F186" t="s">
        <v>28</v>
      </c>
      <c r="G186" t="s">
        <v>35</v>
      </c>
      <c r="H186">
        <v>23.8</v>
      </c>
      <c r="I186">
        <v>1033</v>
      </c>
      <c r="J186">
        <v>30</v>
      </c>
      <c r="K186">
        <v>11.7</v>
      </c>
      <c r="L186" t="s">
        <v>78</v>
      </c>
      <c r="M186">
        <v>14911.79</v>
      </c>
      <c r="N186">
        <v>22664</v>
      </c>
      <c r="O186" t="s">
        <v>91</v>
      </c>
      <c r="P186" t="str">
        <f t="shared" si="18"/>
        <v>No</v>
      </c>
      <c r="Q186">
        <f t="shared" si="19"/>
        <v>43.4</v>
      </c>
      <c r="R186">
        <f t="shared" si="20"/>
        <v>14.44</v>
      </c>
      <c r="S186">
        <f t="shared" si="21"/>
        <v>0.66</v>
      </c>
      <c r="T186" t="str">
        <f t="shared" si="22"/>
        <v>On Time</v>
      </c>
      <c r="U186" t="str">
        <f t="shared" si="23"/>
        <v>Low</v>
      </c>
      <c r="V186" t="str">
        <f t="shared" si="24"/>
        <v>Low Risk</v>
      </c>
      <c r="W186" t="str">
        <f t="shared" si="25"/>
        <v>Aug</v>
      </c>
      <c r="X186">
        <f t="shared" si="26"/>
        <v>2025</v>
      </c>
    </row>
    <row r="187" spans="1:24" x14ac:dyDescent="0.35">
      <c r="A187" s="3">
        <v>45906</v>
      </c>
      <c r="B187" t="s">
        <v>148</v>
      </c>
      <c r="C187" t="s">
        <v>109</v>
      </c>
      <c r="D187" t="s">
        <v>327</v>
      </c>
      <c r="E187" t="s">
        <v>55</v>
      </c>
      <c r="F187" t="s">
        <v>28</v>
      </c>
      <c r="G187" t="s">
        <v>29</v>
      </c>
      <c r="H187">
        <v>70.8</v>
      </c>
      <c r="I187">
        <v>1587</v>
      </c>
      <c r="J187">
        <v>93</v>
      </c>
      <c r="K187">
        <v>20.9</v>
      </c>
      <c r="L187" t="s">
        <v>43</v>
      </c>
      <c r="M187">
        <v>44917.1</v>
      </c>
      <c r="N187">
        <v>16506</v>
      </c>
      <c r="O187" t="s">
        <v>59</v>
      </c>
      <c r="P187" t="str">
        <f t="shared" si="18"/>
        <v>Yes</v>
      </c>
      <c r="Q187">
        <f t="shared" si="19"/>
        <v>22.42</v>
      </c>
      <c r="R187">
        <f t="shared" si="20"/>
        <v>28.3</v>
      </c>
      <c r="S187">
        <f t="shared" si="21"/>
        <v>2.72</v>
      </c>
      <c r="T187" t="str">
        <f t="shared" si="22"/>
        <v>Delayed</v>
      </c>
      <c r="U187" t="str">
        <f t="shared" si="23"/>
        <v>High</v>
      </c>
      <c r="V187" t="str">
        <f t="shared" si="24"/>
        <v>Low Risk</v>
      </c>
      <c r="W187" t="str">
        <f t="shared" si="25"/>
        <v>Sep</v>
      </c>
      <c r="X187">
        <f t="shared" si="26"/>
        <v>2025</v>
      </c>
    </row>
    <row r="188" spans="1:24" x14ac:dyDescent="0.35">
      <c r="A188" s="3">
        <v>45990</v>
      </c>
      <c r="B188" t="s">
        <v>56</v>
      </c>
      <c r="C188" t="s">
        <v>57</v>
      </c>
      <c r="D188" t="s">
        <v>328</v>
      </c>
      <c r="E188" t="s">
        <v>41</v>
      </c>
      <c r="F188" t="s">
        <v>48</v>
      </c>
      <c r="G188" t="s">
        <v>71</v>
      </c>
      <c r="H188">
        <v>59.5</v>
      </c>
      <c r="I188">
        <v>2380</v>
      </c>
      <c r="J188">
        <v>75</v>
      </c>
      <c r="K188">
        <v>16.100000000000001</v>
      </c>
      <c r="L188" t="s">
        <v>49</v>
      </c>
      <c r="M188">
        <v>31929.3</v>
      </c>
      <c r="N188">
        <v>13753</v>
      </c>
      <c r="O188" t="s">
        <v>44</v>
      </c>
      <c r="P188" t="str">
        <f t="shared" si="18"/>
        <v>Yes</v>
      </c>
      <c r="Q188">
        <f t="shared" si="19"/>
        <v>40</v>
      </c>
      <c r="R188">
        <f t="shared" si="20"/>
        <v>13.42</v>
      </c>
      <c r="S188">
        <f t="shared" si="21"/>
        <v>2.3199999999999998</v>
      </c>
      <c r="T188" t="str">
        <f t="shared" si="22"/>
        <v>Delayed</v>
      </c>
      <c r="U188" t="str">
        <f t="shared" si="23"/>
        <v>Medium</v>
      </c>
      <c r="V188" t="str">
        <f t="shared" si="24"/>
        <v>High Risk</v>
      </c>
      <c r="W188" t="str">
        <f t="shared" si="25"/>
        <v>Nov</v>
      </c>
      <c r="X188">
        <f t="shared" si="26"/>
        <v>2025</v>
      </c>
    </row>
    <row r="189" spans="1:24" x14ac:dyDescent="0.35">
      <c r="A189" s="3">
        <v>45833</v>
      </c>
      <c r="B189" t="s">
        <v>108</v>
      </c>
      <c r="C189" t="s">
        <v>95</v>
      </c>
      <c r="D189" t="s">
        <v>329</v>
      </c>
      <c r="E189" t="s">
        <v>48</v>
      </c>
      <c r="F189" t="s">
        <v>54</v>
      </c>
      <c r="G189" t="s">
        <v>35</v>
      </c>
      <c r="H189">
        <v>58.5</v>
      </c>
      <c r="I189">
        <v>4160</v>
      </c>
      <c r="J189">
        <v>108</v>
      </c>
      <c r="K189">
        <v>16.399999999999999</v>
      </c>
      <c r="L189" t="s">
        <v>43</v>
      </c>
      <c r="M189">
        <v>36372.04</v>
      </c>
      <c r="N189">
        <v>10422</v>
      </c>
      <c r="O189" t="s">
        <v>84</v>
      </c>
      <c r="P189" t="str">
        <f t="shared" si="18"/>
        <v>Yes</v>
      </c>
      <c r="Q189">
        <f t="shared" si="19"/>
        <v>71.11</v>
      </c>
      <c r="R189">
        <f t="shared" si="20"/>
        <v>8.74</v>
      </c>
      <c r="S189">
        <f t="shared" si="21"/>
        <v>3.49</v>
      </c>
      <c r="T189" t="str">
        <f t="shared" si="22"/>
        <v>Delayed</v>
      </c>
      <c r="U189" t="str">
        <f t="shared" si="23"/>
        <v>Medium</v>
      </c>
      <c r="V189" t="str">
        <f t="shared" si="24"/>
        <v>Low Risk</v>
      </c>
      <c r="W189" t="str">
        <f t="shared" si="25"/>
        <v>Jun</v>
      </c>
      <c r="X189">
        <f t="shared" si="26"/>
        <v>2025</v>
      </c>
    </row>
    <row r="190" spans="1:24" x14ac:dyDescent="0.35">
      <c r="A190" s="3">
        <v>45682</v>
      </c>
      <c r="B190" t="s">
        <v>80</v>
      </c>
      <c r="C190" t="s">
        <v>95</v>
      </c>
      <c r="D190" t="s">
        <v>330</v>
      </c>
      <c r="E190" t="s">
        <v>66</v>
      </c>
      <c r="F190" t="s">
        <v>48</v>
      </c>
      <c r="G190" t="s">
        <v>42</v>
      </c>
      <c r="H190">
        <v>39.799999999999997</v>
      </c>
      <c r="I190">
        <v>4975</v>
      </c>
      <c r="J190">
        <v>48</v>
      </c>
      <c r="K190">
        <v>20.3</v>
      </c>
      <c r="L190" t="s">
        <v>30</v>
      </c>
      <c r="M190">
        <v>24945.09</v>
      </c>
      <c r="N190">
        <v>21493</v>
      </c>
      <c r="O190" t="s">
        <v>67</v>
      </c>
      <c r="P190" t="str">
        <f t="shared" si="18"/>
        <v>Yes</v>
      </c>
      <c r="Q190">
        <f t="shared" si="19"/>
        <v>125</v>
      </c>
      <c r="R190">
        <f t="shared" si="20"/>
        <v>5.01</v>
      </c>
      <c r="S190">
        <f t="shared" si="21"/>
        <v>1.1599999999999999</v>
      </c>
      <c r="T190" t="str">
        <f t="shared" si="22"/>
        <v>Delayed</v>
      </c>
      <c r="U190" t="str">
        <f t="shared" si="23"/>
        <v>Low</v>
      </c>
      <c r="V190" t="str">
        <f t="shared" si="24"/>
        <v>Medium Risk</v>
      </c>
      <c r="W190" t="str">
        <f t="shared" si="25"/>
        <v>Jan</v>
      </c>
      <c r="X190">
        <f t="shared" si="26"/>
        <v>2025</v>
      </c>
    </row>
    <row r="191" spans="1:24" x14ac:dyDescent="0.35">
      <c r="A191" s="3">
        <v>45747</v>
      </c>
      <c r="B191" t="s">
        <v>207</v>
      </c>
      <c r="C191" t="s">
        <v>130</v>
      </c>
      <c r="D191" t="s">
        <v>331</v>
      </c>
      <c r="E191" t="s">
        <v>55</v>
      </c>
      <c r="F191" t="s">
        <v>28</v>
      </c>
      <c r="G191" t="s">
        <v>29</v>
      </c>
      <c r="H191">
        <v>65.7</v>
      </c>
      <c r="I191">
        <v>3791</v>
      </c>
      <c r="J191">
        <v>46</v>
      </c>
      <c r="K191">
        <v>21.7</v>
      </c>
      <c r="L191" t="s">
        <v>49</v>
      </c>
      <c r="M191">
        <v>37233.050000000003</v>
      </c>
      <c r="N191">
        <v>26923</v>
      </c>
      <c r="O191" t="s">
        <v>84</v>
      </c>
      <c r="P191" t="str">
        <f t="shared" si="18"/>
        <v>Yes</v>
      </c>
      <c r="Q191">
        <f t="shared" si="19"/>
        <v>57.7</v>
      </c>
      <c r="R191">
        <f t="shared" si="20"/>
        <v>9.82</v>
      </c>
      <c r="S191">
        <f t="shared" si="21"/>
        <v>1.38</v>
      </c>
      <c r="T191" t="str">
        <f t="shared" si="22"/>
        <v>Delayed</v>
      </c>
      <c r="U191" t="str">
        <f t="shared" si="23"/>
        <v>High</v>
      </c>
      <c r="V191" t="str">
        <f t="shared" si="24"/>
        <v>High Risk</v>
      </c>
      <c r="W191" t="str">
        <f t="shared" si="25"/>
        <v>Mar</v>
      </c>
      <c r="X191">
        <f t="shared" si="26"/>
        <v>2025</v>
      </c>
    </row>
    <row r="192" spans="1:24" x14ac:dyDescent="0.35">
      <c r="A192" s="3">
        <v>45782</v>
      </c>
      <c r="B192" t="s">
        <v>87</v>
      </c>
      <c r="C192" t="s">
        <v>130</v>
      </c>
      <c r="D192" t="s">
        <v>332</v>
      </c>
      <c r="E192" t="s">
        <v>48</v>
      </c>
      <c r="F192" t="s">
        <v>28</v>
      </c>
      <c r="G192" t="s">
        <v>71</v>
      </c>
      <c r="H192">
        <v>23.9</v>
      </c>
      <c r="I192">
        <v>1306</v>
      </c>
      <c r="J192">
        <v>33</v>
      </c>
      <c r="K192">
        <v>10.5</v>
      </c>
      <c r="L192" t="s">
        <v>49</v>
      </c>
      <c r="M192">
        <v>12544.92</v>
      </c>
      <c r="N192">
        <v>5485</v>
      </c>
      <c r="O192" t="s">
        <v>59</v>
      </c>
      <c r="P192" t="str">
        <f t="shared" si="18"/>
        <v>Yes</v>
      </c>
      <c r="Q192">
        <f t="shared" si="19"/>
        <v>54.64</v>
      </c>
      <c r="R192">
        <f t="shared" si="20"/>
        <v>9.61</v>
      </c>
      <c r="S192">
        <f t="shared" si="21"/>
        <v>2.29</v>
      </c>
      <c r="T192" t="str">
        <f t="shared" si="22"/>
        <v>Delayed</v>
      </c>
      <c r="U192" t="str">
        <f t="shared" si="23"/>
        <v>Low</v>
      </c>
      <c r="V192" t="str">
        <f t="shared" si="24"/>
        <v>High Risk</v>
      </c>
      <c r="W192" t="str">
        <f t="shared" si="25"/>
        <v>May</v>
      </c>
      <c r="X192">
        <f t="shared" si="26"/>
        <v>2025</v>
      </c>
    </row>
    <row r="193" spans="1:24" x14ac:dyDescent="0.35">
      <c r="A193" s="3">
        <v>45667</v>
      </c>
      <c r="B193" t="s">
        <v>136</v>
      </c>
      <c r="C193" t="s">
        <v>57</v>
      </c>
      <c r="D193" t="s">
        <v>333</v>
      </c>
      <c r="E193" t="s">
        <v>48</v>
      </c>
      <c r="F193" t="s">
        <v>54</v>
      </c>
      <c r="G193" t="s">
        <v>35</v>
      </c>
      <c r="H193">
        <v>45.5</v>
      </c>
      <c r="I193">
        <v>997</v>
      </c>
      <c r="J193">
        <v>39</v>
      </c>
      <c r="K193">
        <v>11.6</v>
      </c>
      <c r="L193" t="s">
        <v>49</v>
      </c>
      <c r="M193">
        <v>21591.71</v>
      </c>
      <c r="N193">
        <v>18853</v>
      </c>
      <c r="O193" t="s">
        <v>36</v>
      </c>
      <c r="P193" t="str">
        <f t="shared" si="18"/>
        <v>Yes</v>
      </c>
      <c r="Q193">
        <f t="shared" si="19"/>
        <v>21.91</v>
      </c>
      <c r="R193">
        <f t="shared" si="20"/>
        <v>21.66</v>
      </c>
      <c r="S193">
        <f t="shared" si="21"/>
        <v>1.1499999999999999</v>
      </c>
      <c r="T193" t="str">
        <f t="shared" si="22"/>
        <v>Delayed</v>
      </c>
      <c r="U193" t="str">
        <f t="shared" si="23"/>
        <v>Medium</v>
      </c>
      <c r="V193" t="str">
        <f t="shared" si="24"/>
        <v>High Risk</v>
      </c>
      <c r="W193" t="str">
        <f t="shared" si="25"/>
        <v>Jan</v>
      </c>
      <c r="X193">
        <f t="shared" si="26"/>
        <v>2025</v>
      </c>
    </row>
    <row r="194" spans="1:24" x14ac:dyDescent="0.35">
      <c r="A194" s="3">
        <v>46004</v>
      </c>
      <c r="B194" t="s">
        <v>162</v>
      </c>
      <c r="C194" t="s">
        <v>69</v>
      </c>
      <c r="D194" t="s">
        <v>334</v>
      </c>
      <c r="E194" t="s">
        <v>55</v>
      </c>
      <c r="F194" t="s">
        <v>66</v>
      </c>
      <c r="G194" t="s">
        <v>35</v>
      </c>
      <c r="H194">
        <v>42.2</v>
      </c>
      <c r="I194">
        <v>3295</v>
      </c>
      <c r="J194">
        <v>108</v>
      </c>
      <c r="K194">
        <v>12.1</v>
      </c>
      <c r="L194" t="s">
        <v>78</v>
      </c>
      <c r="M194">
        <v>19264.580000000002</v>
      </c>
      <c r="N194">
        <v>8086</v>
      </c>
      <c r="O194" t="s">
        <v>84</v>
      </c>
      <c r="P194" t="str">
        <f t="shared" ref="P194:P257" si="27">IF(OR(L194="Rain",L194="Fog",L194="Storm"),"Yes","No")</f>
        <v>No</v>
      </c>
      <c r="Q194">
        <f t="shared" ref="Q194:Q257" si="28">ROUND(I194/H194,2)</f>
        <v>78.08</v>
      </c>
      <c r="R194">
        <f t="shared" ref="R194:R257" si="29">ROUND(M194/I194,2)</f>
        <v>5.85</v>
      </c>
      <c r="S194">
        <f t="shared" ref="S194:S257" si="30">ROUND(M194/N194,2)</f>
        <v>2.38</v>
      </c>
      <c r="T194" t="str">
        <f t="shared" ref="T194:T257" si="31">IF(P194="Yes","Delayed","On Time")</f>
        <v>On Time</v>
      </c>
      <c r="U194" t="str">
        <f t="shared" ref="U194:U257" si="32">IF(H194&gt;=60,"High",IF(H194&gt;=40,"Medium","Low"))</f>
        <v>Medium</v>
      </c>
      <c r="V194" t="str">
        <f t="shared" ref="V194:V257" si="33">IF(L194="Storm","High Risk",IF(L194="Rain","Medium Risk","Low Risk"))</f>
        <v>Low Risk</v>
      </c>
      <c r="W194" t="str">
        <f t="shared" ref="W194:W257" si="34">TEXT(A194,"mmm")</f>
        <v>Dec</v>
      </c>
      <c r="X194">
        <f t="shared" si="26"/>
        <v>2025</v>
      </c>
    </row>
    <row r="195" spans="1:24" x14ac:dyDescent="0.35">
      <c r="A195" s="3">
        <v>45876</v>
      </c>
      <c r="B195" t="s">
        <v>92</v>
      </c>
      <c r="C195" t="s">
        <v>57</v>
      </c>
      <c r="D195" t="s">
        <v>335</v>
      </c>
      <c r="E195" t="s">
        <v>54</v>
      </c>
      <c r="F195" t="s">
        <v>27</v>
      </c>
      <c r="G195" t="s">
        <v>42</v>
      </c>
      <c r="H195">
        <v>48.6</v>
      </c>
      <c r="I195">
        <v>4366</v>
      </c>
      <c r="J195">
        <v>115</v>
      </c>
      <c r="K195">
        <v>13.8</v>
      </c>
      <c r="L195" t="s">
        <v>43</v>
      </c>
      <c r="M195">
        <v>25762.6</v>
      </c>
      <c r="N195">
        <v>12971</v>
      </c>
      <c r="O195" t="s">
        <v>59</v>
      </c>
      <c r="P195" t="str">
        <f t="shared" si="27"/>
        <v>Yes</v>
      </c>
      <c r="Q195">
        <f t="shared" si="28"/>
        <v>89.84</v>
      </c>
      <c r="R195">
        <f t="shared" si="29"/>
        <v>5.9</v>
      </c>
      <c r="S195">
        <f t="shared" si="30"/>
        <v>1.99</v>
      </c>
      <c r="T195" t="str">
        <f t="shared" si="31"/>
        <v>Delayed</v>
      </c>
      <c r="U195" t="str">
        <f t="shared" si="32"/>
        <v>Medium</v>
      </c>
      <c r="V195" t="str">
        <f t="shared" si="33"/>
        <v>Low Risk</v>
      </c>
      <c r="W195" t="str">
        <f t="shared" si="34"/>
        <v>Aug</v>
      </c>
      <c r="X195">
        <f t="shared" ref="X195:X258" si="35">YEAR(A195)</f>
        <v>2025</v>
      </c>
    </row>
    <row r="196" spans="1:24" x14ac:dyDescent="0.35">
      <c r="A196" s="3">
        <v>45930</v>
      </c>
      <c r="B196" t="s">
        <v>89</v>
      </c>
      <c r="C196" t="s">
        <v>95</v>
      </c>
      <c r="D196" t="s">
        <v>336</v>
      </c>
      <c r="E196" t="s">
        <v>48</v>
      </c>
      <c r="F196" t="s">
        <v>28</v>
      </c>
      <c r="G196" t="s">
        <v>35</v>
      </c>
      <c r="H196">
        <v>24.2</v>
      </c>
      <c r="I196">
        <v>1934</v>
      </c>
      <c r="J196">
        <v>118</v>
      </c>
      <c r="K196">
        <v>14.5</v>
      </c>
      <c r="L196" t="s">
        <v>49</v>
      </c>
      <c r="M196">
        <v>16058.59</v>
      </c>
      <c r="N196">
        <v>27428</v>
      </c>
      <c r="O196" t="s">
        <v>31</v>
      </c>
      <c r="P196" t="str">
        <f t="shared" si="27"/>
        <v>Yes</v>
      </c>
      <c r="Q196">
        <f t="shared" si="28"/>
        <v>79.92</v>
      </c>
      <c r="R196">
        <f t="shared" si="29"/>
        <v>8.3000000000000007</v>
      </c>
      <c r="S196">
        <f t="shared" si="30"/>
        <v>0.59</v>
      </c>
      <c r="T196" t="str">
        <f t="shared" si="31"/>
        <v>Delayed</v>
      </c>
      <c r="U196" t="str">
        <f t="shared" si="32"/>
        <v>Low</v>
      </c>
      <c r="V196" t="str">
        <f t="shared" si="33"/>
        <v>High Risk</v>
      </c>
      <c r="W196" t="str">
        <f t="shared" si="34"/>
        <v>Sep</v>
      </c>
      <c r="X196">
        <f t="shared" si="35"/>
        <v>2025</v>
      </c>
    </row>
    <row r="197" spans="1:24" x14ac:dyDescent="0.35">
      <c r="A197" s="3">
        <v>45797</v>
      </c>
      <c r="B197" t="s">
        <v>201</v>
      </c>
      <c r="C197" t="s">
        <v>95</v>
      </c>
      <c r="D197" t="s">
        <v>337</v>
      </c>
      <c r="E197" t="s">
        <v>63</v>
      </c>
      <c r="F197" t="s">
        <v>41</v>
      </c>
      <c r="G197" t="s">
        <v>35</v>
      </c>
      <c r="H197">
        <v>27.7</v>
      </c>
      <c r="I197">
        <v>3056</v>
      </c>
      <c r="J197">
        <v>98</v>
      </c>
      <c r="K197">
        <v>14.5</v>
      </c>
      <c r="L197" t="s">
        <v>49</v>
      </c>
      <c r="M197">
        <v>14895.62</v>
      </c>
      <c r="N197">
        <v>7606</v>
      </c>
      <c r="O197" t="s">
        <v>91</v>
      </c>
      <c r="P197" t="str">
        <f t="shared" si="27"/>
        <v>Yes</v>
      </c>
      <c r="Q197">
        <f t="shared" si="28"/>
        <v>110.32</v>
      </c>
      <c r="R197">
        <f t="shared" si="29"/>
        <v>4.87</v>
      </c>
      <c r="S197">
        <f t="shared" si="30"/>
        <v>1.96</v>
      </c>
      <c r="T197" t="str">
        <f t="shared" si="31"/>
        <v>Delayed</v>
      </c>
      <c r="U197" t="str">
        <f t="shared" si="32"/>
        <v>Low</v>
      </c>
      <c r="V197" t="str">
        <f t="shared" si="33"/>
        <v>High Risk</v>
      </c>
      <c r="W197" t="str">
        <f t="shared" si="34"/>
        <v>May</v>
      </c>
      <c r="X197">
        <f t="shared" si="35"/>
        <v>2025</v>
      </c>
    </row>
    <row r="198" spans="1:24" x14ac:dyDescent="0.35">
      <c r="A198" s="3">
        <v>45742</v>
      </c>
      <c r="B198" t="s">
        <v>33</v>
      </c>
      <c r="C198" t="s">
        <v>109</v>
      </c>
      <c r="D198" t="s">
        <v>338</v>
      </c>
      <c r="E198" t="s">
        <v>27</v>
      </c>
      <c r="F198" t="s">
        <v>28</v>
      </c>
      <c r="G198" t="s">
        <v>35</v>
      </c>
      <c r="H198">
        <v>70.8</v>
      </c>
      <c r="I198">
        <v>1050</v>
      </c>
      <c r="J198">
        <v>75</v>
      </c>
      <c r="K198">
        <v>21.5</v>
      </c>
      <c r="L198" t="s">
        <v>49</v>
      </c>
      <c r="M198">
        <v>35989.49</v>
      </c>
      <c r="N198">
        <v>15710</v>
      </c>
      <c r="O198" t="s">
        <v>67</v>
      </c>
      <c r="P198" t="str">
        <f t="shared" si="27"/>
        <v>Yes</v>
      </c>
      <c r="Q198">
        <f t="shared" si="28"/>
        <v>14.83</v>
      </c>
      <c r="R198">
        <f t="shared" si="29"/>
        <v>34.28</v>
      </c>
      <c r="S198">
        <f t="shared" si="30"/>
        <v>2.29</v>
      </c>
      <c r="T198" t="str">
        <f t="shared" si="31"/>
        <v>Delayed</v>
      </c>
      <c r="U198" t="str">
        <f t="shared" si="32"/>
        <v>High</v>
      </c>
      <c r="V198" t="str">
        <f t="shared" si="33"/>
        <v>High Risk</v>
      </c>
      <c r="W198" t="str">
        <f t="shared" si="34"/>
        <v>Mar</v>
      </c>
      <c r="X198">
        <f t="shared" si="35"/>
        <v>2025</v>
      </c>
    </row>
    <row r="199" spans="1:24" x14ac:dyDescent="0.35">
      <c r="A199" s="3">
        <v>45935</v>
      </c>
      <c r="B199" t="s">
        <v>56</v>
      </c>
      <c r="C199" t="s">
        <v>25</v>
      </c>
      <c r="D199" t="s">
        <v>339</v>
      </c>
      <c r="E199" t="s">
        <v>48</v>
      </c>
      <c r="F199" t="s">
        <v>66</v>
      </c>
      <c r="G199" t="s">
        <v>35</v>
      </c>
      <c r="H199">
        <v>53.5</v>
      </c>
      <c r="I199">
        <v>4232</v>
      </c>
      <c r="J199">
        <v>24</v>
      </c>
      <c r="K199">
        <v>13.4</v>
      </c>
      <c r="L199" t="s">
        <v>30</v>
      </c>
      <c r="M199">
        <v>28104.34</v>
      </c>
      <c r="N199">
        <v>14298</v>
      </c>
      <c r="O199" t="s">
        <v>84</v>
      </c>
      <c r="P199" t="str">
        <f t="shared" si="27"/>
        <v>Yes</v>
      </c>
      <c r="Q199">
        <f t="shared" si="28"/>
        <v>79.099999999999994</v>
      </c>
      <c r="R199">
        <f t="shared" si="29"/>
        <v>6.64</v>
      </c>
      <c r="S199">
        <f t="shared" si="30"/>
        <v>1.97</v>
      </c>
      <c r="T199" t="str">
        <f t="shared" si="31"/>
        <v>Delayed</v>
      </c>
      <c r="U199" t="str">
        <f t="shared" si="32"/>
        <v>Medium</v>
      </c>
      <c r="V199" t="str">
        <f t="shared" si="33"/>
        <v>Medium Risk</v>
      </c>
      <c r="W199" t="str">
        <f t="shared" si="34"/>
        <v>Oct</v>
      </c>
      <c r="X199">
        <f t="shared" si="35"/>
        <v>2025</v>
      </c>
    </row>
    <row r="200" spans="1:24" x14ac:dyDescent="0.35">
      <c r="A200" s="3">
        <v>45773</v>
      </c>
      <c r="B200" t="s">
        <v>317</v>
      </c>
      <c r="C200" t="s">
        <v>69</v>
      </c>
      <c r="D200" t="s">
        <v>340</v>
      </c>
      <c r="E200" t="s">
        <v>41</v>
      </c>
      <c r="F200" t="s">
        <v>55</v>
      </c>
      <c r="G200" t="s">
        <v>35</v>
      </c>
      <c r="H200">
        <v>62.7</v>
      </c>
      <c r="I200">
        <v>4675</v>
      </c>
      <c r="J200">
        <v>25</v>
      </c>
      <c r="K200">
        <v>18.8</v>
      </c>
      <c r="L200" t="s">
        <v>49</v>
      </c>
      <c r="M200">
        <v>33945.339999999997</v>
      </c>
      <c r="N200">
        <v>10705</v>
      </c>
      <c r="O200" t="s">
        <v>36</v>
      </c>
      <c r="P200" t="str">
        <f t="shared" si="27"/>
        <v>Yes</v>
      </c>
      <c r="Q200">
        <f t="shared" si="28"/>
        <v>74.56</v>
      </c>
      <c r="R200">
        <f t="shared" si="29"/>
        <v>7.26</v>
      </c>
      <c r="S200">
        <f t="shared" si="30"/>
        <v>3.17</v>
      </c>
      <c r="T200" t="str">
        <f t="shared" si="31"/>
        <v>Delayed</v>
      </c>
      <c r="U200" t="str">
        <f t="shared" si="32"/>
        <v>High</v>
      </c>
      <c r="V200" t="str">
        <f t="shared" si="33"/>
        <v>High Risk</v>
      </c>
      <c r="W200" t="str">
        <f t="shared" si="34"/>
        <v>Apr</v>
      </c>
      <c r="X200">
        <f t="shared" si="35"/>
        <v>2025</v>
      </c>
    </row>
    <row r="201" spans="1:24" x14ac:dyDescent="0.35">
      <c r="A201" s="3">
        <v>45924</v>
      </c>
      <c r="B201" t="s">
        <v>159</v>
      </c>
      <c r="C201" t="s">
        <v>95</v>
      </c>
      <c r="D201" t="s">
        <v>341</v>
      </c>
      <c r="E201" t="s">
        <v>54</v>
      </c>
      <c r="F201" t="s">
        <v>63</v>
      </c>
      <c r="G201" t="s">
        <v>42</v>
      </c>
      <c r="H201">
        <v>23.8</v>
      </c>
      <c r="I201">
        <v>4090</v>
      </c>
      <c r="J201">
        <v>75</v>
      </c>
      <c r="K201">
        <v>15.2</v>
      </c>
      <c r="L201" t="s">
        <v>30</v>
      </c>
      <c r="M201">
        <v>14205.26</v>
      </c>
      <c r="N201">
        <v>19429</v>
      </c>
      <c r="O201" t="s">
        <v>36</v>
      </c>
      <c r="P201" t="str">
        <f t="shared" si="27"/>
        <v>Yes</v>
      </c>
      <c r="Q201">
        <f t="shared" si="28"/>
        <v>171.85</v>
      </c>
      <c r="R201">
        <f t="shared" si="29"/>
        <v>3.47</v>
      </c>
      <c r="S201">
        <f t="shared" si="30"/>
        <v>0.73</v>
      </c>
      <c r="T201" t="str">
        <f t="shared" si="31"/>
        <v>Delayed</v>
      </c>
      <c r="U201" t="str">
        <f t="shared" si="32"/>
        <v>Low</v>
      </c>
      <c r="V201" t="str">
        <f t="shared" si="33"/>
        <v>Medium Risk</v>
      </c>
      <c r="W201" t="str">
        <f t="shared" si="34"/>
        <v>Sep</v>
      </c>
      <c r="X201">
        <f t="shared" si="35"/>
        <v>2025</v>
      </c>
    </row>
    <row r="202" spans="1:24" x14ac:dyDescent="0.35">
      <c r="A202" s="3">
        <v>45996</v>
      </c>
      <c r="B202" t="s">
        <v>185</v>
      </c>
      <c r="C202" t="s">
        <v>95</v>
      </c>
      <c r="D202" t="s">
        <v>342</v>
      </c>
      <c r="E202" t="s">
        <v>41</v>
      </c>
      <c r="F202" t="s">
        <v>27</v>
      </c>
      <c r="G202" t="s">
        <v>71</v>
      </c>
      <c r="H202">
        <v>55.9</v>
      </c>
      <c r="I202">
        <v>4415</v>
      </c>
      <c r="J202">
        <v>58</v>
      </c>
      <c r="K202">
        <v>10.4</v>
      </c>
      <c r="L202" t="s">
        <v>78</v>
      </c>
      <c r="M202">
        <v>36279.1</v>
      </c>
      <c r="N202">
        <v>10309</v>
      </c>
      <c r="O202" t="s">
        <v>67</v>
      </c>
      <c r="P202" t="str">
        <f t="shared" si="27"/>
        <v>No</v>
      </c>
      <c r="Q202">
        <f t="shared" si="28"/>
        <v>78.98</v>
      </c>
      <c r="R202">
        <f t="shared" si="29"/>
        <v>8.2200000000000006</v>
      </c>
      <c r="S202">
        <f t="shared" si="30"/>
        <v>3.52</v>
      </c>
      <c r="T202" t="str">
        <f t="shared" si="31"/>
        <v>On Time</v>
      </c>
      <c r="U202" t="str">
        <f t="shared" si="32"/>
        <v>Medium</v>
      </c>
      <c r="V202" t="str">
        <f t="shared" si="33"/>
        <v>Low Risk</v>
      </c>
      <c r="W202" t="str">
        <f t="shared" si="34"/>
        <v>Dec</v>
      </c>
      <c r="X202">
        <f t="shared" si="35"/>
        <v>2025</v>
      </c>
    </row>
    <row r="203" spans="1:24" x14ac:dyDescent="0.35">
      <c r="A203" s="3">
        <v>45824</v>
      </c>
      <c r="B203" t="s">
        <v>300</v>
      </c>
      <c r="C203" t="s">
        <v>69</v>
      </c>
      <c r="D203" t="s">
        <v>343</v>
      </c>
      <c r="E203" t="s">
        <v>54</v>
      </c>
      <c r="F203" t="s">
        <v>55</v>
      </c>
      <c r="G203" t="s">
        <v>35</v>
      </c>
      <c r="H203">
        <v>23.6</v>
      </c>
      <c r="I203">
        <v>4678</v>
      </c>
      <c r="J203">
        <v>23</v>
      </c>
      <c r="K203">
        <v>13.1</v>
      </c>
      <c r="L203" t="s">
        <v>30</v>
      </c>
      <c r="M203">
        <v>14420.45</v>
      </c>
      <c r="N203">
        <v>20623</v>
      </c>
      <c r="O203" t="s">
        <v>67</v>
      </c>
      <c r="P203" t="str">
        <f t="shared" si="27"/>
        <v>Yes</v>
      </c>
      <c r="Q203">
        <f t="shared" si="28"/>
        <v>198.22</v>
      </c>
      <c r="R203">
        <f t="shared" si="29"/>
        <v>3.08</v>
      </c>
      <c r="S203">
        <f t="shared" si="30"/>
        <v>0.7</v>
      </c>
      <c r="T203" t="str">
        <f t="shared" si="31"/>
        <v>Delayed</v>
      </c>
      <c r="U203" t="str">
        <f t="shared" si="32"/>
        <v>Low</v>
      </c>
      <c r="V203" t="str">
        <f t="shared" si="33"/>
        <v>Medium Risk</v>
      </c>
      <c r="W203" t="str">
        <f t="shared" si="34"/>
        <v>Jun</v>
      </c>
      <c r="X203">
        <f t="shared" si="35"/>
        <v>2025</v>
      </c>
    </row>
    <row r="204" spans="1:24" x14ac:dyDescent="0.35">
      <c r="A204" s="3">
        <v>45942</v>
      </c>
      <c r="B204" t="s">
        <v>148</v>
      </c>
      <c r="C204" t="s">
        <v>130</v>
      </c>
      <c r="D204" t="s">
        <v>344</v>
      </c>
      <c r="E204" t="s">
        <v>28</v>
      </c>
      <c r="F204" t="s">
        <v>54</v>
      </c>
      <c r="G204" t="s">
        <v>42</v>
      </c>
      <c r="H204">
        <v>61.7</v>
      </c>
      <c r="I204">
        <v>4580</v>
      </c>
      <c r="J204">
        <v>93</v>
      </c>
      <c r="K204">
        <v>12.4</v>
      </c>
      <c r="L204" t="s">
        <v>49</v>
      </c>
      <c r="M204">
        <v>34673.019999999997</v>
      </c>
      <c r="N204">
        <v>25403</v>
      </c>
      <c r="O204" t="s">
        <v>59</v>
      </c>
      <c r="P204" t="str">
        <f t="shared" si="27"/>
        <v>Yes</v>
      </c>
      <c r="Q204">
        <f t="shared" si="28"/>
        <v>74.23</v>
      </c>
      <c r="R204">
        <f t="shared" si="29"/>
        <v>7.57</v>
      </c>
      <c r="S204">
        <f t="shared" si="30"/>
        <v>1.36</v>
      </c>
      <c r="T204" t="str">
        <f t="shared" si="31"/>
        <v>Delayed</v>
      </c>
      <c r="U204" t="str">
        <f t="shared" si="32"/>
        <v>High</v>
      </c>
      <c r="V204" t="str">
        <f t="shared" si="33"/>
        <v>High Risk</v>
      </c>
      <c r="W204" t="str">
        <f t="shared" si="34"/>
        <v>Oct</v>
      </c>
      <c r="X204">
        <f t="shared" si="35"/>
        <v>2025</v>
      </c>
    </row>
    <row r="205" spans="1:24" x14ac:dyDescent="0.35">
      <c r="A205" s="3">
        <v>45827</v>
      </c>
      <c r="B205" t="s">
        <v>214</v>
      </c>
      <c r="C205" t="s">
        <v>25</v>
      </c>
      <c r="D205" t="s">
        <v>345</v>
      </c>
      <c r="E205" t="s">
        <v>55</v>
      </c>
      <c r="F205" t="s">
        <v>54</v>
      </c>
      <c r="G205" t="s">
        <v>35</v>
      </c>
      <c r="H205">
        <v>37.4</v>
      </c>
      <c r="I205">
        <v>2946</v>
      </c>
      <c r="J205">
        <v>58</v>
      </c>
      <c r="K205">
        <v>21.8</v>
      </c>
      <c r="L205" t="s">
        <v>43</v>
      </c>
      <c r="M205">
        <v>20586.86</v>
      </c>
      <c r="N205">
        <v>12869</v>
      </c>
      <c r="O205" t="s">
        <v>31</v>
      </c>
      <c r="P205" t="str">
        <f t="shared" si="27"/>
        <v>Yes</v>
      </c>
      <c r="Q205">
        <f t="shared" si="28"/>
        <v>78.77</v>
      </c>
      <c r="R205">
        <f t="shared" si="29"/>
        <v>6.99</v>
      </c>
      <c r="S205">
        <f t="shared" si="30"/>
        <v>1.6</v>
      </c>
      <c r="T205" t="str">
        <f t="shared" si="31"/>
        <v>Delayed</v>
      </c>
      <c r="U205" t="str">
        <f t="shared" si="32"/>
        <v>Low</v>
      </c>
      <c r="V205" t="str">
        <f t="shared" si="33"/>
        <v>Low Risk</v>
      </c>
      <c r="W205" t="str">
        <f t="shared" si="34"/>
        <v>Jun</v>
      </c>
      <c r="X205">
        <f t="shared" si="35"/>
        <v>2025</v>
      </c>
    </row>
    <row r="206" spans="1:24" x14ac:dyDescent="0.35">
      <c r="A206" s="3">
        <v>45684</v>
      </c>
      <c r="B206" t="s">
        <v>115</v>
      </c>
      <c r="C206" t="s">
        <v>109</v>
      </c>
      <c r="D206" t="s">
        <v>346</v>
      </c>
      <c r="E206" t="s">
        <v>66</v>
      </c>
      <c r="F206" t="s">
        <v>55</v>
      </c>
      <c r="G206" t="s">
        <v>42</v>
      </c>
      <c r="H206">
        <v>27.6</v>
      </c>
      <c r="I206">
        <v>3865</v>
      </c>
      <c r="J206">
        <v>51</v>
      </c>
      <c r="K206">
        <v>16.5</v>
      </c>
      <c r="L206" t="s">
        <v>30</v>
      </c>
      <c r="M206">
        <v>15816.75</v>
      </c>
      <c r="N206">
        <v>9572</v>
      </c>
      <c r="O206" t="s">
        <v>31</v>
      </c>
      <c r="P206" t="str">
        <f t="shared" si="27"/>
        <v>Yes</v>
      </c>
      <c r="Q206">
        <f t="shared" si="28"/>
        <v>140.04</v>
      </c>
      <c r="R206">
        <f t="shared" si="29"/>
        <v>4.09</v>
      </c>
      <c r="S206">
        <f t="shared" si="30"/>
        <v>1.65</v>
      </c>
      <c r="T206" t="str">
        <f t="shared" si="31"/>
        <v>Delayed</v>
      </c>
      <c r="U206" t="str">
        <f t="shared" si="32"/>
        <v>Low</v>
      </c>
      <c r="V206" t="str">
        <f t="shared" si="33"/>
        <v>Medium Risk</v>
      </c>
      <c r="W206" t="str">
        <f t="shared" si="34"/>
        <v>Jan</v>
      </c>
      <c r="X206">
        <f t="shared" si="35"/>
        <v>2025</v>
      </c>
    </row>
    <row r="207" spans="1:24" x14ac:dyDescent="0.35">
      <c r="A207" s="3">
        <v>45659</v>
      </c>
      <c r="B207" t="s">
        <v>24</v>
      </c>
      <c r="C207" t="s">
        <v>69</v>
      </c>
      <c r="D207" t="s">
        <v>347</v>
      </c>
      <c r="E207" t="s">
        <v>28</v>
      </c>
      <c r="F207" t="s">
        <v>27</v>
      </c>
      <c r="G207" t="s">
        <v>35</v>
      </c>
      <c r="H207">
        <v>57.5</v>
      </c>
      <c r="I207">
        <v>1409</v>
      </c>
      <c r="J207">
        <v>57</v>
      </c>
      <c r="K207">
        <v>10.5</v>
      </c>
      <c r="L207" t="s">
        <v>49</v>
      </c>
      <c r="M207">
        <v>32392.55</v>
      </c>
      <c r="N207">
        <v>14727</v>
      </c>
      <c r="O207" t="s">
        <v>44</v>
      </c>
      <c r="P207" t="str">
        <f t="shared" si="27"/>
        <v>Yes</v>
      </c>
      <c r="Q207">
        <f t="shared" si="28"/>
        <v>24.5</v>
      </c>
      <c r="R207">
        <f t="shared" si="29"/>
        <v>22.99</v>
      </c>
      <c r="S207">
        <f t="shared" si="30"/>
        <v>2.2000000000000002</v>
      </c>
      <c r="T207" t="str">
        <f t="shared" si="31"/>
        <v>Delayed</v>
      </c>
      <c r="U207" t="str">
        <f t="shared" si="32"/>
        <v>Medium</v>
      </c>
      <c r="V207" t="str">
        <f t="shared" si="33"/>
        <v>High Risk</v>
      </c>
      <c r="W207" t="str">
        <f t="shared" si="34"/>
        <v>Jan</v>
      </c>
      <c r="X207">
        <f t="shared" si="35"/>
        <v>2025</v>
      </c>
    </row>
    <row r="208" spans="1:24" x14ac:dyDescent="0.35">
      <c r="A208" s="3">
        <v>45964</v>
      </c>
      <c r="B208" t="s">
        <v>127</v>
      </c>
      <c r="C208" t="s">
        <v>95</v>
      </c>
      <c r="D208" t="s">
        <v>348</v>
      </c>
      <c r="E208" t="s">
        <v>48</v>
      </c>
      <c r="F208" t="s">
        <v>27</v>
      </c>
      <c r="G208" t="s">
        <v>42</v>
      </c>
      <c r="H208">
        <v>44.6</v>
      </c>
      <c r="I208">
        <v>1009</v>
      </c>
      <c r="J208">
        <v>51</v>
      </c>
      <c r="K208">
        <v>16.5</v>
      </c>
      <c r="L208" t="s">
        <v>49</v>
      </c>
      <c r="M208">
        <v>22853.83</v>
      </c>
      <c r="N208">
        <v>22902</v>
      </c>
      <c r="O208" t="s">
        <v>44</v>
      </c>
      <c r="P208" t="str">
        <f t="shared" si="27"/>
        <v>Yes</v>
      </c>
      <c r="Q208">
        <f t="shared" si="28"/>
        <v>22.62</v>
      </c>
      <c r="R208">
        <f t="shared" si="29"/>
        <v>22.65</v>
      </c>
      <c r="S208">
        <f t="shared" si="30"/>
        <v>1</v>
      </c>
      <c r="T208" t="str">
        <f t="shared" si="31"/>
        <v>Delayed</v>
      </c>
      <c r="U208" t="str">
        <f t="shared" si="32"/>
        <v>Medium</v>
      </c>
      <c r="V208" t="str">
        <f t="shared" si="33"/>
        <v>High Risk</v>
      </c>
      <c r="W208" t="str">
        <f t="shared" si="34"/>
        <v>Nov</v>
      </c>
      <c r="X208">
        <f t="shared" si="35"/>
        <v>2025</v>
      </c>
    </row>
    <row r="209" spans="1:24" x14ac:dyDescent="0.35">
      <c r="A209" s="3">
        <v>45796</v>
      </c>
      <c r="B209" t="s">
        <v>349</v>
      </c>
      <c r="C209" t="s">
        <v>39</v>
      </c>
      <c r="D209" t="s">
        <v>350</v>
      </c>
      <c r="E209" t="s">
        <v>41</v>
      </c>
      <c r="F209" t="s">
        <v>54</v>
      </c>
      <c r="G209" t="s">
        <v>71</v>
      </c>
      <c r="H209">
        <v>28.2</v>
      </c>
      <c r="I209">
        <v>2499</v>
      </c>
      <c r="J209">
        <v>89</v>
      </c>
      <c r="K209">
        <v>12.1</v>
      </c>
      <c r="L209" t="s">
        <v>49</v>
      </c>
      <c r="M209">
        <v>15413.23</v>
      </c>
      <c r="N209">
        <v>19213</v>
      </c>
      <c r="O209" t="s">
        <v>31</v>
      </c>
      <c r="P209" t="str">
        <f t="shared" si="27"/>
        <v>Yes</v>
      </c>
      <c r="Q209">
        <f t="shared" si="28"/>
        <v>88.62</v>
      </c>
      <c r="R209">
        <f t="shared" si="29"/>
        <v>6.17</v>
      </c>
      <c r="S209">
        <f t="shared" si="30"/>
        <v>0.8</v>
      </c>
      <c r="T209" t="str">
        <f t="shared" si="31"/>
        <v>Delayed</v>
      </c>
      <c r="U209" t="str">
        <f t="shared" si="32"/>
        <v>Low</v>
      </c>
      <c r="V209" t="str">
        <f t="shared" si="33"/>
        <v>High Risk</v>
      </c>
      <c r="W209" t="str">
        <f t="shared" si="34"/>
        <v>May</v>
      </c>
      <c r="X209">
        <f t="shared" si="35"/>
        <v>2025</v>
      </c>
    </row>
    <row r="210" spans="1:24" x14ac:dyDescent="0.35">
      <c r="A210" s="3">
        <v>45826</v>
      </c>
      <c r="B210" t="s">
        <v>203</v>
      </c>
      <c r="C210" t="s">
        <v>109</v>
      </c>
      <c r="D210" t="s">
        <v>351</v>
      </c>
      <c r="E210" t="s">
        <v>54</v>
      </c>
      <c r="F210" t="s">
        <v>48</v>
      </c>
      <c r="G210" t="s">
        <v>42</v>
      </c>
      <c r="H210">
        <v>39.9</v>
      </c>
      <c r="I210">
        <v>1663</v>
      </c>
      <c r="J210">
        <v>56</v>
      </c>
      <c r="K210">
        <v>21.5</v>
      </c>
      <c r="L210" t="s">
        <v>30</v>
      </c>
      <c r="M210">
        <v>19437.830000000002</v>
      </c>
      <c r="N210">
        <v>8295</v>
      </c>
      <c r="O210" t="s">
        <v>44</v>
      </c>
      <c r="P210" t="str">
        <f t="shared" si="27"/>
        <v>Yes</v>
      </c>
      <c r="Q210">
        <f t="shared" si="28"/>
        <v>41.68</v>
      </c>
      <c r="R210">
        <f t="shared" si="29"/>
        <v>11.69</v>
      </c>
      <c r="S210">
        <f t="shared" si="30"/>
        <v>2.34</v>
      </c>
      <c r="T210" t="str">
        <f t="shared" si="31"/>
        <v>Delayed</v>
      </c>
      <c r="U210" t="str">
        <f t="shared" si="32"/>
        <v>Low</v>
      </c>
      <c r="V210" t="str">
        <f t="shared" si="33"/>
        <v>Medium Risk</v>
      </c>
      <c r="W210" t="str">
        <f t="shared" si="34"/>
        <v>Jun</v>
      </c>
      <c r="X210">
        <f t="shared" si="35"/>
        <v>2025</v>
      </c>
    </row>
    <row r="211" spans="1:24" x14ac:dyDescent="0.35">
      <c r="A211" s="3">
        <v>45909</v>
      </c>
      <c r="B211" t="s">
        <v>309</v>
      </c>
      <c r="C211" t="s">
        <v>109</v>
      </c>
      <c r="D211" t="s">
        <v>352</v>
      </c>
      <c r="E211" t="s">
        <v>66</v>
      </c>
      <c r="F211" t="s">
        <v>48</v>
      </c>
      <c r="G211" t="s">
        <v>71</v>
      </c>
      <c r="H211">
        <v>27.6</v>
      </c>
      <c r="I211">
        <v>2792</v>
      </c>
      <c r="J211">
        <v>106</v>
      </c>
      <c r="K211">
        <v>10.3</v>
      </c>
      <c r="L211" t="s">
        <v>30</v>
      </c>
      <c r="M211">
        <v>16802.490000000002</v>
      </c>
      <c r="N211">
        <v>18979</v>
      </c>
      <c r="O211" t="s">
        <v>84</v>
      </c>
      <c r="P211" t="str">
        <f t="shared" si="27"/>
        <v>Yes</v>
      </c>
      <c r="Q211">
        <f t="shared" si="28"/>
        <v>101.16</v>
      </c>
      <c r="R211">
        <f t="shared" si="29"/>
        <v>6.02</v>
      </c>
      <c r="S211">
        <f t="shared" si="30"/>
        <v>0.89</v>
      </c>
      <c r="T211" t="str">
        <f t="shared" si="31"/>
        <v>Delayed</v>
      </c>
      <c r="U211" t="str">
        <f t="shared" si="32"/>
        <v>Low</v>
      </c>
      <c r="V211" t="str">
        <f t="shared" si="33"/>
        <v>Medium Risk</v>
      </c>
      <c r="W211" t="str">
        <f t="shared" si="34"/>
        <v>Sep</v>
      </c>
      <c r="X211">
        <f t="shared" si="35"/>
        <v>2025</v>
      </c>
    </row>
    <row r="212" spans="1:24" x14ac:dyDescent="0.35">
      <c r="A212" s="3">
        <v>45806</v>
      </c>
      <c r="B212" t="s">
        <v>250</v>
      </c>
      <c r="C212" t="s">
        <v>57</v>
      </c>
      <c r="D212" t="s">
        <v>353</v>
      </c>
      <c r="E212" t="s">
        <v>48</v>
      </c>
      <c r="F212" t="s">
        <v>63</v>
      </c>
      <c r="G212" t="s">
        <v>42</v>
      </c>
      <c r="H212">
        <v>42.7</v>
      </c>
      <c r="I212">
        <v>2132</v>
      </c>
      <c r="J212">
        <v>47</v>
      </c>
      <c r="K212">
        <v>20.100000000000001</v>
      </c>
      <c r="L212" t="s">
        <v>43</v>
      </c>
      <c r="M212">
        <v>21629.919999999998</v>
      </c>
      <c r="N212">
        <v>13082</v>
      </c>
      <c r="O212" t="s">
        <v>44</v>
      </c>
      <c r="P212" t="str">
        <f t="shared" si="27"/>
        <v>Yes</v>
      </c>
      <c r="Q212">
        <f t="shared" si="28"/>
        <v>49.93</v>
      </c>
      <c r="R212">
        <f t="shared" si="29"/>
        <v>10.15</v>
      </c>
      <c r="S212">
        <f t="shared" si="30"/>
        <v>1.65</v>
      </c>
      <c r="T212" t="str">
        <f t="shared" si="31"/>
        <v>Delayed</v>
      </c>
      <c r="U212" t="str">
        <f t="shared" si="32"/>
        <v>Medium</v>
      </c>
      <c r="V212" t="str">
        <f t="shared" si="33"/>
        <v>Low Risk</v>
      </c>
      <c r="W212" t="str">
        <f t="shared" si="34"/>
        <v>May</v>
      </c>
      <c r="X212">
        <f t="shared" si="35"/>
        <v>2025</v>
      </c>
    </row>
    <row r="213" spans="1:24" x14ac:dyDescent="0.35">
      <c r="A213" s="3">
        <v>45663</v>
      </c>
      <c r="B213" t="s">
        <v>68</v>
      </c>
      <c r="C213" t="s">
        <v>130</v>
      </c>
      <c r="D213" t="s">
        <v>354</v>
      </c>
      <c r="E213" t="s">
        <v>27</v>
      </c>
      <c r="F213" t="s">
        <v>41</v>
      </c>
      <c r="G213" t="s">
        <v>71</v>
      </c>
      <c r="H213">
        <v>62.1</v>
      </c>
      <c r="I213">
        <v>4815</v>
      </c>
      <c r="J213">
        <v>114</v>
      </c>
      <c r="K213">
        <v>20.8</v>
      </c>
      <c r="L213" t="s">
        <v>43</v>
      </c>
      <c r="M213">
        <v>40929.550000000003</v>
      </c>
      <c r="N213">
        <v>10703</v>
      </c>
      <c r="O213" t="s">
        <v>84</v>
      </c>
      <c r="P213" t="str">
        <f t="shared" si="27"/>
        <v>Yes</v>
      </c>
      <c r="Q213">
        <f t="shared" si="28"/>
        <v>77.540000000000006</v>
      </c>
      <c r="R213">
        <f t="shared" si="29"/>
        <v>8.5</v>
      </c>
      <c r="S213">
        <f t="shared" si="30"/>
        <v>3.82</v>
      </c>
      <c r="T213" t="str">
        <f t="shared" si="31"/>
        <v>Delayed</v>
      </c>
      <c r="U213" t="str">
        <f t="shared" si="32"/>
        <v>High</v>
      </c>
      <c r="V213" t="str">
        <f t="shared" si="33"/>
        <v>Low Risk</v>
      </c>
      <c r="W213" t="str">
        <f t="shared" si="34"/>
        <v>Jan</v>
      </c>
      <c r="X213">
        <f t="shared" si="35"/>
        <v>2025</v>
      </c>
    </row>
    <row r="214" spans="1:24" x14ac:dyDescent="0.35">
      <c r="A214" s="3">
        <v>45815</v>
      </c>
      <c r="B214" t="s">
        <v>148</v>
      </c>
      <c r="C214" t="s">
        <v>109</v>
      </c>
      <c r="D214" t="s">
        <v>355</v>
      </c>
      <c r="E214" t="s">
        <v>48</v>
      </c>
      <c r="F214" t="s">
        <v>28</v>
      </c>
      <c r="G214" t="s">
        <v>35</v>
      </c>
      <c r="H214">
        <v>73.599999999999994</v>
      </c>
      <c r="I214">
        <v>528</v>
      </c>
      <c r="J214">
        <v>89</v>
      </c>
      <c r="K214">
        <v>16.3</v>
      </c>
      <c r="L214" t="s">
        <v>43</v>
      </c>
      <c r="M214">
        <v>35283.65</v>
      </c>
      <c r="N214">
        <v>22280</v>
      </c>
      <c r="O214" t="s">
        <v>59</v>
      </c>
      <c r="P214" t="str">
        <f t="shared" si="27"/>
        <v>Yes</v>
      </c>
      <c r="Q214">
        <f t="shared" si="28"/>
        <v>7.17</v>
      </c>
      <c r="R214">
        <f t="shared" si="29"/>
        <v>66.83</v>
      </c>
      <c r="S214">
        <f t="shared" si="30"/>
        <v>1.58</v>
      </c>
      <c r="T214" t="str">
        <f t="shared" si="31"/>
        <v>Delayed</v>
      </c>
      <c r="U214" t="str">
        <f t="shared" si="32"/>
        <v>High</v>
      </c>
      <c r="V214" t="str">
        <f t="shared" si="33"/>
        <v>Low Risk</v>
      </c>
      <c r="W214" t="str">
        <f t="shared" si="34"/>
        <v>Jun</v>
      </c>
      <c r="X214">
        <f t="shared" si="35"/>
        <v>2025</v>
      </c>
    </row>
    <row r="215" spans="1:24" x14ac:dyDescent="0.35">
      <c r="A215" s="3">
        <v>45713</v>
      </c>
      <c r="B215" t="s">
        <v>165</v>
      </c>
      <c r="C215" t="s">
        <v>95</v>
      </c>
      <c r="D215" t="s">
        <v>356</v>
      </c>
      <c r="E215" t="s">
        <v>48</v>
      </c>
      <c r="F215" t="s">
        <v>63</v>
      </c>
      <c r="G215" t="s">
        <v>71</v>
      </c>
      <c r="H215">
        <v>56.9</v>
      </c>
      <c r="I215">
        <v>3916</v>
      </c>
      <c r="J215">
        <v>113</v>
      </c>
      <c r="K215">
        <v>11.2</v>
      </c>
      <c r="L215" t="s">
        <v>78</v>
      </c>
      <c r="M215">
        <v>32430.18</v>
      </c>
      <c r="N215">
        <v>11720</v>
      </c>
      <c r="O215" t="s">
        <v>44</v>
      </c>
      <c r="P215" t="str">
        <f t="shared" si="27"/>
        <v>No</v>
      </c>
      <c r="Q215">
        <f t="shared" si="28"/>
        <v>68.819999999999993</v>
      </c>
      <c r="R215">
        <f t="shared" si="29"/>
        <v>8.2799999999999994</v>
      </c>
      <c r="S215">
        <f t="shared" si="30"/>
        <v>2.77</v>
      </c>
      <c r="T215" t="str">
        <f t="shared" si="31"/>
        <v>On Time</v>
      </c>
      <c r="U215" t="str">
        <f t="shared" si="32"/>
        <v>Medium</v>
      </c>
      <c r="V215" t="str">
        <f t="shared" si="33"/>
        <v>Low Risk</v>
      </c>
      <c r="W215" t="str">
        <f t="shared" si="34"/>
        <v>Feb</v>
      </c>
      <c r="X215">
        <f t="shared" si="35"/>
        <v>2025</v>
      </c>
    </row>
    <row r="216" spans="1:24" x14ac:dyDescent="0.35">
      <c r="A216" s="3">
        <v>45716</v>
      </c>
      <c r="B216" t="s">
        <v>291</v>
      </c>
      <c r="C216" t="s">
        <v>109</v>
      </c>
      <c r="D216" t="s">
        <v>357</v>
      </c>
      <c r="E216" t="s">
        <v>27</v>
      </c>
      <c r="F216" t="s">
        <v>41</v>
      </c>
      <c r="G216" t="s">
        <v>35</v>
      </c>
      <c r="H216">
        <v>39.299999999999997</v>
      </c>
      <c r="I216">
        <v>1513</v>
      </c>
      <c r="J216">
        <v>54</v>
      </c>
      <c r="K216">
        <v>21.4</v>
      </c>
      <c r="L216" t="s">
        <v>30</v>
      </c>
      <c r="M216">
        <v>20946.34</v>
      </c>
      <c r="N216">
        <v>8518</v>
      </c>
      <c r="O216" t="s">
        <v>91</v>
      </c>
      <c r="P216" t="str">
        <f t="shared" si="27"/>
        <v>Yes</v>
      </c>
      <c r="Q216">
        <f t="shared" si="28"/>
        <v>38.5</v>
      </c>
      <c r="R216">
        <f t="shared" si="29"/>
        <v>13.84</v>
      </c>
      <c r="S216">
        <f t="shared" si="30"/>
        <v>2.46</v>
      </c>
      <c r="T216" t="str">
        <f t="shared" si="31"/>
        <v>Delayed</v>
      </c>
      <c r="U216" t="str">
        <f t="shared" si="32"/>
        <v>Low</v>
      </c>
      <c r="V216" t="str">
        <f t="shared" si="33"/>
        <v>Medium Risk</v>
      </c>
      <c r="W216" t="str">
        <f t="shared" si="34"/>
        <v>Feb</v>
      </c>
      <c r="X216">
        <f t="shared" si="35"/>
        <v>2025</v>
      </c>
    </row>
    <row r="217" spans="1:24" x14ac:dyDescent="0.35">
      <c r="A217" s="3">
        <v>45836</v>
      </c>
      <c r="B217" t="s">
        <v>199</v>
      </c>
      <c r="C217" t="s">
        <v>52</v>
      </c>
      <c r="D217" t="s">
        <v>358</v>
      </c>
      <c r="E217" t="s">
        <v>48</v>
      </c>
      <c r="F217" t="s">
        <v>41</v>
      </c>
      <c r="G217" t="s">
        <v>42</v>
      </c>
      <c r="H217">
        <v>52.8</v>
      </c>
      <c r="I217">
        <v>2001</v>
      </c>
      <c r="J217">
        <v>68</v>
      </c>
      <c r="K217">
        <v>16.7</v>
      </c>
      <c r="L217" t="s">
        <v>49</v>
      </c>
      <c r="M217">
        <v>36025.730000000003</v>
      </c>
      <c r="N217">
        <v>14514</v>
      </c>
      <c r="O217" t="s">
        <v>31</v>
      </c>
      <c r="P217" t="str">
        <f t="shared" si="27"/>
        <v>Yes</v>
      </c>
      <c r="Q217">
        <f t="shared" si="28"/>
        <v>37.9</v>
      </c>
      <c r="R217">
        <f t="shared" si="29"/>
        <v>18</v>
      </c>
      <c r="S217">
        <f t="shared" si="30"/>
        <v>2.48</v>
      </c>
      <c r="T217" t="str">
        <f t="shared" si="31"/>
        <v>Delayed</v>
      </c>
      <c r="U217" t="str">
        <f t="shared" si="32"/>
        <v>Medium</v>
      </c>
      <c r="V217" t="str">
        <f t="shared" si="33"/>
        <v>High Risk</v>
      </c>
      <c r="W217" t="str">
        <f t="shared" si="34"/>
        <v>Jun</v>
      </c>
      <c r="X217">
        <f t="shared" si="35"/>
        <v>2025</v>
      </c>
    </row>
    <row r="218" spans="1:24" x14ac:dyDescent="0.35">
      <c r="A218" s="3">
        <v>45983</v>
      </c>
      <c r="B218" t="s">
        <v>193</v>
      </c>
      <c r="C218" t="s">
        <v>52</v>
      </c>
      <c r="D218" t="s">
        <v>359</v>
      </c>
      <c r="E218" t="s">
        <v>66</v>
      </c>
      <c r="F218" t="s">
        <v>54</v>
      </c>
      <c r="G218" t="s">
        <v>71</v>
      </c>
      <c r="H218">
        <v>50.7</v>
      </c>
      <c r="I218">
        <v>3703</v>
      </c>
      <c r="J218">
        <v>67</v>
      </c>
      <c r="K218">
        <v>11</v>
      </c>
      <c r="L218" t="s">
        <v>78</v>
      </c>
      <c r="M218">
        <v>28058.2</v>
      </c>
      <c r="N218">
        <v>21204</v>
      </c>
      <c r="O218" t="s">
        <v>31</v>
      </c>
      <c r="P218" t="str">
        <f t="shared" si="27"/>
        <v>No</v>
      </c>
      <c r="Q218">
        <f t="shared" si="28"/>
        <v>73.040000000000006</v>
      </c>
      <c r="R218">
        <f t="shared" si="29"/>
        <v>7.58</v>
      </c>
      <c r="S218">
        <f t="shared" si="30"/>
        <v>1.32</v>
      </c>
      <c r="T218" t="str">
        <f t="shared" si="31"/>
        <v>On Time</v>
      </c>
      <c r="U218" t="str">
        <f t="shared" si="32"/>
        <v>Medium</v>
      </c>
      <c r="V218" t="str">
        <f t="shared" si="33"/>
        <v>Low Risk</v>
      </c>
      <c r="W218" t="str">
        <f t="shared" si="34"/>
        <v>Nov</v>
      </c>
      <c r="X218">
        <f t="shared" si="35"/>
        <v>2025</v>
      </c>
    </row>
    <row r="219" spans="1:24" x14ac:dyDescent="0.35">
      <c r="A219" s="3">
        <v>45851</v>
      </c>
      <c r="B219" t="s">
        <v>201</v>
      </c>
      <c r="C219" t="s">
        <v>109</v>
      </c>
      <c r="D219" t="s">
        <v>360</v>
      </c>
      <c r="E219" t="s">
        <v>63</v>
      </c>
      <c r="F219" t="s">
        <v>55</v>
      </c>
      <c r="G219" t="s">
        <v>35</v>
      </c>
      <c r="H219">
        <v>71.7</v>
      </c>
      <c r="I219">
        <v>4340</v>
      </c>
      <c r="J219">
        <v>70</v>
      </c>
      <c r="K219">
        <v>11.2</v>
      </c>
      <c r="L219" t="s">
        <v>30</v>
      </c>
      <c r="M219">
        <v>47491.37</v>
      </c>
      <c r="N219">
        <v>18218</v>
      </c>
      <c r="O219" t="s">
        <v>44</v>
      </c>
      <c r="P219" t="str">
        <f t="shared" si="27"/>
        <v>Yes</v>
      </c>
      <c r="Q219">
        <f t="shared" si="28"/>
        <v>60.53</v>
      </c>
      <c r="R219">
        <f t="shared" si="29"/>
        <v>10.94</v>
      </c>
      <c r="S219">
        <f t="shared" si="30"/>
        <v>2.61</v>
      </c>
      <c r="T219" t="str">
        <f t="shared" si="31"/>
        <v>Delayed</v>
      </c>
      <c r="U219" t="str">
        <f t="shared" si="32"/>
        <v>High</v>
      </c>
      <c r="V219" t="str">
        <f t="shared" si="33"/>
        <v>Medium Risk</v>
      </c>
      <c r="W219" t="str">
        <f t="shared" si="34"/>
        <v>Jul</v>
      </c>
      <c r="X219">
        <f t="shared" si="35"/>
        <v>2025</v>
      </c>
    </row>
    <row r="220" spans="1:24" x14ac:dyDescent="0.35">
      <c r="A220" s="3">
        <v>45959</v>
      </c>
      <c r="B220" t="s">
        <v>188</v>
      </c>
      <c r="C220" t="s">
        <v>95</v>
      </c>
      <c r="D220" t="s">
        <v>361</v>
      </c>
      <c r="E220" t="s">
        <v>66</v>
      </c>
      <c r="F220" t="s">
        <v>55</v>
      </c>
      <c r="G220" t="s">
        <v>29</v>
      </c>
      <c r="H220">
        <v>61.6</v>
      </c>
      <c r="I220">
        <v>3131</v>
      </c>
      <c r="J220">
        <v>23</v>
      </c>
      <c r="K220">
        <v>16.8</v>
      </c>
      <c r="L220" t="s">
        <v>49</v>
      </c>
      <c r="M220">
        <v>33630.21</v>
      </c>
      <c r="N220">
        <v>28783</v>
      </c>
      <c r="O220" t="s">
        <v>67</v>
      </c>
      <c r="P220" t="str">
        <f t="shared" si="27"/>
        <v>Yes</v>
      </c>
      <c r="Q220">
        <f t="shared" si="28"/>
        <v>50.83</v>
      </c>
      <c r="R220">
        <f t="shared" si="29"/>
        <v>10.74</v>
      </c>
      <c r="S220">
        <f t="shared" si="30"/>
        <v>1.17</v>
      </c>
      <c r="T220" t="str">
        <f t="shared" si="31"/>
        <v>Delayed</v>
      </c>
      <c r="U220" t="str">
        <f t="shared" si="32"/>
        <v>High</v>
      </c>
      <c r="V220" t="str">
        <f t="shared" si="33"/>
        <v>High Risk</v>
      </c>
      <c r="W220" t="str">
        <f t="shared" si="34"/>
        <v>Oct</v>
      </c>
      <c r="X220">
        <f t="shared" si="35"/>
        <v>2025</v>
      </c>
    </row>
    <row r="221" spans="1:24" x14ac:dyDescent="0.35">
      <c r="A221" s="3">
        <v>45861</v>
      </c>
      <c r="B221" t="s">
        <v>300</v>
      </c>
      <c r="C221" t="s">
        <v>57</v>
      </c>
      <c r="D221" t="s">
        <v>362</v>
      </c>
      <c r="E221" t="s">
        <v>48</v>
      </c>
      <c r="F221" t="s">
        <v>55</v>
      </c>
      <c r="G221" t="s">
        <v>42</v>
      </c>
      <c r="H221">
        <v>60.4</v>
      </c>
      <c r="I221">
        <v>3821</v>
      </c>
      <c r="J221">
        <v>63</v>
      </c>
      <c r="K221">
        <v>21.5</v>
      </c>
      <c r="L221" t="s">
        <v>78</v>
      </c>
      <c r="M221">
        <v>33007.69</v>
      </c>
      <c r="N221">
        <v>23944</v>
      </c>
      <c r="O221" t="s">
        <v>36</v>
      </c>
      <c r="P221" t="str">
        <f t="shared" si="27"/>
        <v>No</v>
      </c>
      <c r="Q221">
        <f t="shared" si="28"/>
        <v>63.26</v>
      </c>
      <c r="R221">
        <f t="shared" si="29"/>
        <v>8.64</v>
      </c>
      <c r="S221">
        <f t="shared" si="30"/>
        <v>1.38</v>
      </c>
      <c r="T221" t="str">
        <f t="shared" si="31"/>
        <v>On Time</v>
      </c>
      <c r="U221" t="str">
        <f t="shared" si="32"/>
        <v>High</v>
      </c>
      <c r="V221" t="str">
        <f t="shared" si="33"/>
        <v>Low Risk</v>
      </c>
      <c r="W221" t="str">
        <f t="shared" si="34"/>
        <v>Jul</v>
      </c>
      <c r="X221">
        <f t="shared" si="35"/>
        <v>2025</v>
      </c>
    </row>
    <row r="222" spans="1:24" x14ac:dyDescent="0.35">
      <c r="A222" s="3">
        <v>45978</v>
      </c>
      <c r="B222" t="s">
        <v>210</v>
      </c>
      <c r="C222" t="s">
        <v>25</v>
      </c>
      <c r="D222" t="s">
        <v>363</v>
      </c>
      <c r="E222" t="s">
        <v>27</v>
      </c>
      <c r="F222" t="s">
        <v>41</v>
      </c>
      <c r="G222" t="s">
        <v>42</v>
      </c>
      <c r="H222">
        <v>63.3</v>
      </c>
      <c r="I222">
        <v>2644</v>
      </c>
      <c r="J222">
        <v>73</v>
      </c>
      <c r="K222">
        <v>17.100000000000001</v>
      </c>
      <c r="L222" t="s">
        <v>30</v>
      </c>
      <c r="M222">
        <v>37285.730000000003</v>
      </c>
      <c r="N222">
        <v>10330</v>
      </c>
      <c r="O222" t="s">
        <v>44</v>
      </c>
      <c r="P222" t="str">
        <f t="shared" si="27"/>
        <v>Yes</v>
      </c>
      <c r="Q222">
        <f t="shared" si="28"/>
        <v>41.77</v>
      </c>
      <c r="R222">
        <f t="shared" si="29"/>
        <v>14.1</v>
      </c>
      <c r="S222">
        <f t="shared" si="30"/>
        <v>3.61</v>
      </c>
      <c r="T222" t="str">
        <f t="shared" si="31"/>
        <v>Delayed</v>
      </c>
      <c r="U222" t="str">
        <f t="shared" si="32"/>
        <v>High</v>
      </c>
      <c r="V222" t="str">
        <f t="shared" si="33"/>
        <v>Medium Risk</v>
      </c>
      <c r="W222" t="str">
        <f t="shared" si="34"/>
        <v>Nov</v>
      </c>
      <c r="X222">
        <f t="shared" si="35"/>
        <v>2025</v>
      </c>
    </row>
    <row r="223" spans="1:24" x14ac:dyDescent="0.35">
      <c r="A223" s="3">
        <v>45859</v>
      </c>
      <c r="B223" t="s">
        <v>193</v>
      </c>
      <c r="C223" t="s">
        <v>39</v>
      </c>
      <c r="D223" t="s">
        <v>364</v>
      </c>
      <c r="E223" t="s">
        <v>63</v>
      </c>
      <c r="F223" t="s">
        <v>54</v>
      </c>
      <c r="G223" t="s">
        <v>35</v>
      </c>
      <c r="H223">
        <v>22.7</v>
      </c>
      <c r="I223">
        <v>2881</v>
      </c>
      <c r="J223">
        <v>90</v>
      </c>
      <c r="K223">
        <v>12.4</v>
      </c>
      <c r="L223" t="s">
        <v>43</v>
      </c>
      <c r="M223">
        <v>14995.31</v>
      </c>
      <c r="N223">
        <v>9594</v>
      </c>
      <c r="O223" t="s">
        <v>50</v>
      </c>
      <c r="P223" t="str">
        <f t="shared" si="27"/>
        <v>Yes</v>
      </c>
      <c r="Q223">
        <f t="shared" si="28"/>
        <v>126.92</v>
      </c>
      <c r="R223">
        <f t="shared" si="29"/>
        <v>5.2</v>
      </c>
      <c r="S223">
        <f t="shared" si="30"/>
        <v>1.56</v>
      </c>
      <c r="T223" t="str">
        <f t="shared" si="31"/>
        <v>Delayed</v>
      </c>
      <c r="U223" t="str">
        <f t="shared" si="32"/>
        <v>Low</v>
      </c>
      <c r="V223" t="str">
        <f t="shared" si="33"/>
        <v>Low Risk</v>
      </c>
      <c r="W223" t="str">
        <f t="shared" si="34"/>
        <v>Jul</v>
      </c>
      <c r="X223">
        <f t="shared" si="35"/>
        <v>2025</v>
      </c>
    </row>
    <row r="224" spans="1:24" x14ac:dyDescent="0.35">
      <c r="A224" s="3">
        <v>45907</v>
      </c>
      <c r="B224" t="s">
        <v>203</v>
      </c>
      <c r="C224" t="s">
        <v>57</v>
      </c>
      <c r="D224" t="s">
        <v>365</v>
      </c>
      <c r="E224" t="s">
        <v>28</v>
      </c>
      <c r="F224" t="s">
        <v>48</v>
      </c>
      <c r="G224" t="s">
        <v>29</v>
      </c>
      <c r="H224">
        <v>51.5</v>
      </c>
      <c r="I224">
        <v>3925</v>
      </c>
      <c r="J224">
        <v>32</v>
      </c>
      <c r="K224">
        <v>12.2</v>
      </c>
      <c r="L224" t="s">
        <v>43</v>
      </c>
      <c r="M224">
        <v>28152.080000000002</v>
      </c>
      <c r="N224">
        <v>13755</v>
      </c>
      <c r="O224" t="s">
        <v>59</v>
      </c>
      <c r="P224" t="str">
        <f t="shared" si="27"/>
        <v>Yes</v>
      </c>
      <c r="Q224">
        <f t="shared" si="28"/>
        <v>76.209999999999994</v>
      </c>
      <c r="R224">
        <f t="shared" si="29"/>
        <v>7.17</v>
      </c>
      <c r="S224">
        <f t="shared" si="30"/>
        <v>2.0499999999999998</v>
      </c>
      <c r="T224" t="str">
        <f t="shared" si="31"/>
        <v>Delayed</v>
      </c>
      <c r="U224" t="str">
        <f t="shared" si="32"/>
        <v>Medium</v>
      </c>
      <c r="V224" t="str">
        <f t="shared" si="33"/>
        <v>Low Risk</v>
      </c>
      <c r="W224" t="str">
        <f t="shared" si="34"/>
        <v>Sep</v>
      </c>
      <c r="X224">
        <f t="shared" si="35"/>
        <v>2025</v>
      </c>
    </row>
    <row r="225" spans="1:24" x14ac:dyDescent="0.35">
      <c r="A225" s="3">
        <v>45752</v>
      </c>
      <c r="B225" t="s">
        <v>366</v>
      </c>
      <c r="C225" t="s">
        <v>95</v>
      </c>
      <c r="D225" t="s">
        <v>367</v>
      </c>
      <c r="E225" t="s">
        <v>63</v>
      </c>
      <c r="F225" t="s">
        <v>54</v>
      </c>
      <c r="G225" t="s">
        <v>42</v>
      </c>
      <c r="H225">
        <v>49.1</v>
      </c>
      <c r="I225">
        <v>2229</v>
      </c>
      <c r="J225">
        <v>113</v>
      </c>
      <c r="K225">
        <v>20.3</v>
      </c>
      <c r="L225" t="s">
        <v>49</v>
      </c>
      <c r="M225">
        <v>29711.41</v>
      </c>
      <c r="N225">
        <v>15864</v>
      </c>
      <c r="O225" t="s">
        <v>50</v>
      </c>
      <c r="P225" t="str">
        <f t="shared" si="27"/>
        <v>Yes</v>
      </c>
      <c r="Q225">
        <f t="shared" si="28"/>
        <v>45.4</v>
      </c>
      <c r="R225">
        <f t="shared" si="29"/>
        <v>13.33</v>
      </c>
      <c r="S225">
        <f t="shared" si="30"/>
        <v>1.87</v>
      </c>
      <c r="T225" t="str">
        <f t="shared" si="31"/>
        <v>Delayed</v>
      </c>
      <c r="U225" t="str">
        <f t="shared" si="32"/>
        <v>Medium</v>
      </c>
      <c r="V225" t="str">
        <f t="shared" si="33"/>
        <v>High Risk</v>
      </c>
      <c r="W225" t="str">
        <f t="shared" si="34"/>
        <v>Apr</v>
      </c>
      <c r="X225">
        <f t="shared" si="35"/>
        <v>2025</v>
      </c>
    </row>
    <row r="226" spans="1:24" x14ac:dyDescent="0.35">
      <c r="A226" s="3">
        <v>45868</v>
      </c>
      <c r="B226" t="s">
        <v>368</v>
      </c>
      <c r="C226" t="s">
        <v>25</v>
      </c>
      <c r="D226" t="s">
        <v>369</v>
      </c>
      <c r="E226" t="s">
        <v>48</v>
      </c>
      <c r="F226" t="s">
        <v>27</v>
      </c>
      <c r="G226" t="s">
        <v>42</v>
      </c>
      <c r="H226">
        <v>37.6</v>
      </c>
      <c r="I226">
        <v>1336</v>
      </c>
      <c r="J226">
        <v>96</v>
      </c>
      <c r="K226">
        <v>14.8</v>
      </c>
      <c r="L226" t="s">
        <v>78</v>
      </c>
      <c r="M226">
        <v>20128.099999999999</v>
      </c>
      <c r="N226">
        <v>11880</v>
      </c>
      <c r="O226" t="s">
        <v>91</v>
      </c>
      <c r="P226" t="str">
        <f t="shared" si="27"/>
        <v>No</v>
      </c>
      <c r="Q226">
        <f t="shared" si="28"/>
        <v>35.53</v>
      </c>
      <c r="R226">
        <f t="shared" si="29"/>
        <v>15.07</v>
      </c>
      <c r="S226">
        <f t="shared" si="30"/>
        <v>1.69</v>
      </c>
      <c r="T226" t="str">
        <f t="shared" si="31"/>
        <v>On Time</v>
      </c>
      <c r="U226" t="str">
        <f t="shared" si="32"/>
        <v>Low</v>
      </c>
      <c r="V226" t="str">
        <f t="shared" si="33"/>
        <v>Low Risk</v>
      </c>
      <c r="W226" t="str">
        <f t="shared" si="34"/>
        <v>Jul</v>
      </c>
      <c r="X226">
        <f t="shared" si="35"/>
        <v>2025</v>
      </c>
    </row>
    <row r="227" spans="1:24" x14ac:dyDescent="0.35">
      <c r="A227" s="3">
        <v>45810</v>
      </c>
      <c r="B227" t="s">
        <v>82</v>
      </c>
      <c r="C227" t="s">
        <v>69</v>
      </c>
      <c r="D227" t="s">
        <v>370</v>
      </c>
      <c r="E227" t="s">
        <v>28</v>
      </c>
      <c r="F227" t="s">
        <v>27</v>
      </c>
      <c r="G227" t="s">
        <v>42</v>
      </c>
      <c r="H227">
        <v>61.5</v>
      </c>
      <c r="I227">
        <v>1165</v>
      </c>
      <c r="J227">
        <v>44</v>
      </c>
      <c r="K227">
        <v>15.9</v>
      </c>
      <c r="L227" t="s">
        <v>30</v>
      </c>
      <c r="M227">
        <v>28420.48</v>
      </c>
      <c r="N227">
        <v>8950</v>
      </c>
      <c r="O227" t="s">
        <v>44</v>
      </c>
      <c r="P227" t="str">
        <f t="shared" si="27"/>
        <v>Yes</v>
      </c>
      <c r="Q227">
        <f t="shared" si="28"/>
        <v>18.940000000000001</v>
      </c>
      <c r="R227">
        <f t="shared" si="29"/>
        <v>24.4</v>
      </c>
      <c r="S227">
        <f t="shared" si="30"/>
        <v>3.18</v>
      </c>
      <c r="T227" t="str">
        <f t="shared" si="31"/>
        <v>Delayed</v>
      </c>
      <c r="U227" t="str">
        <f t="shared" si="32"/>
        <v>High</v>
      </c>
      <c r="V227" t="str">
        <f t="shared" si="33"/>
        <v>Medium Risk</v>
      </c>
      <c r="W227" t="str">
        <f t="shared" si="34"/>
        <v>Jun</v>
      </c>
      <c r="X227">
        <f t="shared" si="35"/>
        <v>2025</v>
      </c>
    </row>
    <row r="228" spans="1:24" x14ac:dyDescent="0.35">
      <c r="A228" s="3">
        <v>45834</v>
      </c>
      <c r="B228" t="s">
        <v>152</v>
      </c>
      <c r="C228" t="s">
        <v>57</v>
      </c>
      <c r="D228" t="s">
        <v>371</v>
      </c>
      <c r="E228" t="s">
        <v>54</v>
      </c>
      <c r="F228" t="s">
        <v>27</v>
      </c>
      <c r="G228" t="s">
        <v>71</v>
      </c>
      <c r="H228">
        <v>26.8</v>
      </c>
      <c r="I228">
        <v>749</v>
      </c>
      <c r="J228">
        <v>108</v>
      </c>
      <c r="K228">
        <v>11.1</v>
      </c>
      <c r="L228" t="s">
        <v>30</v>
      </c>
      <c r="M228">
        <v>13495.94</v>
      </c>
      <c r="N228">
        <v>21460</v>
      </c>
      <c r="O228" t="s">
        <v>67</v>
      </c>
      <c r="P228" t="str">
        <f t="shared" si="27"/>
        <v>Yes</v>
      </c>
      <c r="Q228">
        <f t="shared" si="28"/>
        <v>27.95</v>
      </c>
      <c r="R228">
        <f t="shared" si="29"/>
        <v>18.02</v>
      </c>
      <c r="S228">
        <f t="shared" si="30"/>
        <v>0.63</v>
      </c>
      <c r="T228" t="str">
        <f t="shared" si="31"/>
        <v>Delayed</v>
      </c>
      <c r="U228" t="str">
        <f t="shared" si="32"/>
        <v>Low</v>
      </c>
      <c r="V228" t="str">
        <f t="shared" si="33"/>
        <v>Medium Risk</v>
      </c>
      <c r="W228" t="str">
        <f t="shared" si="34"/>
        <v>Jun</v>
      </c>
      <c r="X228">
        <f t="shared" si="35"/>
        <v>2025</v>
      </c>
    </row>
    <row r="229" spans="1:24" x14ac:dyDescent="0.35">
      <c r="A229" s="3">
        <v>45949</v>
      </c>
      <c r="B229" t="s">
        <v>233</v>
      </c>
      <c r="C229" t="s">
        <v>95</v>
      </c>
      <c r="D229" t="s">
        <v>372</v>
      </c>
      <c r="E229" t="s">
        <v>54</v>
      </c>
      <c r="F229" t="s">
        <v>63</v>
      </c>
      <c r="G229" t="s">
        <v>71</v>
      </c>
      <c r="H229">
        <v>44</v>
      </c>
      <c r="I229">
        <v>4477</v>
      </c>
      <c r="J229">
        <v>46</v>
      </c>
      <c r="K229">
        <v>15.1</v>
      </c>
      <c r="L229" t="s">
        <v>43</v>
      </c>
      <c r="M229">
        <v>28935.7</v>
      </c>
      <c r="N229">
        <v>20687</v>
      </c>
      <c r="O229" t="s">
        <v>50</v>
      </c>
      <c r="P229" t="str">
        <f t="shared" si="27"/>
        <v>Yes</v>
      </c>
      <c r="Q229">
        <f t="shared" si="28"/>
        <v>101.75</v>
      </c>
      <c r="R229">
        <f t="shared" si="29"/>
        <v>6.46</v>
      </c>
      <c r="S229">
        <f t="shared" si="30"/>
        <v>1.4</v>
      </c>
      <c r="T229" t="str">
        <f t="shared" si="31"/>
        <v>Delayed</v>
      </c>
      <c r="U229" t="str">
        <f t="shared" si="32"/>
        <v>Medium</v>
      </c>
      <c r="V229" t="str">
        <f t="shared" si="33"/>
        <v>Low Risk</v>
      </c>
      <c r="W229" t="str">
        <f t="shared" si="34"/>
        <v>Oct</v>
      </c>
      <c r="X229">
        <f t="shared" si="35"/>
        <v>2025</v>
      </c>
    </row>
    <row r="230" spans="1:24" x14ac:dyDescent="0.35">
      <c r="A230" s="3">
        <v>45748</v>
      </c>
      <c r="B230" t="s">
        <v>217</v>
      </c>
      <c r="C230" t="s">
        <v>130</v>
      </c>
      <c r="D230" t="s">
        <v>373</v>
      </c>
      <c r="E230" t="s">
        <v>48</v>
      </c>
      <c r="F230" t="s">
        <v>55</v>
      </c>
      <c r="G230" t="s">
        <v>71</v>
      </c>
      <c r="H230">
        <v>53.8</v>
      </c>
      <c r="I230">
        <v>615</v>
      </c>
      <c r="J230">
        <v>108</v>
      </c>
      <c r="K230">
        <v>13.6</v>
      </c>
      <c r="L230" t="s">
        <v>30</v>
      </c>
      <c r="M230">
        <v>36847.370000000003</v>
      </c>
      <c r="N230">
        <v>14415</v>
      </c>
      <c r="O230" t="s">
        <v>67</v>
      </c>
      <c r="P230" t="str">
        <f t="shared" si="27"/>
        <v>Yes</v>
      </c>
      <c r="Q230">
        <f t="shared" si="28"/>
        <v>11.43</v>
      </c>
      <c r="R230">
        <f t="shared" si="29"/>
        <v>59.91</v>
      </c>
      <c r="S230">
        <f t="shared" si="30"/>
        <v>2.56</v>
      </c>
      <c r="T230" t="str">
        <f t="shared" si="31"/>
        <v>Delayed</v>
      </c>
      <c r="U230" t="str">
        <f t="shared" si="32"/>
        <v>Medium</v>
      </c>
      <c r="V230" t="str">
        <f t="shared" si="33"/>
        <v>Medium Risk</v>
      </c>
      <c r="W230" t="str">
        <f t="shared" si="34"/>
        <v>Apr</v>
      </c>
      <c r="X230">
        <f t="shared" si="35"/>
        <v>2025</v>
      </c>
    </row>
    <row r="231" spans="1:24" x14ac:dyDescent="0.35">
      <c r="A231" s="3">
        <v>45789</v>
      </c>
      <c r="B231" t="s">
        <v>76</v>
      </c>
      <c r="C231" t="s">
        <v>57</v>
      </c>
      <c r="D231" t="s">
        <v>374</v>
      </c>
      <c r="E231" t="s">
        <v>54</v>
      </c>
      <c r="F231" t="s">
        <v>41</v>
      </c>
      <c r="G231" t="s">
        <v>42</v>
      </c>
      <c r="H231">
        <v>51.8</v>
      </c>
      <c r="I231">
        <v>2102</v>
      </c>
      <c r="J231">
        <v>42</v>
      </c>
      <c r="K231">
        <v>12</v>
      </c>
      <c r="L231" t="s">
        <v>43</v>
      </c>
      <c r="M231">
        <v>28243.34</v>
      </c>
      <c r="N231">
        <v>26922</v>
      </c>
      <c r="O231" t="s">
        <v>36</v>
      </c>
      <c r="P231" t="str">
        <f t="shared" si="27"/>
        <v>Yes</v>
      </c>
      <c r="Q231">
        <f t="shared" si="28"/>
        <v>40.58</v>
      </c>
      <c r="R231">
        <f t="shared" si="29"/>
        <v>13.44</v>
      </c>
      <c r="S231">
        <f t="shared" si="30"/>
        <v>1.05</v>
      </c>
      <c r="T231" t="str">
        <f t="shared" si="31"/>
        <v>Delayed</v>
      </c>
      <c r="U231" t="str">
        <f t="shared" si="32"/>
        <v>Medium</v>
      </c>
      <c r="V231" t="str">
        <f t="shared" si="33"/>
        <v>Low Risk</v>
      </c>
      <c r="W231" t="str">
        <f t="shared" si="34"/>
        <v>May</v>
      </c>
      <c r="X231">
        <f t="shared" si="35"/>
        <v>2025</v>
      </c>
    </row>
    <row r="232" spans="1:24" x14ac:dyDescent="0.35">
      <c r="A232" s="3">
        <v>45830</v>
      </c>
      <c r="B232" t="s">
        <v>100</v>
      </c>
      <c r="C232" t="s">
        <v>39</v>
      </c>
      <c r="D232" t="s">
        <v>375</v>
      </c>
      <c r="E232" t="s">
        <v>41</v>
      </c>
      <c r="F232" t="s">
        <v>63</v>
      </c>
      <c r="G232" t="s">
        <v>42</v>
      </c>
      <c r="H232">
        <v>66</v>
      </c>
      <c r="I232">
        <v>4044</v>
      </c>
      <c r="J232">
        <v>48</v>
      </c>
      <c r="K232">
        <v>13.1</v>
      </c>
      <c r="L232" t="s">
        <v>30</v>
      </c>
      <c r="M232">
        <v>41379.120000000003</v>
      </c>
      <c r="N232">
        <v>25934</v>
      </c>
      <c r="O232" t="s">
        <v>91</v>
      </c>
      <c r="P232" t="str">
        <f t="shared" si="27"/>
        <v>Yes</v>
      </c>
      <c r="Q232">
        <f t="shared" si="28"/>
        <v>61.27</v>
      </c>
      <c r="R232">
        <f t="shared" si="29"/>
        <v>10.23</v>
      </c>
      <c r="S232">
        <f t="shared" si="30"/>
        <v>1.6</v>
      </c>
      <c r="T232" t="str">
        <f t="shared" si="31"/>
        <v>Delayed</v>
      </c>
      <c r="U232" t="str">
        <f t="shared" si="32"/>
        <v>High</v>
      </c>
      <c r="V232" t="str">
        <f t="shared" si="33"/>
        <v>Medium Risk</v>
      </c>
      <c r="W232" t="str">
        <f t="shared" si="34"/>
        <v>Jun</v>
      </c>
      <c r="X232">
        <f t="shared" si="35"/>
        <v>2025</v>
      </c>
    </row>
    <row r="233" spans="1:24" x14ac:dyDescent="0.35">
      <c r="A233" s="3">
        <v>45832</v>
      </c>
      <c r="B233" t="s">
        <v>64</v>
      </c>
      <c r="C233" t="s">
        <v>39</v>
      </c>
      <c r="D233" t="s">
        <v>376</v>
      </c>
      <c r="E233" t="s">
        <v>48</v>
      </c>
      <c r="F233" t="s">
        <v>63</v>
      </c>
      <c r="G233" t="s">
        <v>29</v>
      </c>
      <c r="H233">
        <v>48</v>
      </c>
      <c r="I233">
        <v>2141</v>
      </c>
      <c r="J233">
        <v>32</v>
      </c>
      <c r="K233">
        <v>13.2</v>
      </c>
      <c r="L233" t="s">
        <v>30</v>
      </c>
      <c r="M233">
        <v>29689.06</v>
      </c>
      <c r="N233">
        <v>26355</v>
      </c>
      <c r="O233" t="s">
        <v>31</v>
      </c>
      <c r="P233" t="str">
        <f t="shared" si="27"/>
        <v>Yes</v>
      </c>
      <c r="Q233">
        <f t="shared" si="28"/>
        <v>44.6</v>
      </c>
      <c r="R233">
        <f t="shared" si="29"/>
        <v>13.87</v>
      </c>
      <c r="S233">
        <f t="shared" si="30"/>
        <v>1.1299999999999999</v>
      </c>
      <c r="T233" t="str">
        <f t="shared" si="31"/>
        <v>Delayed</v>
      </c>
      <c r="U233" t="str">
        <f t="shared" si="32"/>
        <v>Medium</v>
      </c>
      <c r="V233" t="str">
        <f t="shared" si="33"/>
        <v>Medium Risk</v>
      </c>
      <c r="W233" t="str">
        <f t="shared" si="34"/>
        <v>Jun</v>
      </c>
      <c r="X233">
        <f t="shared" si="35"/>
        <v>2025</v>
      </c>
    </row>
    <row r="234" spans="1:24" x14ac:dyDescent="0.35">
      <c r="A234" s="3">
        <v>45973</v>
      </c>
      <c r="B234" t="s">
        <v>120</v>
      </c>
      <c r="C234" t="s">
        <v>109</v>
      </c>
      <c r="D234" t="s">
        <v>377</v>
      </c>
      <c r="E234" t="s">
        <v>63</v>
      </c>
      <c r="F234" t="s">
        <v>28</v>
      </c>
      <c r="G234" t="s">
        <v>42</v>
      </c>
      <c r="H234">
        <v>68.400000000000006</v>
      </c>
      <c r="I234">
        <v>1118</v>
      </c>
      <c r="J234">
        <v>37</v>
      </c>
      <c r="K234">
        <v>10.8</v>
      </c>
      <c r="L234" t="s">
        <v>30</v>
      </c>
      <c r="M234">
        <v>35868.07</v>
      </c>
      <c r="N234">
        <v>24373</v>
      </c>
      <c r="O234" t="s">
        <v>50</v>
      </c>
      <c r="P234" t="str">
        <f t="shared" si="27"/>
        <v>Yes</v>
      </c>
      <c r="Q234">
        <f t="shared" si="28"/>
        <v>16.350000000000001</v>
      </c>
      <c r="R234">
        <f t="shared" si="29"/>
        <v>32.08</v>
      </c>
      <c r="S234">
        <f t="shared" si="30"/>
        <v>1.47</v>
      </c>
      <c r="T234" t="str">
        <f t="shared" si="31"/>
        <v>Delayed</v>
      </c>
      <c r="U234" t="str">
        <f t="shared" si="32"/>
        <v>High</v>
      </c>
      <c r="V234" t="str">
        <f t="shared" si="33"/>
        <v>Medium Risk</v>
      </c>
      <c r="W234" t="str">
        <f t="shared" si="34"/>
        <v>Nov</v>
      </c>
      <c r="X234">
        <f t="shared" si="35"/>
        <v>2025</v>
      </c>
    </row>
    <row r="235" spans="1:24" x14ac:dyDescent="0.35">
      <c r="A235" s="3">
        <v>45909</v>
      </c>
      <c r="B235" t="s">
        <v>236</v>
      </c>
      <c r="C235" t="s">
        <v>95</v>
      </c>
      <c r="D235" t="s">
        <v>378</v>
      </c>
      <c r="E235" t="s">
        <v>48</v>
      </c>
      <c r="F235" t="s">
        <v>41</v>
      </c>
      <c r="G235" t="s">
        <v>35</v>
      </c>
      <c r="H235">
        <v>44.3</v>
      </c>
      <c r="I235">
        <v>1423</v>
      </c>
      <c r="J235">
        <v>84</v>
      </c>
      <c r="K235">
        <v>17.5</v>
      </c>
      <c r="L235" t="s">
        <v>49</v>
      </c>
      <c r="M235">
        <v>24848.73</v>
      </c>
      <c r="N235">
        <v>28286</v>
      </c>
      <c r="O235" t="s">
        <v>31</v>
      </c>
      <c r="P235" t="str">
        <f t="shared" si="27"/>
        <v>Yes</v>
      </c>
      <c r="Q235">
        <f t="shared" si="28"/>
        <v>32.119999999999997</v>
      </c>
      <c r="R235">
        <f t="shared" si="29"/>
        <v>17.46</v>
      </c>
      <c r="S235">
        <f t="shared" si="30"/>
        <v>0.88</v>
      </c>
      <c r="T235" t="str">
        <f t="shared" si="31"/>
        <v>Delayed</v>
      </c>
      <c r="U235" t="str">
        <f t="shared" si="32"/>
        <v>Medium</v>
      </c>
      <c r="V235" t="str">
        <f t="shared" si="33"/>
        <v>High Risk</v>
      </c>
      <c r="W235" t="str">
        <f t="shared" si="34"/>
        <v>Sep</v>
      </c>
      <c r="X235">
        <f t="shared" si="35"/>
        <v>2025</v>
      </c>
    </row>
    <row r="236" spans="1:24" x14ac:dyDescent="0.35">
      <c r="A236" s="3">
        <v>45994</v>
      </c>
      <c r="B236" t="s">
        <v>244</v>
      </c>
      <c r="C236" t="s">
        <v>95</v>
      </c>
      <c r="D236" t="s">
        <v>379</v>
      </c>
      <c r="E236" t="s">
        <v>63</v>
      </c>
      <c r="F236" t="s">
        <v>48</v>
      </c>
      <c r="G236" t="s">
        <v>71</v>
      </c>
      <c r="H236">
        <v>48.2</v>
      </c>
      <c r="I236">
        <v>3942</v>
      </c>
      <c r="J236">
        <v>37</v>
      </c>
      <c r="K236">
        <v>18.8</v>
      </c>
      <c r="L236" t="s">
        <v>43</v>
      </c>
      <c r="M236">
        <v>27159.34</v>
      </c>
      <c r="N236">
        <v>23960</v>
      </c>
      <c r="O236" t="s">
        <v>50</v>
      </c>
      <c r="P236" t="str">
        <f t="shared" si="27"/>
        <v>Yes</v>
      </c>
      <c r="Q236">
        <f t="shared" si="28"/>
        <v>81.78</v>
      </c>
      <c r="R236">
        <f t="shared" si="29"/>
        <v>6.89</v>
      </c>
      <c r="S236">
        <f t="shared" si="30"/>
        <v>1.1299999999999999</v>
      </c>
      <c r="T236" t="str">
        <f t="shared" si="31"/>
        <v>Delayed</v>
      </c>
      <c r="U236" t="str">
        <f t="shared" si="32"/>
        <v>Medium</v>
      </c>
      <c r="V236" t="str">
        <f t="shared" si="33"/>
        <v>Low Risk</v>
      </c>
      <c r="W236" t="str">
        <f t="shared" si="34"/>
        <v>Dec</v>
      </c>
      <c r="X236">
        <f t="shared" si="35"/>
        <v>2025</v>
      </c>
    </row>
    <row r="237" spans="1:24" x14ac:dyDescent="0.35">
      <c r="A237" s="3">
        <v>45710</v>
      </c>
      <c r="B237" t="s">
        <v>236</v>
      </c>
      <c r="C237" t="s">
        <v>95</v>
      </c>
      <c r="D237" t="s">
        <v>380</v>
      </c>
      <c r="E237" t="s">
        <v>66</v>
      </c>
      <c r="F237" t="s">
        <v>27</v>
      </c>
      <c r="G237" t="s">
        <v>35</v>
      </c>
      <c r="H237">
        <v>75.7</v>
      </c>
      <c r="I237">
        <v>3611</v>
      </c>
      <c r="J237">
        <v>88</v>
      </c>
      <c r="K237">
        <v>18.2</v>
      </c>
      <c r="L237" t="s">
        <v>78</v>
      </c>
      <c r="M237">
        <v>42661.48</v>
      </c>
      <c r="N237">
        <v>9966</v>
      </c>
      <c r="O237" t="s">
        <v>67</v>
      </c>
      <c r="P237" t="str">
        <f t="shared" si="27"/>
        <v>No</v>
      </c>
      <c r="Q237">
        <f t="shared" si="28"/>
        <v>47.7</v>
      </c>
      <c r="R237">
        <f t="shared" si="29"/>
        <v>11.81</v>
      </c>
      <c r="S237">
        <f t="shared" si="30"/>
        <v>4.28</v>
      </c>
      <c r="T237" t="str">
        <f t="shared" si="31"/>
        <v>On Time</v>
      </c>
      <c r="U237" t="str">
        <f t="shared" si="32"/>
        <v>High</v>
      </c>
      <c r="V237" t="str">
        <f t="shared" si="33"/>
        <v>Low Risk</v>
      </c>
      <c r="W237" t="str">
        <f t="shared" si="34"/>
        <v>Feb</v>
      </c>
      <c r="X237">
        <f t="shared" si="35"/>
        <v>2025</v>
      </c>
    </row>
    <row r="238" spans="1:24" x14ac:dyDescent="0.35">
      <c r="A238" s="3">
        <v>45791</v>
      </c>
      <c r="B238" t="s">
        <v>61</v>
      </c>
      <c r="C238" t="s">
        <v>25</v>
      </c>
      <c r="D238" t="s">
        <v>381</v>
      </c>
      <c r="E238" t="s">
        <v>63</v>
      </c>
      <c r="F238" t="s">
        <v>27</v>
      </c>
      <c r="G238" t="s">
        <v>35</v>
      </c>
      <c r="H238">
        <v>76.8</v>
      </c>
      <c r="I238">
        <v>3063</v>
      </c>
      <c r="J238">
        <v>100</v>
      </c>
      <c r="K238">
        <v>20</v>
      </c>
      <c r="L238" t="s">
        <v>43</v>
      </c>
      <c r="M238">
        <v>37444.26</v>
      </c>
      <c r="N238">
        <v>11898</v>
      </c>
      <c r="O238" t="s">
        <v>91</v>
      </c>
      <c r="P238" t="str">
        <f t="shared" si="27"/>
        <v>Yes</v>
      </c>
      <c r="Q238">
        <f t="shared" si="28"/>
        <v>39.880000000000003</v>
      </c>
      <c r="R238">
        <f t="shared" si="29"/>
        <v>12.22</v>
      </c>
      <c r="S238">
        <f t="shared" si="30"/>
        <v>3.15</v>
      </c>
      <c r="T238" t="str">
        <f t="shared" si="31"/>
        <v>Delayed</v>
      </c>
      <c r="U238" t="str">
        <f t="shared" si="32"/>
        <v>High</v>
      </c>
      <c r="V238" t="str">
        <f t="shared" si="33"/>
        <v>Low Risk</v>
      </c>
      <c r="W238" t="str">
        <f t="shared" si="34"/>
        <v>May</v>
      </c>
      <c r="X238">
        <f t="shared" si="35"/>
        <v>2025</v>
      </c>
    </row>
    <row r="239" spans="1:24" x14ac:dyDescent="0.35">
      <c r="A239" s="3">
        <v>45938</v>
      </c>
      <c r="B239" t="s">
        <v>167</v>
      </c>
      <c r="C239" t="s">
        <v>109</v>
      </c>
      <c r="D239" t="s">
        <v>382</v>
      </c>
      <c r="E239" t="s">
        <v>28</v>
      </c>
      <c r="F239" t="s">
        <v>41</v>
      </c>
      <c r="G239" t="s">
        <v>35</v>
      </c>
      <c r="H239">
        <v>59.8</v>
      </c>
      <c r="I239">
        <v>775</v>
      </c>
      <c r="J239">
        <v>38</v>
      </c>
      <c r="K239">
        <v>10.4</v>
      </c>
      <c r="L239" t="s">
        <v>49</v>
      </c>
      <c r="M239">
        <v>30294.39</v>
      </c>
      <c r="N239">
        <v>28766</v>
      </c>
      <c r="O239" t="s">
        <v>36</v>
      </c>
      <c r="P239" t="str">
        <f t="shared" si="27"/>
        <v>Yes</v>
      </c>
      <c r="Q239">
        <f t="shared" si="28"/>
        <v>12.96</v>
      </c>
      <c r="R239">
        <f t="shared" si="29"/>
        <v>39.090000000000003</v>
      </c>
      <c r="S239">
        <f t="shared" si="30"/>
        <v>1.05</v>
      </c>
      <c r="T239" t="str">
        <f t="shared" si="31"/>
        <v>Delayed</v>
      </c>
      <c r="U239" t="str">
        <f t="shared" si="32"/>
        <v>Medium</v>
      </c>
      <c r="V239" t="str">
        <f t="shared" si="33"/>
        <v>High Risk</v>
      </c>
      <c r="W239" t="str">
        <f t="shared" si="34"/>
        <v>Oct</v>
      </c>
      <c r="X239">
        <f t="shared" si="35"/>
        <v>2025</v>
      </c>
    </row>
    <row r="240" spans="1:24" x14ac:dyDescent="0.35">
      <c r="A240" s="3">
        <v>45892</v>
      </c>
      <c r="B240" t="s">
        <v>56</v>
      </c>
      <c r="C240" t="s">
        <v>69</v>
      </c>
      <c r="D240" t="s">
        <v>383</v>
      </c>
      <c r="E240" t="s">
        <v>28</v>
      </c>
      <c r="F240" t="s">
        <v>55</v>
      </c>
      <c r="G240" t="s">
        <v>42</v>
      </c>
      <c r="H240">
        <v>29.2</v>
      </c>
      <c r="I240">
        <v>2116</v>
      </c>
      <c r="J240">
        <v>67</v>
      </c>
      <c r="K240">
        <v>20</v>
      </c>
      <c r="L240" t="s">
        <v>49</v>
      </c>
      <c r="M240">
        <v>20349.39</v>
      </c>
      <c r="N240">
        <v>7723</v>
      </c>
      <c r="O240" t="s">
        <v>36</v>
      </c>
      <c r="P240" t="str">
        <f t="shared" si="27"/>
        <v>Yes</v>
      </c>
      <c r="Q240">
        <f t="shared" si="28"/>
        <v>72.47</v>
      </c>
      <c r="R240">
        <f t="shared" si="29"/>
        <v>9.6199999999999992</v>
      </c>
      <c r="S240">
        <f t="shared" si="30"/>
        <v>2.63</v>
      </c>
      <c r="T240" t="str">
        <f t="shared" si="31"/>
        <v>Delayed</v>
      </c>
      <c r="U240" t="str">
        <f t="shared" si="32"/>
        <v>Low</v>
      </c>
      <c r="V240" t="str">
        <f t="shared" si="33"/>
        <v>High Risk</v>
      </c>
      <c r="W240" t="str">
        <f t="shared" si="34"/>
        <v>Aug</v>
      </c>
      <c r="X240">
        <f t="shared" si="35"/>
        <v>2025</v>
      </c>
    </row>
    <row r="241" spans="1:24" x14ac:dyDescent="0.35">
      <c r="A241" s="3">
        <v>45935</v>
      </c>
      <c r="B241" t="s">
        <v>223</v>
      </c>
      <c r="C241" t="s">
        <v>95</v>
      </c>
      <c r="D241" t="s">
        <v>384</v>
      </c>
      <c r="E241" t="s">
        <v>54</v>
      </c>
      <c r="F241" t="s">
        <v>28</v>
      </c>
      <c r="G241" t="s">
        <v>29</v>
      </c>
      <c r="H241">
        <v>54.7</v>
      </c>
      <c r="I241">
        <v>4108</v>
      </c>
      <c r="J241">
        <v>42</v>
      </c>
      <c r="K241">
        <v>16.2</v>
      </c>
      <c r="L241" t="s">
        <v>30</v>
      </c>
      <c r="M241">
        <v>27662.92</v>
      </c>
      <c r="N241">
        <v>8887</v>
      </c>
      <c r="O241" t="s">
        <v>50</v>
      </c>
      <c r="P241" t="str">
        <f t="shared" si="27"/>
        <v>Yes</v>
      </c>
      <c r="Q241">
        <f t="shared" si="28"/>
        <v>75.099999999999994</v>
      </c>
      <c r="R241">
        <f t="shared" si="29"/>
        <v>6.73</v>
      </c>
      <c r="S241">
        <f t="shared" si="30"/>
        <v>3.11</v>
      </c>
      <c r="T241" t="str">
        <f t="shared" si="31"/>
        <v>Delayed</v>
      </c>
      <c r="U241" t="str">
        <f t="shared" si="32"/>
        <v>Medium</v>
      </c>
      <c r="V241" t="str">
        <f t="shared" si="33"/>
        <v>Medium Risk</v>
      </c>
      <c r="W241" t="str">
        <f t="shared" si="34"/>
        <v>Oct</v>
      </c>
      <c r="X241">
        <f t="shared" si="35"/>
        <v>2025</v>
      </c>
    </row>
    <row r="242" spans="1:24" x14ac:dyDescent="0.35">
      <c r="A242" s="3">
        <v>45986</v>
      </c>
      <c r="B242" t="s">
        <v>309</v>
      </c>
      <c r="C242" t="s">
        <v>130</v>
      </c>
      <c r="D242" t="s">
        <v>385</v>
      </c>
      <c r="E242" t="s">
        <v>55</v>
      </c>
      <c r="F242" t="s">
        <v>28</v>
      </c>
      <c r="G242" t="s">
        <v>71</v>
      </c>
      <c r="H242">
        <v>30.1</v>
      </c>
      <c r="I242">
        <v>1242</v>
      </c>
      <c r="J242">
        <v>51</v>
      </c>
      <c r="K242">
        <v>12.5</v>
      </c>
      <c r="L242" t="s">
        <v>30</v>
      </c>
      <c r="M242">
        <v>15019.67</v>
      </c>
      <c r="N242">
        <v>18380</v>
      </c>
      <c r="O242" t="s">
        <v>91</v>
      </c>
      <c r="P242" t="str">
        <f t="shared" si="27"/>
        <v>Yes</v>
      </c>
      <c r="Q242">
        <f t="shared" si="28"/>
        <v>41.26</v>
      </c>
      <c r="R242">
        <f t="shared" si="29"/>
        <v>12.09</v>
      </c>
      <c r="S242">
        <f t="shared" si="30"/>
        <v>0.82</v>
      </c>
      <c r="T242" t="str">
        <f t="shared" si="31"/>
        <v>Delayed</v>
      </c>
      <c r="U242" t="str">
        <f t="shared" si="32"/>
        <v>Low</v>
      </c>
      <c r="V242" t="str">
        <f t="shared" si="33"/>
        <v>Medium Risk</v>
      </c>
      <c r="W242" t="str">
        <f t="shared" si="34"/>
        <v>Nov</v>
      </c>
      <c r="X242">
        <f t="shared" si="35"/>
        <v>2025</v>
      </c>
    </row>
    <row r="243" spans="1:24" x14ac:dyDescent="0.35">
      <c r="A243" s="3">
        <v>45798</v>
      </c>
      <c r="B243" t="s">
        <v>309</v>
      </c>
      <c r="C243" t="s">
        <v>69</v>
      </c>
      <c r="D243" t="s">
        <v>386</v>
      </c>
      <c r="E243" t="s">
        <v>27</v>
      </c>
      <c r="F243" t="s">
        <v>28</v>
      </c>
      <c r="G243" t="s">
        <v>71</v>
      </c>
      <c r="H243">
        <v>53.2</v>
      </c>
      <c r="I243">
        <v>4833</v>
      </c>
      <c r="J243">
        <v>53</v>
      </c>
      <c r="K243">
        <v>18.5</v>
      </c>
      <c r="L243" t="s">
        <v>49</v>
      </c>
      <c r="M243">
        <v>29880.799999999999</v>
      </c>
      <c r="N243">
        <v>11486</v>
      </c>
      <c r="O243" t="s">
        <v>44</v>
      </c>
      <c r="P243" t="str">
        <f t="shared" si="27"/>
        <v>Yes</v>
      </c>
      <c r="Q243">
        <f t="shared" si="28"/>
        <v>90.85</v>
      </c>
      <c r="R243">
        <f t="shared" si="29"/>
        <v>6.18</v>
      </c>
      <c r="S243">
        <f t="shared" si="30"/>
        <v>2.6</v>
      </c>
      <c r="T243" t="str">
        <f t="shared" si="31"/>
        <v>Delayed</v>
      </c>
      <c r="U243" t="str">
        <f t="shared" si="32"/>
        <v>Medium</v>
      </c>
      <c r="V243" t="str">
        <f t="shared" si="33"/>
        <v>High Risk</v>
      </c>
      <c r="W243" t="str">
        <f t="shared" si="34"/>
        <v>May</v>
      </c>
      <c r="X243">
        <f t="shared" si="35"/>
        <v>2025</v>
      </c>
    </row>
    <row r="244" spans="1:24" x14ac:dyDescent="0.35">
      <c r="A244" s="3">
        <v>45673</v>
      </c>
      <c r="B244" t="s">
        <v>111</v>
      </c>
      <c r="C244" t="s">
        <v>109</v>
      </c>
      <c r="D244" t="s">
        <v>387</v>
      </c>
      <c r="E244" t="s">
        <v>63</v>
      </c>
      <c r="F244" t="s">
        <v>28</v>
      </c>
      <c r="G244" t="s">
        <v>42</v>
      </c>
      <c r="H244">
        <v>25.6</v>
      </c>
      <c r="I244">
        <v>3942</v>
      </c>
      <c r="J244">
        <v>55</v>
      </c>
      <c r="K244">
        <v>15.5</v>
      </c>
      <c r="L244" t="s">
        <v>49</v>
      </c>
      <c r="M244">
        <v>13450.61</v>
      </c>
      <c r="N244">
        <v>16529</v>
      </c>
      <c r="O244" t="s">
        <v>36</v>
      </c>
      <c r="P244" t="str">
        <f t="shared" si="27"/>
        <v>Yes</v>
      </c>
      <c r="Q244">
        <f t="shared" si="28"/>
        <v>153.97999999999999</v>
      </c>
      <c r="R244">
        <f t="shared" si="29"/>
        <v>3.41</v>
      </c>
      <c r="S244">
        <f t="shared" si="30"/>
        <v>0.81</v>
      </c>
      <c r="T244" t="str">
        <f t="shared" si="31"/>
        <v>Delayed</v>
      </c>
      <c r="U244" t="str">
        <f t="shared" si="32"/>
        <v>Low</v>
      </c>
      <c r="V244" t="str">
        <f t="shared" si="33"/>
        <v>High Risk</v>
      </c>
      <c r="W244" t="str">
        <f t="shared" si="34"/>
        <v>Jan</v>
      </c>
      <c r="X244">
        <f t="shared" si="35"/>
        <v>2025</v>
      </c>
    </row>
    <row r="245" spans="1:24" x14ac:dyDescent="0.35">
      <c r="A245" s="3">
        <v>45995</v>
      </c>
      <c r="B245" t="s">
        <v>148</v>
      </c>
      <c r="C245" t="s">
        <v>52</v>
      </c>
      <c r="D245" t="s">
        <v>388</v>
      </c>
      <c r="E245" t="s">
        <v>55</v>
      </c>
      <c r="F245" t="s">
        <v>28</v>
      </c>
      <c r="G245" t="s">
        <v>29</v>
      </c>
      <c r="H245">
        <v>39.4</v>
      </c>
      <c r="I245">
        <v>695</v>
      </c>
      <c r="J245">
        <v>78</v>
      </c>
      <c r="K245">
        <v>16.5</v>
      </c>
      <c r="L245" t="s">
        <v>49</v>
      </c>
      <c r="M245">
        <v>25263.46</v>
      </c>
      <c r="N245">
        <v>28188</v>
      </c>
      <c r="O245" t="s">
        <v>59</v>
      </c>
      <c r="P245" t="str">
        <f t="shared" si="27"/>
        <v>Yes</v>
      </c>
      <c r="Q245">
        <f t="shared" si="28"/>
        <v>17.64</v>
      </c>
      <c r="R245">
        <f t="shared" si="29"/>
        <v>36.35</v>
      </c>
      <c r="S245">
        <f t="shared" si="30"/>
        <v>0.9</v>
      </c>
      <c r="T245" t="str">
        <f t="shared" si="31"/>
        <v>Delayed</v>
      </c>
      <c r="U245" t="str">
        <f t="shared" si="32"/>
        <v>Low</v>
      </c>
      <c r="V245" t="str">
        <f t="shared" si="33"/>
        <v>High Risk</v>
      </c>
      <c r="W245" t="str">
        <f t="shared" si="34"/>
        <v>Dec</v>
      </c>
      <c r="X245">
        <f t="shared" si="35"/>
        <v>2025</v>
      </c>
    </row>
    <row r="246" spans="1:24" x14ac:dyDescent="0.35">
      <c r="A246" s="3">
        <v>45970</v>
      </c>
      <c r="B246" t="s">
        <v>349</v>
      </c>
      <c r="C246" t="s">
        <v>52</v>
      </c>
      <c r="D246" t="s">
        <v>389</v>
      </c>
      <c r="E246" t="s">
        <v>66</v>
      </c>
      <c r="F246" t="s">
        <v>41</v>
      </c>
      <c r="G246" t="s">
        <v>42</v>
      </c>
      <c r="H246">
        <v>32.299999999999997</v>
      </c>
      <c r="I246">
        <v>2686</v>
      </c>
      <c r="J246">
        <v>56</v>
      </c>
      <c r="K246">
        <v>13.9</v>
      </c>
      <c r="L246" t="s">
        <v>43</v>
      </c>
      <c r="M246">
        <v>15470.37</v>
      </c>
      <c r="N246">
        <v>5345</v>
      </c>
      <c r="O246" t="s">
        <v>84</v>
      </c>
      <c r="P246" t="str">
        <f t="shared" si="27"/>
        <v>Yes</v>
      </c>
      <c r="Q246">
        <f t="shared" si="28"/>
        <v>83.16</v>
      </c>
      <c r="R246">
        <f t="shared" si="29"/>
        <v>5.76</v>
      </c>
      <c r="S246">
        <f t="shared" si="30"/>
        <v>2.89</v>
      </c>
      <c r="T246" t="str">
        <f t="shared" si="31"/>
        <v>Delayed</v>
      </c>
      <c r="U246" t="str">
        <f t="shared" si="32"/>
        <v>Low</v>
      </c>
      <c r="V246" t="str">
        <f t="shared" si="33"/>
        <v>Low Risk</v>
      </c>
      <c r="W246" t="str">
        <f t="shared" si="34"/>
        <v>Nov</v>
      </c>
      <c r="X246">
        <f t="shared" si="35"/>
        <v>2025</v>
      </c>
    </row>
    <row r="247" spans="1:24" x14ac:dyDescent="0.35">
      <c r="A247" s="3">
        <v>45707</v>
      </c>
      <c r="B247" t="s">
        <v>223</v>
      </c>
      <c r="C247" t="s">
        <v>69</v>
      </c>
      <c r="D247" t="s">
        <v>390</v>
      </c>
      <c r="E247" t="s">
        <v>41</v>
      </c>
      <c r="F247" t="s">
        <v>66</v>
      </c>
      <c r="G247" t="s">
        <v>71</v>
      </c>
      <c r="H247">
        <v>76</v>
      </c>
      <c r="I247">
        <v>4825</v>
      </c>
      <c r="J247">
        <v>114</v>
      </c>
      <c r="K247">
        <v>14.5</v>
      </c>
      <c r="L247" t="s">
        <v>30</v>
      </c>
      <c r="M247">
        <v>47236.3</v>
      </c>
      <c r="N247">
        <v>19301</v>
      </c>
      <c r="O247" t="s">
        <v>84</v>
      </c>
      <c r="P247" t="str">
        <f t="shared" si="27"/>
        <v>Yes</v>
      </c>
      <c r="Q247">
        <f t="shared" si="28"/>
        <v>63.49</v>
      </c>
      <c r="R247">
        <f t="shared" si="29"/>
        <v>9.7899999999999991</v>
      </c>
      <c r="S247">
        <f t="shared" si="30"/>
        <v>2.4500000000000002</v>
      </c>
      <c r="T247" t="str">
        <f t="shared" si="31"/>
        <v>Delayed</v>
      </c>
      <c r="U247" t="str">
        <f t="shared" si="32"/>
        <v>High</v>
      </c>
      <c r="V247" t="str">
        <f t="shared" si="33"/>
        <v>Medium Risk</v>
      </c>
      <c r="W247" t="str">
        <f t="shared" si="34"/>
        <v>Feb</v>
      </c>
      <c r="X247">
        <f t="shared" si="35"/>
        <v>2025</v>
      </c>
    </row>
    <row r="248" spans="1:24" x14ac:dyDescent="0.35">
      <c r="A248" s="3">
        <v>45743</v>
      </c>
      <c r="B248" t="s">
        <v>195</v>
      </c>
      <c r="C248" t="s">
        <v>57</v>
      </c>
      <c r="D248" t="s">
        <v>391</v>
      </c>
      <c r="E248" t="s">
        <v>54</v>
      </c>
      <c r="F248" t="s">
        <v>63</v>
      </c>
      <c r="G248" t="s">
        <v>29</v>
      </c>
      <c r="H248">
        <v>24.5</v>
      </c>
      <c r="I248">
        <v>3662</v>
      </c>
      <c r="J248">
        <v>79</v>
      </c>
      <c r="K248">
        <v>13.3</v>
      </c>
      <c r="L248" t="s">
        <v>43</v>
      </c>
      <c r="M248">
        <v>14911.79</v>
      </c>
      <c r="N248">
        <v>29316</v>
      </c>
      <c r="O248" t="s">
        <v>59</v>
      </c>
      <c r="P248" t="str">
        <f t="shared" si="27"/>
        <v>Yes</v>
      </c>
      <c r="Q248">
        <f t="shared" si="28"/>
        <v>149.47</v>
      </c>
      <c r="R248">
        <f t="shared" si="29"/>
        <v>4.07</v>
      </c>
      <c r="S248">
        <f t="shared" si="30"/>
        <v>0.51</v>
      </c>
      <c r="T248" t="str">
        <f t="shared" si="31"/>
        <v>Delayed</v>
      </c>
      <c r="U248" t="str">
        <f t="shared" si="32"/>
        <v>Low</v>
      </c>
      <c r="V248" t="str">
        <f t="shared" si="33"/>
        <v>Low Risk</v>
      </c>
      <c r="W248" t="str">
        <f t="shared" si="34"/>
        <v>Mar</v>
      </c>
      <c r="X248">
        <f t="shared" si="35"/>
        <v>2025</v>
      </c>
    </row>
    <row r="249" spans="1:24" x14ac:dyDescent="0.35">
      <c r="A249" s="3">
        <v>45982</v>
      </c>
      <c r="B249" t="s">
        <v>199</v>
      </c>
      <c r="C249" t="s">
        <v>39</v>
      </c>
      <c r="D249" t="s">
        <v>392</v>
      </c>
      <c r="E249" t="s">
        <v>54</v>
      </c>
      <c r="F249" t="s">
        <v>55</v>
      </c>
      <c r="G249" t="s">
        <v>42</v>
      </c>
      <c r="H249">
        <v>79.599999999999994</v>
      </c>
      <c r="I249">
        <v>4387</v>
      </c>
      <c r="J249">
        <v>36</v>
      </c>
      <c r="K249">
        <v>12.9</v>
      </c>
      <c r="L249" t="s">
        <v>43</v>
      </c>
      <c r="M249">
        <v>39255.17</v>
      </c>
      <c r="N249">
        <v>6400</v>
      </c>
      <c r="O249" t="s">
        <v>31</v>
      </c>
      <c r="P249" t="str">
        <f t="shared" si="27"/>
        <v>Yes</v>
      </c>
      <c r="Q249">
        <f t="shared" si="28"/>
        <v>55.11</v>
      </c>
      <c r="R249">
        <f t="shared" si="29"/>
        <v>8.9499999999999993</v>
      </c>
      <c r="S249">
        <f t="shared" si="30"/>
        <v>6.13</v>
      </c>
      <c r="T249" t="str">
        <f t="shared" si="31"/>
        <v>Delayed</v>
      </c>
      <c r="U249" t="str">
        <f t="shared" si="32"/>
        <v>High</v>
      </c>
      <c r="V249" t="str">
        <f t="shared" si="33"/>
        <v>Low Risk</v>
      </c>
      <c r="W249" t="str">
        <f t="shared" si="34"/>
        <v>Nov</v>
      </c>
      <c r="X249">
        <f t="shared" si="35"/>
        <v>2025</v>
      </c>
    </row>
    <row r="250" spans="1:24" x14ac:dyDescent="0.35">
      <c r="A250" s="3">
        <v>45837</v>
      </c>
      <c r="B250" t="s">
        <v>136</v>
      </c>
      <c r="C250" t="s">
        <v>130</v>
      </c>
      <c r="D250" t="s">
        <v>393</v>
      </c>
      <c r="E250" t="s">
        <v>55</v>
      </c>
      <c r="F250" t="s">
        <v>66</v>
      </c>
      <c r="G250" t="s">
        <v>35</v>
      </c>
      <c r="H250">
        <v>68.400000000000006</v>
      </c>
      <c r="I250">
        <v>4589</v>
      </c>
      <c r="J250">
        <v>93</v>
      </c>
      <c r="K250">
        <v>20.9</v>
      </c>
      <c r="L250" t="s">
        <v>30</v>
      </c>
      <c r="M250">
        <v>33433.410000000003</v>
      </c>
      <c r="N250">
        <v>6305</v>
      </c>
      <c r="O250" t="s">
        <v>67</v>
      </c>
      <c r="P250" t="str">
        <f t="shared" si="27"/>
        <v>Yes</v>
      </c>
      <c r="Q250">
        <f t="shared" si="28"/>
        <v>67.09</v>
      </c>
      <c r="R250">
        <f t="shared" si="29"/>
        <v>7.29</v>
      </c>
      <c r="S250">
        <f t="shared" si="30"/>
        <v>5.3</v>
      </c>
      <c r="T250" t="str">
        <f t="shared" si="31"/>
        <v>Delayed</v>
      </c>
      <c r="U250" t="str">
        <f t="shared" si="32"/>
        <v>High</v>
      </c>
      <c r="V250" t="str">
        <f t="shared" si="33"/>
        <v>Medium Risk</v>
      </c>
      <c r="W250" t="str">
        <f t="shared" si="34"/>
        <v>Jun</v>
      </c>
      <c r="X250">
        <f t="shared" si="35"/>
        <v>2025</v>
      </c>
    </row>
    <row r="251" spans="1:24" x14ac:dyDescent="0.35">
      <c r="A251" s="3">
        <v>45954</v>
      </c>
      <c r="B251" t="s">
        <v>217</v>
      </c>
      <c r="C251" t="s">
        <v>109</v>
      </c>
      <c r="D251" t="s">
        <v>394</v>
      </c>
      <c r="E251" t="s">
        <v>63</v>
      </c>
      <c r="F251" t="s">
        <v>27</v>
      </c>
      <c r="G251" t="s">
        <v>35</v>
      </c>
      <c r="H251">
        <v>70.099999999999994</v>
      </c>
      <c r="I251">
        <v>946</v>
      </c>
      <c r="J251">
        <v>35</v>
      </c>
      <c r="K251">
        <v>15.2</v>
      </c>
      <c r="L251" t="s">
        <v>43</v>
      </c>
      <c r="M251">
        <v>46140.94</v>
      </c>
      <c r="N251">
        <v>14596</v>
      </c>
      <c r="O251" t="s">
        <v>59</v>
      </c>
      <c r="P251" t="str">
        <f t="shared" si="27"/>
        <v>Yes</v>
      </c>
      <c r="Q251">
        <f t="shared" si="28"/>
        <v>13.5</v>
      </c>
      <c r="R251">
        <f t="shared" si="29"/>
        <v>48.77</v>
      </c>
      <c r="S251">
        <f t="shared" si="30"/>
        <v>3.16</v>
      </c>
      <c r="T251" t="str">
        <f t="shared" si="31"/>
        <v>Delayed</v>
      </c>
      <c r="U251" t="str">
        <f t="shared" si="32"/>
        <v>High</v>
      </c>
      <c r="V251" t="str">
        <f t="shared" si="33"/>
        <v>Low Risk</v>
      </c>
      <c r="W251" t="str">
        <f t="shared" si="34"/>
        <v>Oct</v>
      </c>
      <c r="X251">
        <f t="shared" si="35"/>
        <v>2025</v>
      </c>
    </row>
    <row r="252" spans="1:24" x14ac:dyDescent="0.35">
      <c r="A252" s="3">
        <v>45999</v>
      </c>
      <c r="B252" t="s">
        <v>106</v>
      </c>
      <c r="C252" t="s">
        <v>52</v>
      </c>
      <c r="D252" t="s">
        <v>395</v>
      </c>
      <c r="E252" t="s">
        <v>28</v>
      </c>
      <c r="F252" t="s">
        <v>48</v>
      </c>
      <c r="G252" t="s">
        <v>71</v>
      </c>
      <c r="H252">
        <v>75.5</v>
      </c>
      <c r="I252">
        <v>3843</v>
      </c>
      <c r="J252">
        <v>53</v>
      </c>
      <c r="K252">
        <v>15.6</v>
      </c>
      <c r="L252" t="s">
        <v>78</v>
      </c>
      <c r="M252">
        <v>45442.96</v>
      </c>
      <c r="N252">
        <v>29393</v>
      </c>
      <c r="O252" t="s">
        <v>31</v>
      </c>
      <c r="P252" t="str">
        <f t="shared" si="27"/>
        <v>No</v>
      </c>
      <c r="Q252">
        <f t="shared" si="28"/>
        <v>50.9</v>
      </c>
      <c r="R252">
        <f t="shared" si="29"/>
        <v>11.82</v>
      </c>
      <c r="S252">
        <f t="shared" si="30"/>
        <v>1.55</v>
      </c>
      <c r="T252" t="str">
        <f t="shared" si="31"/>
        <v>On Time</v>
      </c>
      <c r="U252" t="str">
        <f t="shared" si="32"/>
        <v>High</v>
      </c>
      <c r="V252" t="str">
        <f t="shared" si="33"/>
        <v>Low Risk</v>
      </c>
      <c r="W252" t="str">
        <f t="shared" si="34"/>
        <v>Dec</v>
      </c>
      <c r="X252">
        <f t="shared" si="35"/>
        <v>2025</v>
      </c>
    </row>
    <row r="253" spans="1:24" x14ac:dyDescent="0.35">
      <c r="A253" s="3">
        <v>45691</v>
      </c>
      <c r="B253" t="s">
        <v>98</v>
      </c>
      <c r="C253" t="s">
        <v>95</v>
      </c>
      <c r="D253" t="s">
        <v>396</v>
      </c>
      <c r="E253" t="s">
        <v>48</v>
      </c>
      <c r="F253" t="s">
        <v>55</v>
      </c>
      <c r="G253" t="s">
        <v>29</v>
      </c>
      <c r="H253">
        <v>20.399999999999999</v>
      </c>
      <c r="I253">
        <v>2327</v>
      </c>
      <c r="J253">
        <v>24</v>
      </c>
      <c r="K253">
        <v>19.8</v>
      </c>
      <c r="L253" t="s">
        <v>30</v>
      </c>
      <c r="M253">
        <v>12741.92</v>
      </c>
      <c r="N253">
        <v>25677</v>
      </c>
      <c r="O253" t="s">
        <v>36</v>
      </c>
      <c r="P253" t="str">
        <f t="shared" si="27"/>
        <v>Yes</v>
      </c>
      <c r="Q253">
        <f t="shared" si="28"/>
        <v>114.07</v>
      </c>
      <c r="R253">
        <f t="shared" si="29"/>
        <v>5.48</v>
      </c>
      <c r="S253">
        <f t="shared" si="30"/>
        <v>0.5</v>
      </c>
      <c r="T253" t="str">
        <f t="shared" si="31"/>
        <v>Delayed</v>
      </c>
      <c r="U253" t="str">
        <f t="shared" si="32"/>
        <v>Low</v>
      </c>
      <c r="V253" t="str">
        <f t="shared" si="33"/>
        <v>Medium Risk</v>
      </c>
      <c r="W253" t="str">
        <f t="shared" si="34"/>
        <v>Feb</v>
      </c>
      <c r="X253">
        <f t="shared" si="35"/>
        <v>2025</v>
      </c>
    </row>
    <row r="254" spans="1:24" x14ac:dyDescent="0.35">
      <c r="A254" s="3">
        <v>45738</v>
      </c>
      <c r="B254" t="s">
        <v>210</v>
      </c>
      <c r="C254" t="s">
        <v>39</v>
      </c>
      <c r="D254" t="s">
        <v>397</v>
      </c>
      <c r="E254" t="s">
        <v>63</v>
      </c>
      <c r="F254" t="s">
        <v>48</v>
      </c>
      <c r="G254" t="s">
        <v>42</v>
      </c>
      <c r="H254">
        <v>31.8</v>
      </c>
      <c r="I254">
        <v>2120</v>
      </c>
      <c r="J254">
        <v>54</v>
      </c>
      <c r="K254">
        <v>10.3</v>
      </c>
      <c r="L254" t="s">
        <v>78</v>
      </c>
      <c r="M254">
        <v>18552.38</v>
      </c>
      <c r="N254">
        <v>17684</v>
      </c>
      <c r="O254" t="s">
        <v>91</v>
      </c>
      <c r="P254" t="str">
        <f t="shared" si="27"/>
        <v>No</v>
      </c>
      <c r="Q254">
        <f t="shared" si="28"/>
        <v>66.67</v>
      </c>
      <c r="R254">
        <f t="shared" si="29"/>
        <v>8.75</v>
      </c>
      <c r="S254">
        <f t="shared" si="30"/>
        <v>1.05</v>
      </c>
      <c r="T254" t="str">
        <f t="shared" si="31"/>
        <v>On Time</v>
      </c>
      <c r="U254" t="str">
        <f t="shared" si="32"/>
        <v>Low</v>
      </c>
      <c r="V254" t="str">
        <f t="shared" si="33"/>
        <v>Low Risk</v>
      </c>
      <c r="W254" t="str">
        <f t="shared" si="34"/>
        <v>Mar</v>
      </c>
      <c r="X254">
        <f t="shared" si="35"/>
        <v>2025</v>
      </c>
    </row>
    <row r="255" spans="1:24" x14ac:dyDescent="0.35">
      <c r="A255" s="3">
        <v>45954</v>
      </c>
      <c r="B255" t="s">
        <v>165</v>
      </c>
      <c r="C255" t="s">
        <v>25</v>
      </c>
      <c r="D255" t="s">
        <v>398</v>
      </c>
      <c r="E255" t="s">
        <v>48</v>
      </c>
      <c r="F255" t="s">
        <v>55</v>
      </c>
      <c r="G255" t="s">
        <v>42</v>
      </c>
      <c r="H255">
        <v>23.2</v>
      </c>
      <c r="I255">
        <v>3165</v>
      </c>
      <c r="J255">
        <v>39</v>
      </c>
      <c r="K255">
        <v>14.1</v>
      </c>
      <c r="L255" t="s">
        <v>30</v>
      </c>
      <c r="M255">
        <v>11221.7</v>
      </c>
      <c r="N255">
        <v>12202</v>
      </c>
      <c r="O255" t="s">
        <v>50</v>
      </c>
      <c r="P255" t="str">
        <f t="shared" si="27"/>
        <v>Yes</v>
      </c>
      <c r="Q255">
        <f t="shared" si="28"/>
        <v>136.41999999999999</v>
      </c>
      <c r="R255">
        <f t="shared" si="29"/>
        <v>3.55</v>
      </c>
      <c r="S255">
        <f t="shared" si="30"/>
        <v>0.92</v>
      </c>
      <c r="T255" t="str">
        <f t="shared" si="31"/>
        <v>Delayed</v>
      </c>
      <c r="U255" t="str">
        <f t="shared" si="32"/>
        <v>Low</v>
      </c>
      <c r="V255" t="str">
        <f t="shared" si="33"/>
        <v>Medium Risk</v>
      </c>
      <c r="W255" t="str">
        <f t="shared" si="34"/>
        <v>Oct</v>
      </c>
      <c r="X255">
        <f t="shared" si="35"/>
        <v>2025</v>
      </c>
    </row>
    <row r="256" spans="1:24" x14ac:dyDescent="0.35">
      <c r="A256" s="3">
        <v>45686</v>
      </c>
      <c r="B256" t="s">
        <v>214</v>
      </c>
      <c r="C256" t="s">
        <v>25</v>
      </c>
      <c r="D256" t="s">
        <v>399</v>
      </c>
      <c r="E256" t="s">
        <v>55</v>
      </c>
      <c r="F256" t="s">
        <v>66</v>
      </c>
      <c r="G256" t="s">
        <v>71</v>
      </c>
      <c r="H256">
        <v>55.7</v>
      </c>
      <c r="I256">
        <v>3280</v>
      </c>
      <c r="J256">
        <v>78</v>
      </c>
      <c r="K256">
        <v>20.5</v>
      </c>
      <c r="L256" t="s">
        <v>30</v>
      </c>
      <c r="M256">
        <v>32340.33</v>
      </c>
      <c r="N256">
        <v>9463</v>
      </c>
      <c r="O256" t="s">
        <v>44</v>
      </c>
      <c r="P256" t="str">
        <f t="shared" si="27"/>
        <v>Yes</v>
      </c>
      <c r="Q256">
        <f t="shared" si="28"/>
        <v>58.89</v>
      </c>
      <c r="R256">
        <f t="shared" si="29"/>
        <v>9.86</v>
      </c>
      <c r="S256">
        <f t="shared" si="30"/>
        <v>3.42</v>
      </c>
      <c r="T256" t="str">
        <f t="shared" si="31"/>
        <v>Delayed</v>
      </c>
      <c r="U256" t="str">
        <f t="shared" si="32"/>
        <v>Medium</v>
      </c>
      <c r="V256" t="str">
        <f t="shared" si="33"/>
        <v>Medium Risk</v>
      </c>
      <c r="W256" t="str">
        <f t="shared" si="34"/>
        <v>Jan</v>
      </c>
      <c r="X256">
        <f t="shared" si="35"/>
        <v>2025</v>
      </c>
    </row>
    <row r="257" spans="1:24" x14ac:dyDescent="0.35">
      <c r="A257" s="3">
        <v>45739</v>
      </c>
      <c r="B257" t="s">
        <v>73</v>
      </c>
      <c r="C257" t="s">
        <v>57</v>
      </c>
      <c r="D257" t="s">
        <v>400</v>
      </c>
      <c r="E257" t="s">
        <v>66</v>
      </c>
      <c r="F257" t="s">
        <v>41</v>
      </c>
      <c r="G257" t="s">
        <v>71</v>
      </c>
      <c r="H257">
        <v>44</v>
      </c>
      <c r="I257">
        <v>544</v>
      </c>
      <c r="J257">
        <v>104</v>
      </c>
      <c r="K257">
        <v>11</v>
      </c>
      <c r="L257" t="s">
        <v>78</v>
      </c>
      <c r="M257">
        <v>23787.27</v>
      </c>
      <c r="N257">
        <v>20595</v>
      </c>
      <c r="O257" t="s">
        <v>84</v>
      </c>
      <c r="P257" t="str">
        <f t="shared" si="27"/>
        <v>No</v>
      </c>
      <c r="Q257">
        <f t="shared" si="28"/>
        <v>12.36</v>
      </c>
      <c r="R257">
        <f t="shared" si="29"/>
        <v>43.73</v>
      </c>
      <c r="S257">
        <f t="shared" si="30"/>
        <v>1.1599999999999999</v>
      </c>
      <c r="T257" t="str">
        <f t="shared" si="31"/>
        <v>On Time</v>
      </c>
      <c r="U257" t="str">
        <f t="shared" si="32"/>
        <v>Medium</v>
      </c>
      <c r="V257" t="str">
        <f t="shared" si="33"/>
        <v>Low Risk</v>
      </c>
      <c r="W257" t="str">
        <f t="shared" si="34"/>
        <v>Mar</v>
      </c>
      <c r="X257">
        <f t="shared" si="35"/>
        <v>2025</v>
      </c>
    </row>
    <row r="258" spans="1:24" x14ac:dyDescent="0.35">
      <c r="A258" s="3">
        <v>46002</v>
      </c>
      <c r="B258" t="s">
        <v>61</v>
      </c>
      <c r="C258" t="s">
        <v>25</v>
      </c>
      <c r="D258" t="s">
        <v>401</v>
      </c>
      <c r="E258" t="s">
        <v>41</v>
      </c>
      <c r="F258" t="s">
        <v>54</v>
      </c>
      <c r="G258" t="s">
        <v>42</v>
      </c>
      <c r="H258">
        <v>63.2</v>
      </c>
      <c r="I258">
        <v>3723</v>
      </c>
      <c r="J258">
        <v>87</v>
      </c>
      <c r="K258">
        <v>17</v>
      </c>
      <c r="L258" t="s">
        <v>43</v>
      </c>
      <c r="M258">
        <v>39195.86</v>
      </c>
      <c r="N258">
        <v>23612</v>
      </c>
      <c r="O258" t="s">
        <v>44</v>
      </c>
      <c r="P258" t="str">
        <f t="shared" ref="P258:P321" si="36">IF(OR(L258="Rain",L258="Fog",L258="Storm"),"Yes","No")</f>
        <v>Yes</v>
      </c>
      <c r="Q258">
        <f t="shared" ref="Q258:Q321" si="37">ROUND(I258/H258,2)</f>
        <v>58.91</v>
      </c>
      <c r="R258">
        <f t="shared" ref="R258:R321" si="38">ROUND(M258/I258,2)</f>
        <v>10.53</v>
      </c>
      <c r="S258">
        <f t="shared" ref="S258:S321" si="39">ROUND(M258/N258,2)</f>
        <v>1.66</v>
      </c>
      <c r="T258" t="str">
        <f t="shared" ref="T258:T321" si="40">IF(P258="Yes","Delayed","On Time")</f>
        <v>Delayed</v>
      </c>
      <c r="U258" t="str">
        <f t="shared" ref="U258:U321" si="41">IF(H258&gt;=60,"High",IF(H258&gt;=40,"Medium","Low"))</f>
        <v>High</v>
      </c>
      <c r="V258" t="str">
        <f t="shared" ref="V258:V321" si="42">IF(L258="Storm","High Risk",IF(L258="Rain","Medium Risk","Low Risk"))</f>
        <v>Low Risk</v>
      </c>
      <c r="W258" t="str">
        <f t="shared" ref="W258:W321" si="43">TEXT(A258,"mmm")</f>
        <v>Dec</v>
      </c>
      <c r="X258">
        <f t="shared" si="35"/>
        <v>2025</v>
      </c>
    </row>
    <row r="259" spans="1:24" x14ac:dyDescent="0.35">
      <c r="A259" s="3">
        <v>45664</v>
      </c>
      <c r="B259" t="s">
        <v>152</v>
      </c>
      <c r="C259" t="s">
        <v>69</v>
      </c>
      <c r="D259" t="s">
        <v>402</v>
      </c>
      <c r="E259" t="s">
        <v>66</v>
      </c>
      <c r="F259" t="s">
        <v>63</v>
      </c>
      <c r="G259" t="s">
        <v>29</v>
      </c>
      <c r="H259">
        <v>31.1</v>
      </c>
      <c r="I259">
        <v>2224</v>
      </c>
      <c r="J259">
        <v>105</v>
      </c>
      <c r="K259">
        <v>21.6</v>
      </c>
      <c r="L259" t="s">
        <v>30</v>
      </c>
      <c r="M259">
        <v>15822.84</v>
      </c>
      <c r="N259">
        <v>20641</v>
      </c>
      <c r="O259" t="s">
        <v>84</v>
      </c>
      <c r="P259" t="str">
        <f t="shared" si="36"/>
        <v>Yes</v>
      </c>
      <c r="Q259">
        <f t="shared" si="37"/>
        <v>71.510000000000005</v>
      </c>
      <c r="R259">
        <f t="shared" si="38"/>
        <v>7.11</v>
      </c>
      <c r="S259">
        <f t="shared" si="39"/>
        <v>0.77</v>
      </c>
      <c r="T259" t="str">
        <f t="shared" si="40"/>
        <v>Delayed</v>
      </c>
      <c r="U259" t="str">
        <f t="shared" si="41"/>
        <v>Low</v>
      </c>
      <c r="V259" t="str">
        <f t="shared" si="42"/>
        <v>Medium Risk</v>
      </c>
      <c r="W259" t="str">
        <f t="shared" si="43"/>
        <v>Jan</v>
      </c>
      <c r="X259">
        <f t="shared" ref="X259:X322" si="44">YEAR(A259)</f>
        <v>2025</v>
      </c>
    </row>
    <row r="260" spans="1:24" x14ac:dyDescent="0.35">
      <c r="A260" s="3">
        <v>45985</v>
      </c>
      <c r="B260" t="s">
        <v>291</v>
      </c>
      <c r="C260" t="s">
        <v>25</v>
      </c>
      <c r="D260" t="s">
        <v>403</v>
      </c>
      <c r="E260" t="s">
        <v>55</v>
      </c>
      <c r="F260" t="s">
        <v>27</v>
      </c>
      <c r="G260" t="s">
        <v>71</v>
      </c>
      <c r="H260">
        <v>26.2</v>
      </c>
      <c r="I260">
        <v>538</v>
      </c>
      <c r="J260">
        <v>100</v>
      </c>
      <c r="K260">
        <v>19.899999999999999</v>
      </c>
      <c r="L260" t="s">
        <v>78</v>
      </c>
      <c r="M260">
        <v>12117.75</v>
      </c>
      <c r="N260">
        <v>7965</v>
      </c>
      <c r="O260" t="s">
        <v>91</v>
      </c>
      <c r="P260" t="str">
        <f t="shared" si="36"/>
        <v>No</v>
      </c>
      <c r="Q260">
        <f t="shared" si="37"/>
        <v>20.53</v>
      </c>
      <c r="R260">
        <f t="shared" si="38"/>
        <v>22.52</v>
      </c>
      <c r="S260">
        <f t="shared" si="39"/>
        <v>1.52</v>
      </c>
      <c r="T260" t="str">
        <f t="shared" si="40"/>
        <v>On Time</v>
      </c>
      <c r="U260" t="str">
        <f t="shared" si="41"/>
        <v>Low</v>
      </c>
      <c r="V260" t="str">
        <f t="shared" si="42"/>
        <v>Low Risk</v>
      </c>
      <c r="W260" t="str">
        <f t="shared" si="43"/>
        <v>Nov</v>
      </c>
      <c r="X260">
        <f t="shared" si="44"/>
        <v>2025</v>
      </c>
    </row>
    <row r="261" spans="1:24" x14ac:dyDescent="0.35">
      <c r="A261" s="3">
        <v>45682</v>
      </c>
      <c r="B261" t="s">
        <v>236</v>
      </c>
      <c r="C261" t="s">
        <v>69</v>
      </c>
      <c r="D261" t="s">
        <v>404</v>
      </c>
      <c r="E261" t="s">
        <v>27</v>
      </c>
      <c r="F261" t="s">
        <v>41</v>
      </c>
      <c r="G261" t="s">
        <v>35</v>
      </c>
      <c r="H261">
        <v>66.5</v>
      </c>
      <c r="I261">
        <v>872</v>
      </c>
      <c r="J261">
        <v>101</v>
      </c>
      <c r="K261">
        <v>16.100000000000001</v>
      </c>
      <c r="L261" t="s">
        <v>30</v>
      </c>
      <c r="M261">
        <v>33947.75</v>
      </c>
      <c r="N261">
        <v>16239</v>
      </c>
      <c r="O261" t="s">
        <v>50</v>
      </c>
      <c r="P261" t="str">
        <f t="shared" si="36"/>
        <v>Yes</v>
      </c>
      <c r="Q261">
        <f t="shared" si="37"/>
        <v>13.11</v>
      </c>
      <c r="R261">
        <f t="shared" si="38"/>
        <v>38.93</v>
      </c>
      <c r="S261">
        <f t="shared" si="39"/>
        <v>2.09</v>
      </c>
      <c r="T261" t="str">
        <f t="shared" si="40"/>
        <v>Delayed</v>
      </c>
      <c r="U261" t="str">
        <f t="shared" si="41"/>
        <v>High</v>
      </c>
      <c r="V261" t="str">
        <f t="shared" si="42"/>
        <v>Medium Risk</v>
      </c>
      <c r="W261" t="str">
        <f t="shared" si="43"/>
        <v>Jan</v>
      </c>
      <c r="X261">
        <f t="shared" si="44"/>
        <v>2025</v>
      </c>
    </row>
    <row r="262" spans="1:24" x14ac:dyDescent="0.35">
      <c r="A262" s="3">
        <v>45754</v>
      </c>
      <c r="B262" t="s">
        <v>309</v>
      </c>
      <c r="C262" t="s">
        <v>130</v>
      </c>
      <c r="D262" t="s">
        <v>405</v>
      </c>
      <c r="E262" t="s">
        <v>27</v>
      </c>
      <c r="F262" t="s">
        <v>66</v>
      </c>
      <c r="G262" t="s">
        <v>29</v>
      </c>
      <c r="H262">
        <v>26.3</v>
      </c>
      <c r="I262">
        <v>582</v>
      </c>
      <c r="J262">
        <v>73</v>
      </c>
      <c r="K262">
        <v>12.5</v>
      </c>
      <c r="L262" t="s">
        <v>30</v>
      </c>
      <c r="M262">
        <v>14089.4</v>
      </c>
      <c r="N262">
        <v>14175</v>
      </c>
      <c r="O262" t="s">
        <v>36</v>
      </c>
      <c r="P262" t="str">
        <f t="shared" si="36"/>
        <v>Yes</v>
      </c>
      <c r="Q262">
        <f t="shared" si="37"/>
        <v>22.13</v>
      </c>
      <c r="R262">
        <f t="shared" si="38"/>
        <v>24.21</v>
      </c>
      <c r="S262">
        <f t="shared" si="39"/>
        <v>0.99</v>
      </c>
      <c r="T262" t="str">
        <f t="shared" si="40"/>
        <v>Delayed</v>
      </c>
      <c r="U262" t="str">
        <f t="shared" si="41"/>
        <v>Low</v>
      </c>
      <c r="V262" t="str">
        <f t="shared" si="42"/>
        <v>Medium Risk</v>
      </c>
      <c r="W262" t="str">
        <f t="shared" si="43"/>
        <v>Apr</v>
      </c>
      <c r="X262">
        <f t="shared" si="44"/>
        <v>2025</v>
      </c>
    </row>
    <row r="263" spans="1:24" x14ac:dyDescent="0.35">
      <c r="A263" s="3">
        <v>45836</v>
      </c>
      <c r="B263" t="s">
        <v>159</v>
      </c>
      <c r="C263" t="s">
        <v>52</v>
      </c>
      <c r="D263" t="s">
        <v>406</v>
      </c>
      <c r="E263" t="s">
        <v>48</v>
      </c>
      <c r="F263" t="s">
        <v>27</v>
      </c>
      <c r="G263" t="s">
        <v>42</v>
      </c>
      <c r="H263">
        <v>44.9</v>
      </c>
      <c r="I263">
        <v>2593</v>
      </c>
      <c r="J263">
        <v>102</v>
      </c>
      <c r="K263">
        <v>13.8</v>
      </c>
      <c r="L263" t="s">
        <v>78</v>
      </c>
      <c r="M263">
        <v>25558.53</v>
      </c>
      <c r="N263">
        <v>19400</v>
      </c>
      <c r="O263" t="s">
        <v>91</v>
      </c>
      <c r="P263" t="str">
        <f t="shared" si="36"/>
        <v>No</v>
      </c>
      <c r="Q263">
        <f t="shared" si="37"/>
        <v>57.75</v>
      </c>
      <c r="R263">
        <f t="shared" si="38"/>
        <v>9.86</v>
      </c>
      <c r="S263">
        <f t="shared" si="39"/>
        <v>1.32</v>
      </c>
      <c r="T263" t="str">
        <f t="shared" si="40"/>
        <v>On Time</v>
      </c>
      <c r="U263" t="str">
        <f t="shared" si="41"/>
        <v>Medium</v>
      </c>
      <c r="V263" t="str">
        <f t="shared" si="42"/>
        <v>Low Risk</v>
      </c>
      <c r="W263" t="str">
        <f t="shared" si="43"/>
        <v>Jun</v>
      </c>
      <c r="X263">
        <f t="shared" si="44"/>
        <v>2025</v>
      </c>
    </row>
    <row r="264" spans="1:24" x14ac:dyDescent="0.35">
      <c r="A264" s="3">
        <v>45891</v>
      </c>
      <c r="B264" t="s">
        <v>368</v>
      </c>
      <c r="C264" t="s">
        <v>25</v>
      </c>
      <c r="D264" t="s">
        <v>407</v>
      </c>
      <c r="E264" t="s">
        <v>63</v>
      </c>
      <c r="F264" t="s">
        <v>54</v>
      </c>
      <c r="G264" t="s">
        <v>71</v>
      </c>
      <c r="H264">
        <v>61.7</v>
      </c>
      <c r="I264">
        <v>1136</v>
      </c>
      <c r="J264">
        <v>29</v>
      </c>
      <c r="K264">
        <v>16</v>
      </c>
      <c r="L264" t="s">
        <v>43</v>
      </c>
      <c r="M264">
        <v>33166.519999999997</v>
      </c>
      <c r="N264">
        <v>7522</v>
      </c>
      <c r="O264" t="s">
        <v>31</v>
      </c>
      <c r="P264" t="str">
        <f t="shared" si="36"/>
        <v>Yes</v>
      </c>
      <c r="Q264">
        <f t="shared" si="37"/>
        <v>18.41</v>
      </c>
      <c r="R264">
        <f t="shared" si="38"/>
        <v>29.2</v>
      </c>
      <c r="S264">
        <f t="shared" si="39"/>
        <v>4.41</v>
      </c>
      <c r="T264" t="str">
        <f t="shared" si="40"/>
        <v>Delayed</v>
      </c>
      <c r="U264" t="str">
        <f t="shared" si="41"/>
        <v>High</v>
      </c>
      <c r="V264" t="str">
        <f t="shared" si="42"/>
        <v>Low Risk</v>
      </c>
      <c r="W264" t="str">
        <f t="shared" si="43"/>
        <v>Aug</v>
      </c>
      <c r="X264">
        <f t="shared" si="44"/>
        <v>2025</v>
      </c>
    </row>
    <row r="265" spans="1:24" x14ac:dyDescent="0.35">
      <c r="A265" s="3">
        <v>45818</v>
      </c>
      <c r="B265" t="s">
        <v>203</v>
      </c>
      <c r="C265" t="s">
        <v>25</v>
      </c>
      <c r="D265" t="s">
        <v>408</v>
      </c>
      <c r="E265" t="s">
        <v>55</v>
      </c>
      <c r="F265" t="s">
        <v>41</v>
      </c>
      <c r="G265" t="s">
        <v>29</v>
      </c>
      <c r="H265">
        <v>50.7</v>
      </c>
      <c r="I265">
        <v>533</v>
      </c>
      <c r="J265">
        <v>53</v>
      </c>
      <c r="K265">
        <v>18.8</v>
      </c>
      <c r="L265" t="s">
        <v>78</v>
      </c>
      <c r="M265">
        <v>31696.35</v>
      </c>
      <c r="N265">
        <v>24278</v>
      </c>
      <c r="O265" t="s">
        <v>31</v>
      </c>
      <c r="P265" t="str">
        <f t="shared" si="36"/>
        <v>No</v>
      </c>
      <c r="Q265">
        <f t="shared" si="37"/>
        <v>10.51</v>
      </c>
      <c r="R265">
        <f t="shared" si="38"/>
        <v>59.47</v>
      </c>
      <c r="S265">
        <f t="shared" si="39"/>
        <v>1.31</v>
      </c>
      <c r="T265" t="str">
        <f t="shared" si="40"/>
        <v>On Time</v>
      </c>
      <c r="U265" t="str">
        <f t="shared" si="41"/>
        <v>Medium</v>
      </c>
      <c r="V265" t="str">
        <f t="shared" si="42"/>
        <v>Low Risk</v>
      </c>
      <c r="W265" t="str">
        <f t="shared" si="43"/>
        <v>Jun</v>
      </c>
      <c r="X265">
        <f t="shared" si="44"/>
        <v>2025</v>
      </c>
    </row>
    <row r="266" spans="1:24" x14ac:dyDescent="0.35">
      <c r="A266" s="3">
        <v>45705</v>
      </c>
      <c r="B266" t="s">
        <v>118</v>
      </c>
      <c r="C266" t="s">
        <v>52</v>
      </c>
      <c r="D266" t="s">
        <v>409</v>
      </c>
      <c r="E266" t="s">
        <v>48</v>
      </c>
      <c r="F266" t="s">
        <v>63</v>
      </c>
      <c r="G266" t="s">
        <v>29</v>
      </c>
      <c r="H266">
        <v>62.9</v>
      </c>
      <c r="I266">
        <v>705</v>
      </c>
      <c r="J266">
        <v>111</v>
      </c>
      <c r="K266">
        <v>11.8</v>
      </c>
      <c r="L266" t="s">
        <v>49</v>
      </c>
      <c r="M266">
        <v>36115.480000000003</v>
      </c>
      <c r="N266">
        <v>25297</v>
      </c>
      <c r="O266" t="s">
        <v>31</v>
      </c>
      <c r="P266" t="str">
        <f t="shared" si="36"/>
        <v>Yes</v>
      </c>
      <c r="Q266">
        <f t="shared" si="37"/>
        <v>11.21</v>
      </c>
      <c r="R266">
        <f t="shared" si="38"/>
        <v>51.23</v>
      </c>
      <c r="S266">
        <f t="shared" si="39"/>
        <v>1.43</v>
      </c>
      <c r="T266" t="str">
        <f t="shared" si="40"/>
        <v>Delayed</v>
      </c>
      <c r="U266" t="str">
        <f t="shared" si="41"/>
        <v>High</v>
      </c>
      <c r="V266" t="str">
        <f t="shared" si="42"/>
        <v>High Risk</v>
      </c>
      <c r="W266" t="str">
        <f t="shared" si="43"/>
        <v>Feb</v>
      </c>
      <c r="X266">
        <f t="shared" si="44"/>
        <v>2025</v>
      </c>
    </row>
    <row r="267" spans="1:24" x14ac:dyDescent="0.35">
      <c r="A267" s="3">
        <v>45958</v>
      </c>
      <c r="B267" t="s">
        <v>100</v>
      </c>
      <c r="C267" t="s">
        <v>109</v>
      </c>
      <c r="D267" t="s">
        <v>410</v>
      </c>
      <c r="E267" t="s">
        <v>66</v>
      </c>
      <c r="F267" t="s">
        <v>48</v>
      </c>
      <c r="G267" t="s">
        <v>42</v>
      </c>
      <c r="H267">
        <v>78.900000000000006</v>
      </c>
      <c r="I267">
        <v>2597</v>
      </c>
      <c r="J267">
        <v>97</v>
      </c>
      <c r="K267">
        <v>12.7</v>
      </c>
      <c r="L267" t="s">
        <v>30</v>
      </c>
      <c r="M267">
        <v>37442.120000000003</v>
      </c>
      <c r="N267">
        <v>18159</v>
      </c>
      <c r="O267" t="s">
        <v>36</v>
      </c>
      <c r="P267" t="str">
        <f t="shared" si="36"/>
        <v>Yes</v>
      </c>
      <c r="Q267">
        <f t="shared" si="37"/>
        <v>32.92</v>
      </c>
      <c r="R267">
        <f t="shared" si="38"/>
        <v>14.42</v>
      </c>
      <c r="S267">
        <f t="shared" si="39"/>
        <v>2.06</v>
      </c>
      <c r="T267" t="str">
        <f t="shared" si="40"/>
        <v>Delayed</v>
      </c>
      <c r="U267" t="str">
        <f t="shared" si="41"/>
        <v>High</v>
      </c>
      <c r="V267" t="str">
        <f t="shared" si="42"/>
        <v>Medium Risk</v>
      </c>
      <c r="W267" t="str">
        <f t="shared" si="43"/>
        <v>Oct</v>
      </c>
      <c r="X267">
        <f t="shared" si="44"/>
        <v>2025</v>
      </c>
    </row>
    <row r="268" spans="1:24" x14ac:dyDescent="0.35">
      <c r="A268" s="3">
        <v>45794</v>
      </c>
      <c r="B268" t="s">
        <v>24</v>
      </c>
      <c r="C268" t="s">
        <v>109</v>
      </c>
      <c r="D268" t="s">
        <v>411</v>
      </c>
      <c r="E268" t="s">
        <v>63</v>
      </c>
      <c r="F268" t="s">
        <v>28</v>
      </c>
      <c r="G268" t="s">
        <v>29</v>
      </c>
      <c r="H268">
        <v>36.5</v>
      </c>
      <c r="I268">
        <v>1972</v>
      </c>
      <c r="J268">
        <v>99</v>
      </c>
      <c r="K268">
        <v>12.8</v>
      </c>
      <c r="L268" t="s">
        <v>43</v>
      </c>
      <c r="M268">
        <v>20442.87</v>
      </c>
      <c r="N268">
        <v>21750</v>
      </c>
      <c r="O268" t="s">
        <v>67</v>
      </c>
      <c r="P268" t="str">
        <f t="shared" si="36"/>
        <v>Yes</v>
      </c>
      <c r="Q268">
        <f t="shared" si="37"/>
        <v>54.03</v>
      </c>
      <c r="R268">
        <f t="shared" si="38"/>
        <v>10.37</v>
      </c>
      <c r="S268">
        <f t="shared" si="39"/>
        <v>0.94</v>
      </c>
      <c r="T268" t="str">
        <f t="shared" si="40"/>
        <v>Delayed</v>
      </c>
      <c r="U268" t="str">
        <f t="shared" si="41"/>
        <v>Low</v>
      </c>
      <c r="V268" t="str">
        <f t="shared" si="42"/>
        <v>Low Risk</v>
      </c>
      <c r="W268" t="str">
        <f t="shared" si="43"/>
        <v>May</v>
      </c>
      <c r="X268">
        <f t="shared" si="44"/>
        <v>2025</v>
      </c>
    </row>
    <row r="269" spans="1:24" x14ac:dyDescent="0.35">
      <c r="A269" s="3">
        <v>45973</v>
      </c>
      <c r="B269" t="s">
        <v>157</v>
      </c>
      <c r="C269" t="s">
        <v>39</v>
      </c>
      <c r="D269" t="s">
        <v>412</v>
      </c>
      <c r="E269" t="s">
        <v>27</v>
      </c>
      <c r="F269" t="s">
        <v>41</v>
      </c>
      <c r="G269" t="s">
        <v>29</v>
      </c>
      <c r="H269">
        <v>64.3</v>
      </c>
      <c r="I269">
        <v>1275</v>
      </c>
      <c r="J269">
        <v>56</v>
      </c>
      <c r="K269">
        <v>13.5</v>
      </c>
      <c r="L269" t="s">
        <v>43</v>
      </c>
      <c r="M269">
        <v>34478.01</v>
      </c>
      <c r="N269">
        <v>14886</v>
      </c>
      <c r="O269" t="s">
        <v>91</v>
      </c>
      <c r="P269" t="str">
        <f t="shared" si="36"/>
        <v>Yes</v>
      </c>
      <c r="Q269">
        <f t="shared" si="37"/>
        <v>19.829999999999998</v>
      </c>
      <c r="R269">
        <f t="shared" si="38"/>
        <v>27.04</v>
      </c>
      <c r="S269">
        <f t="shared" si="39"/>
        <v>2.3199999999999998</v>
      </c>
      <c r="T269" t="str">
        <f t="shared" si="40"/>
        <v>Delayed</v>
      </c>
      <c r="U269" t="str">
        <f t="shared" si="41"/>
        <v>High</v>
      </c>
      <c r="V269" t="str">
        <f t="shared" si="42"/>
        <v>Low Risk</v>
      </c>
      <c r="W269" t="str">
        <f t="shared" si="43"/>
        <v>Nov</v>
      </c>
      <c r="X269">
        <f t="shared" si="44"/>
        <v>2025</v>
      </c>
    </row>
    <row r="270" spans="1:24" x14ac:dyDescent="0.35">
      <c r="A270" s="3">
        <v>45930</v>
      </c>
      <c r="B270" t="s">
        <v>100</v>
      </c>
      <c r="C270" t="s">
        <v>95</v>
      </c>
      <c r="D270" t="s">
        <v>413</v>
      </c>
      <c r="E270" t="s">
        <v>48</v>
      </c>
      <c r="F270" t="s">
        <v>27</v>
      </c>
      <c r="G270" t="s">
        <v>71</v>
      </c>
      <c r="H270">
        <v>35.799999999999997</v>
      </c>
      <c r="I270">
        <v>4347</v>
      </c>
      <c r="J270">
        <v>46</v>
      </c>
      <c r="K270">
        <v>12.9</v>
      </c>
      <c r="L270" t="s">
        <v>49</v>
      </c>
      <c r="M270">
        <v>16203.93</v>
      </c>
      <c r="N270">
        <v>18538</v>
      </c>
      <c r="O270" t="s">
        <v>36</v>
      </c>
      <c r="P270" t="str">
        <f t="shared" si="36"/>
        <v>Yes</v>
      </c>
      <c r="Q270">
        <f t="shared" si="37"/>
        <v>121.42</v>
      </c>
      <c r="R270">
        <f t="shared" si="38"/>
        <v>3.73</v>
      </c>
      <c r="S270">
        <f t="shared" si="39"/>
        <v>0.87</v>
      </c>
      <c r="T270" t="str">
        <f t="shared" si="40"/>
        <v>Delayed</v>
      </c>
      <c r="U270" t="str">
        <f t="shared" si="41"/>
        <v>Low</v>
      </c>
      <c r="V270" t="str">
        <f t="shared" si="42"/>
        <v>High Risk</v>
      </c>
      <c r="W270" t="str">
        <f t="shared" si="43"/>
        <v>Sep</v>
      </c>
      <c r="X270">
        <f t="shared" si="44"/>
        <v>2025</v>
      </c>
    </row>
    <row r="271" spans="1:24" x14ac:dyDescent="0.35">
      <c r="A271" s="3">
        <v>45793</v>
      </c>
      <c r="B271" t="s">
        <v>56</v>
      </c>
      <c r="C271" t="s">
        <v>69</v>
      </c>
      <c r="D271" t="s">
        <v>414</v>
      </c>
      <c r="E271" t="s">
        <v>54</v>
      </c>
      <c r="F271" t="s">
        <v>55</v>
      </c>
      <c r="G271" t="s">
        <v>42</v>
      </c>
      <c r="H271">
        <v>41.4</v>
      </c>
      <c r="I271">
        <v>2997</v>
      </c>
      <c r="J271">
        <v>20</v>
      </c>
      <c r="K271">
        <v>17.2</v>
      </c>
      <c r="L271" t="s">
        <v>49</v>
      </c>
      <c r="M271">
        <v>25049.59</v>
      </c>
      <c r="N271">
        <v>29182</v>
      </c>
      <c r="O271" t="s">
        <v>84</v>
      </c>
      <c r="P271" t="str">
        <f t="shared" si="36"/>
        <v>Yes</v>
      </c>
      <c r="Q271">
        <f t="shared" si="37"/>
        <v>72.39</v>
      </c>
      <c r="R271">
        <f t="shared" si="38"/>
        <v>8.36</v>
      </c>
      <c r="S271">
        <f t="shared" si="39"/>
        <v>0.86</v>
      </c>
      <c r="T271" t="str">
        <f t="shared" si="40"/>
        <v>Delayed</v>
      </c>
      <c r="U271" t="str">
        <f t="shared" si="41"/>
        <v>Medium</v>
      </c>
      <c r="V271" t="str">
        <f t="shared" si="42"/>
        <v>High Risk</v>
      </c>
      <c r="W271" t="str">
        <f t="shared" si="43"/>
        <v>May</v>
      </c>
      <c r="X271">
        <f t="shared" si="44"/>
        <v>2025</v>
      </c>
    </row>
    <row r="272" spans="1:24" x14ac:dyDescent="0.35">
      <c r="A272" s="3">
        <v>45837</v>
      </c>
      <c r="B272" t="s">
        <v>221</v>
      </c>
      <c r="C272" t="s">
        <v>109</v>
      </c>
      <c r="D272" t="s">
        <v>415</v>
      </c>
      <c r="E272" t="s">
        <v>55</v>
      </c>
      <c r="F272" t="s">
        <v>28</v>
      </c>
      <c r="G272" t="s">
        <v>35</v>
      </c>
      <c r="H272">
        <v>73.099999999999994</v>
      </c>
      <c r="I272">
        <v>2714</v>
      </c>
      <c r="J272">
        <v>55</v>
      </c>
      <c r="K272">
        <v>15.9</v>
      </c>
      <c r="L272" t="s">
        <v>43</v>
      </c>
      <c r="M272">
        <v>49952.78</v>
      </c>
      <c r="N272">
        <v>5860</v>
      </c>
      <c r="O272" t="s">
        <v>84</v>
      </c>
      <c r="P272" t="str">
        <f t="shared" si="36"/>
        <v>Yes</v>
      </c>
      <c r="Q272">
        <f t="shared" si="37"/>
        <v>37.130000000000003</v>
      </c>
      <c r="R272">
        <f t="shared" si="38"/>
        <v>18.41</v>
      </c>
      <c r="S272">
        <f t="shared" si="39"/>
        <v>8.52</v>
      </c>
      <c r="T272" t="str">
        <f t="shared" si="40"/>
        <v>Delayed</v>
      </c>
      <c r="U272" t="str">
        <f t="shared" si="41"/>
        <v>High</v>
      </c>
      <c r="V272" t="str">
        <f t="shared" si="42"/>
        <v>Low Risk</v>
      </c>
      <c r="W272" t="str">
        <f t="shared" si="43"/>
        <v>Jun</v>
      </c>
      <c r="X272">
        <f t="shared" si="44"/>
        <v>2025</v>
      </c>
    </row>
    <row r="273" spans="1:24" x14ac:dyDescent="0.35">
      <c r="A273" s="3">
        <v>45898</v>
      </c>
      <c r="B273" t="s">
        <v>152</v>
      </c>
      <c r="C273" t="s">
        <v>57</v>
      </c>
      <c r="D273" t="s">
        <v>416</v>
      </c>
      <c r="E273" t="s">
        <v>63</v>
      </c>
      <c r="F273" t="s">
        <v>48</v>
      </c>
      <c r="G273" t="s">
        <v>35</v>
      </c>
      <c r="H273">
        <v>75.3</v>
      </c>
      <c r="I273">
        <v>1357</v>
      </c>
      <c r="J273">
        <v>70</v>
      </c>
      <c r="K273">
        <v>16.399999999999999</v>
      </c>
      <c r="L273" t="s">
        <v>30</v>
      </c>
      <c r="M273">
        <v>35699.54</v>
      </c>
      <c r="N273">
        <v>9091</v>
      </c>
      <c r="O273" t="s">
        <v>91</v>
      </c>
      <c r="P273" t="str">
        <f t="shared" si="36"/>
        <v>Yes</v>
      </c>
      <c r="Q273">
        <f t="shared" si="37"/>
        <v>18.02</v>
      </c>
      <c r="R273">
        <f t="shared" si="38"/>
        <v>26.31</v>
      </c>
      <c r="S273">
        <f t="shared" si="39"/>
        <v>3.93</v>
      </c>
      <c r="T273" t="str">
        <f t="shared" si="40"/>
        <v>Delayed</v>
      </c>
      <c r="U273" t="str">
        <f t="shared" si="41"/>
        <v>High</v>
      </c>
      <c r="V273" t="str">
        <f t="shared" si="42"/>
        <v>Medium Risk</v>
      </c>
      <c r="W273" t="str">
        <f t="shared" si="43"/>
        <v>Aug</v>
      </c>
      <c r="X273">
        <f t="shared" si="44"/>
        <v>2025</v>
      </c>
    </row>
    <row r="274" spans="1:24" x14ac:dyDescent="0.35">
      <c r="A274" s="3">
        <v>45891</v>
      </c>
      <c r="B274" t="s">
        <v>417</v>
      </c>
      <c r="C274" t="s">
        <v>25</v>
      </c>
      <c r="D274" t="s">
        <v>418</v>
      </c>
      <c r="E274" t="s">
        <v>63</v>
      </c>
      <c r="F274" t="s">
        <v>28</v>
      </c>
      <c r="G274" t="s">
        <v>71</v>
      </c>
      <c r="H274">
        <v>66.099999999999994</v>
      </c>
      <c r="I274">
        <v>1968</v>
      </c>
      <c r="J274">
        <v>66</v>
      </c>
      <c r="K274">
        <v>21.4</v>
      </c>
      <c r="L274" t="s">
        <v>49</v>
      </c>
      <c r="M274">
        <v>37589.4</v>
      </c>
      <c r="N274">
        <v>29894</v>
      </c>
      <c r="O274" t="s">
        <v>31</v>
      </c>
      <c r="P274" t="str">
        <f t="shared" si="36"/>
        <v>Yes</v>
      </c>
      <c r="Q274">
        <f t="shared" si="37"/>
        <v>29.77</v>
      </c>
      <c r="R274">
        <f t="shared" si="38"/>
        <v>19.100000000000001</v>
      </c>
      <c r="S274">
        <f t="shared" si="39"/>
        <v>1.26</v>
      </c>
      <c r="T274" t="str">
        <f t="shared" si="40"/>
        <v>Delayed</v>
      </c>
      <c r="U274" t="str">
        <f t="shared" si="41"/>
        <v>High</v>
      </c>
      <c r="V274" t="str">
        <f t="shared" si="42"/>
        <v>High Risk</v>
      </c>
      <c r="W274" t="str">
        <f t="shared" si="43"/>
        <v>Aug</v>
      </c>
      <c r="X274">
        <f t="shared" si="44"/>
        <v>2025</v>
      </c>
    </row>
    <row r="275" spans="1:24" x14ac:dyDescent="0.35">
      <c r="A275" s="3">
        <v>45846</v>
      </c>
      <c r="B275" t="s">
        <v>190</v>
      </c>
      <c r="C275" t="s">
        <v>39</v>
      </c>
      <c r="D275" t="s">
        <v>419</v>
      </c>
      <c r="E275" t="s">
        <v>27</v>
      </c>
      <c r="F275" t="s">
        <v>41</v>
      </c>
      <c r="G275" t="s">
        <v>71</v>
      </c>
      <c r="H275">
        <v>41.3</v>
      </c>
      <c r="I275">
        <v>4270</v>
      </c>
      <c r="J275">
        <v>91</v>
      </c>
      <c r="K275">
        <v>20.7</v>
      </c>
      <c r="L275" t="s">
        <v>49</v>
      </c>
      <c r="M275">
        <v>24403.83</v>
      </c>
      <c r="N275">
        <v>26428</v>
      </c>
      <c r="O275" t="s">
        <v>91</v>
      </c>
      <c r="P275" t="str">
        <f t="shared" si="36"/>
        <v>Yes</v>
      </c>
      <c r="Q275">
        <f t="shared" si="37"/>
        <v>103.39</v>
      </c>
      <c r="R275">
        <f t="shared" si="38"/>
        <v>5.72</v>
      </c>
      <c r="S275">
        <f t="shared" si="39"/>
        <v>0.92</v>
      </c>
      <c r="T275" t="str">
        <f t="shared" si="40"/>
        <v>Delayed</v>
      </c>
      <c r="U275" t="str">
        <f t="shared" si="41"/>
        <v>Medium</v>
      </c>
      <c r="V275" t="str">
        <f t="shared" si="42"/>
        <v>High Risk</v>
      </c>
      <c r="W275" t="str">
        <f t="shared" si="43"/>
        <v>Jul</v>
      </c>
      <c r="X275">
        <f t="shared" si="44"/>
        <v>2025</v>
      </c>
    </row>
    <row r="276" spans="1:24" x14ac:dyDescent="0.35">
      <c r="A276" s="3">
        <v>45963</v>
      </c>
      <c r="B276" t="s">
        <v>210</v>
      </c>
      <c r="C276" t="s">
        <v>95</v>
      </c>
      <c r="D276" t="s">
        <v>420</v>
      </c>
      <c r="E276" t="s">
        <v>28</v>
      </c>
      <c r="F276" t="s">
        <v>54</v>
      </c>
      <c r="G276" t="s">
        <v>71</v>
      </c>
      <c r="H276">
        <v>24.5</v>
      </c>
      <c r="I276">
        <v>940</v>
      </c>
      <c r="J276">
        <v>76</v>
      </c>
      <c r="K276">
        <v>15.1</v>
      </c>
      <c r="L276" t="s">
        <v>30</v>
      </c>
      <c r="M276">
        <v>15783.99</v>
      </c>
      <c r="N276">
        <v>20586</v>
      </c>
      <c r="O276" t="s">
        <v>59</v>
      </c>
      <c r="P276" t="str">
        <f t="shared" si="36"/>
        <v>Yes</v>
      </c>
      <c r="Q276">
        <f t="shared" si="37"/>
        <v>38.369999999999997</v>
      </c>
      <c r="R276">
        <f t="shared" si="38"/>
        <v>16.79</v>
      </c>
      <c r="S276">
        <f t="shared" si="39"/>
        <v>0.77</v>
      </c>
      <c r="T276" t="str">
        <f t="shared" si="40"/>
        <v>Delayed</v>
      </c>
      <c r="U276" t="str">
        <f t="shared" si="41"/>
        <v>Low</v>
      </c>
      <c r="V276" t="str">
        <f t="shared" si="42"/>
        <v>Medium Risk</v>
      </c>
      <c r="W276" t="str">
        <f t="shared" si="43"/>
        <v>Nov</v>
      </c>
      <c r="X276">
        <f t="shared" si="44"/>
        <v>2025</v>
      </c>
    </row>
    <row r="277" spans="1:24" x14ac:dyDescent="0.35">
      <c r="A277" s="3">
        <v>45925</v>
      </c>
      <c r="B277" t="s">
        <v>171</v>
      </c>
      <c r="C277" t="s">
        <v>95</v>
      </c>
      <c r="D277" t="s">
        <v>421</v>
      </c>
      <c r="E277" t="s">
        <v>66</v>
      </c>
      <c r="F277" t="s">
        <v>54</v>
      </c>
      <c r="G277" t="s">
        <v>71</v>
      </c>
      <c r="H277">
        <v>50.6</v>
      </c>
      <c r="I277">
        <v>3340</v>
      </c>
      <c r="J277">
        <v>53</v>
      </c>
      <c r="K277">
        <v>10</v>
      </c>
      <c r="L277" t="s">
        <v>43</v>
      </c>
      <c r="M277">
        <v>24133.68</v>
      </c>
      <c r="N277">
        <v>11282</v>
      </c>
      <c r="O277" t="s">
        <v>67</v>
      </c>
      <c r="P277" t="str">
        <f t="shared" si="36"/>
        <v>Yes</v>
      </c>
      <c r="Q277">
        <f t="shared" si="37"/>
        <v>66.010000000000005</v>
      </c>
      <c r="R277">
        <f t="shared" si="38"/>
        <v>7.23</v>
      </c>
      <c r="S277">
        <f t="shared" si="39"/>
        <v>2.14</v>
      </c>
      <c r="T277" t="str">
        <f t="shared" si="40"/>
        <v>Delayed</v>
      </c>
      <c r="U277" t="str">
        <f t="shared" si="41"/>
        <v>Medium</v>
      </c>
      <c r="V277" t="str">
        <f t="shared" si="42"/>
        <v>Low Risk</v>
      </c>
      <c r="W277" t="str">
        <f t="shared" si="43"/>
        <v>Sep</v>
      </c>
      <c r="X277">
        <f t="shared" si="44"/>
        <v>2025</v>
      </c>
    </row>
    <row r="278" spans="1:24" x14ac:dyDescent="0.35">
      <c r="A278" s="3">
        <v>45936</v>
      </c>
      <c r="B278" t="s">
        <v>309</v>
      </c>
      <c r="C278" t="s">
        <v>95</v>
      </c>
      <c r="D278" t="s">
        <v>422</v>
      </c>
      <c r="E278" t="s">
        <v>41</v>
      </c>
      <c r="F278" t="s">
        <v>55</v>
      </c>
      <c r="G278" t="s">
        <v>71</v>
      </c>
      <c r="H278">
        <v>42.6</v>
      </c>
      <c r="I278">
        <v>4625</v>
      </c>
      <c r="J278">
        <v>116</v>
      </c>
      <c r="K278">
        <v>14.7</v>
      </c>
      <c r="L278" t="s">
        <v>30</v>
      </c>
      <c r="M278">
        <v>23385.27</v>
      </c>
      <c r="N278">
        <v>23008</v>
      </c>
      <c r="O278" t="s">
        <v>36</v>
      </c>
      <c r="P278" t="str">
        <f t="shared" si="36"/>
        <v>Yes</v>
      </c>
      <c r="Q278">
        <f t="shared" si="37"/>
        <v>108.57</v>
      </c>
      <c r="R278">
        <f t="shared" si="38"/>
        <v>5.0599999999999996</v>
      </c>
      <c r="S278">
        <f t="shared" si="39"/>
        <v>1.02</v>
      </c>
      <c r="T278" t="str">
        <f t="shared" si="40"/>
        <v>Delayed</v>
      </c>
      <c r="U278" t="str">
        <f t="shared" si="41"/>
        <v>Medium</v>
      </c>
      <c r="V278" t="str">
        <f t="shared" si="42"/>
        <v>Medium Risk</v>
      </c>
      <c r="W278" t="str">
        <f t="shared" si="43"/>
        <v>Oct</v>
      </c>
      <c r="X278">
        <f t="shared" si="44"/>
        <v>2025</v>
      </c>
    </row>
    <row r="279" spans="1:24" x14ac:dyDescent="0.35">
      <c r="A279" s="3">
        <v>45696</v>
      </c>
      <c r="B279" t="s">
        <v>185</v>
      </c>
      <c r="C279" t="s">
        <v>69</v>
      </c>
      <c r="D279" t="s">
        <v>423</v>
      </c>
      <c r="E279" t="s">
        <v>54</v>
      </c>
      <c r="F279" t="s">
        <v>41</v>
      </c>
      <c r="G279" t="s">
        <v>29</v>
      </c>
      <c r="H279">
        <v>53.3</v>
      </c>
      <c r="I279">
        <v>3662</v>
      </c>
      <c r="J279">
        <v>103</v>
      </c>
      <c r="K279">
        <v>11.1</v>
      </c>
      <c r="L279" t="s">
        <v>43</v>
      </c>
      <c r="M279">
        <v>33109.03</v>
      </c>
      <c r="N279">
        <v>12698</v>
      </c>
      <c r="O279" t="s">
        <v>50</v>
      </c>
      <c r="P279" t="str">
        <f t="shared" si="36"/>
        <v>Yes</v>
      </c>
      <c r="Q279">
        <f t="shared" si="37"/>
        <v>68.709999999999994</v>
      </c>
      <c r="R279">
        <f t="shared" si="38"/>
        <v>9.0399999999999991</v>
      </c>
      <c r="S279">
        <f t="shared" si="39"/>
        <v>2.61</v>
      </c>
      <c r="T279" t="str">
        <f t="shared" si="40"/>
        <v>Delayed</v>
      </c>
      <c r="U279" t="str">
        <f t="shared" si="41"/>
        <v>Medium</v>
      </c>
      <c r="V279" t="str">
        <f t="shared" si="42"/>
        <v>Low Risk</v>
      </c>
      <c r="W279" t="str">
        <f t="shared" si="43"/>
        <v>Feb</v>
      </c>
      <c r="X279">
        <f t="shared" si="44"/>
        <v>2025</v>
      </c>
    </row>
    <row r="280" spans="1:24" x14ac:dyDescent="0.35">
      <c r="A280" s="3">
        <v>45836</v>
      </c>
      <c r="B280" t="s">
        <v>68</v>
      </c>
      <c r="C280" t="s">
        <v>57</v>
      </c>
      <c r="D280" t="s">
        <v>424</v>
      </c>
      <c r="E280" t="s">
        <v>55</v>
      </c>
      <c r="F280" t="s">
        <v>48</v>
      </c>
      <c r="G280" t="s">
        <v>35</v>
      </c>
      <c r="H280">
        <v>21.7</v>
      </c>
      <c r="I280">
        <v>2482</v>
      </c>
      <c r="J280">
        <v>46</v>
      </c>
      <c r="K280">
        <v>13.5</v>
      </c>
      <c r="L280" t="s">
        <v>49</v>
      </c>
      <c r="M280">
        <v>11282.57</v>
      </c>
      <c r="N280">
        <v>20931</v>
      </c>
      <c r="O280" t="s">
        <v>59</v>
      </c>
      <c r="P280" t="str">
        <f t="shared" si="36"/>
        <v>Yes</v>
      </c>
      <c r="Q280">
        <f t="shared" si="37"/>
        <v>114.38</v>
      </c>
      <c r="R280">
        <f t="shared" si="38"/>
        <v>4.55</v>
      </c>
      <c r="S280">
        <f t="shared" si="39"/>
        <v>0.54</v>
      </c>
      <c r="T280" t="str">
        <f t="shared" si="40"/>
        <v>Delayed</v>
      </c>
      <c r="U280" t="str">
        <f t="shared" si="41"/>
        <v>Low</v>
      </c>
      <c r="V280" t="str">
        <f t="shared" si="42"/>
        <v>High Risk</v>
      </c>
      <c r="W280" t="str">
        <f t="shared" si="43"/>
        <v>Jun</v>
      </c>
      <c r="X280">
        <f t="shared" si="44"/>
        <v>2025</v>
      </c>
    </row>
    <row r="281" spans="1:24" x14ac:dyDescent="0.35">
      <c r="A281" s="3">
        <v>45882</v>
      </c>
      <c r="B281" t="s">
        <v>82</v>
      </c>
      <c r="C281" t="s">
        <v>57</v>
      </c>
      <c r="D281" t="s">
        <v>425</v>
      </c>
      <c r="E281" t="s">
        <v>66</v>
      </c>
      <c r="F281" t="s">
        <v>48</v>
      </c>
      <c r="G281" t="s">
        <v>35</v>
      </c>
      <c r="H281">
        <v>32.799999999999997</v>
      </c>
      <c r="I281">
        <v>3636</v>
      </c>
      <c r="J281">
        <v>45</v>
      </c>
      <c r="K281">
        <v>19.8</v>
      </c>
      <c r="L281" t="s">
        <v>49</v>
      </c>
      <c r="M281">
        <v>15822.91</v>
      </c>
      <c r="N281">
        <v>22082</v>
      </c>
      <c r="O281" t="s">
        <v>36</v>
      </c>
      <c r="P281" t="str">
        <f t="shared" si="36"/>
        <v>Yes</v>
      </c>
      <c r="Q281">
        <f t="shared" si="37"/>
        <v>110.85</v>
      </c>
      <c r="R281">
        <f t="shared" si="38"/>
        <v>4.3499999999999996</v>
      </c>
      <c r="S281">
        <f t="shared" si="39"/>
        <v>0.72</v>
      </c>
      <c r="T281" t="str">
        <f t="shared" si="40"/>
        <v>Delayed</v>
      </c>
      <c r="U281" t="str">
        <f t="shared" si="41"/>
        <v>Low</v>
      </c>
      <c r="V281" t="str">
        <f t="shared" si="42"/>
        <v>High Risk</v>
      </c>
      <c r="W281" t="str">
        <f t="shared" si="43"/>
        <v>Aug</v>
      </c>
      <c r="X281">
        <f t="shared" si="44"/>
        <v>2025</v>
      </c>
    </row>
    <row r="282" spans="1:24" x14ac:dyDescent="0.35">
      <c r="A282" s="3">
        <v>45865</v>
      </c>
      <c r="B282" t="s">
        <v>154</v>
      </c>
      <c r="C282" t="s">
        <v>95</v>
      </c>
      <c r="D282" t="s">
        <v>426</v>
      </c>
      <c r="E282" t="s">
        <v>27</v>
      </c>
      <c r="F282" t="s">
        <v>28</v>
      </c>
      <c r="G282" t="s">
        <v>35</v>
      </c>
      <c r="H282">
        <v>66.599999999999994</v>
      </c>
      <c r="I282">
        <v>3945</v>
      </c>
      <c r="J282">
        <v>58</v>
      </c>
      <c r="K282">
        <v>12.7</v>
      </c>
      <c r="L282" t="s">
        <v>43</v>
      </c>
      <c r="M282">
        <v>30236.51</v>
      </c>
      <c r="N282">
        <v>25055</v>
      </c>
      <c r="O282" t="s">
        <v>44</v>
      </c>
      <c r="P282" t="str">
        <f t="shared" si="36"/>
        <v>Yes</v>
      </c>
      <c r="Q282">
        <f t="shared" si="37"/>
        <v>59.23</v>
      </c>
      <c r="R282">
        <f t="shared" si="38"/>
        <v>7.66</v>
      </c>
      <c r="S282">
        <f t="shared" si="39"/>
        <v>1.21</v>
      </c>
      <c r="T282" t="str">
        <f t="shared" si="40"/>
        <v>Delayed</v>
      </c>
      <c r="U282" t="str">
        <f t="shared" si="41"/>
        <v>High</v>
      </c>
      <c r="V282" t="str">
        <f t="shared" si="42"/>
        <v>Low Risk</v>
      </c>
      <c r="W282" t="str">
        <f t="shared" si="43"/>
        <v>Jul</v>
      </c>
      <c r="X282">
        <f t="shared" si="44"/>
        <v>2025</v>
      </c>
    </row>
    <row r="283" spans="1:24" x14ac:dyDescent="0.35">
      <c r="A283" s="3">
        <v>45933</v>
      </c>
      <c r="B283" t="s">
        <v>100</v>
      </c>
      <c r="C283" t="s">
        <v>57</v>
      </c>
      <c r="D283" t="s">
        <v>427</v>
      </c>
      <c r="E283" t="s">
        <v>66</v>
      </c>
      <c r="F283" t="s">
        <v>27</v>
      </c>
      <c r="G283" t="s">
        <v>42</v>
      </c>
      <c r="H283">
        <v>51.8</v>
      </c>
      <c r="I283">
        <v>2009</v>
      </c>
      <c r="J283">
        <v>105</v>
      </c>
      <c r="K283">
        <v>21.1</v>
      </c>
      <c r="L283" t="s">
        <v>49</v>
      </c>
      <c r="M283">
        <v>34844.07</v>
      </c>
      <c r="N283">
        <v>26479</v>
      </c>
      <c r="O283" t="s">
        <v>44</v>
      </c>
      <c r="P283" t="str">
        <f t="shared" si="36"/>
        <v>Yes</v>
      </c>
      <c r="Q283">
        <f t="shared" si="37"/>
        <v>38.78</v>
      </c>
      <c r="R283">
        <f t="shared" si="38"/>
        <v>17.34</v>
      </c>
      <c r="S283">
        <f t="shared" si="39"/>
        <v>1.32</v>
      </c>
      <c r="T283" t="str">
        <f t="shared" si="40"/>
        <v>Delayed</v>
      </c>
      <c r="U283" t="str">
        <f t="shared" si="41"/>
        <v>Medium</v>
      </c>
      <c r="V283" t="str">
        <f t="shared" si="42"/>
        <v>High Risk</v>
      </c>
      <c r="W283" t="str">
        <f t="shared" si="43"/>
        <v>Oct</v>
      </c>
      <c r="X283">
        <f t="shared" si="44"/>
        <v>2025</v>
      </c>
    </row>
    <row r="284" spans="1:24" x14ac:dyDescent="0.35">
      <c r="A284" s="3">
        <v>45784</v>
      </c>
      <c r="B284" t="s">
        <v>80</v>
      </c>
      <c r="C284" t="s">
        <v>25</v>
      </c>
      <c r="D284" t="s">
        <v>428</v>
      </c>
      <c r="E284" t="s">
        <v>27</v>
      </c>
      <c r="F284" t="s">
        <v>63</v>
      </c>
      <c r="G284" t="s">
        <v>35</v>
      </c>
      <c r="H284">
        <v>75.099999999999994</v>
      </c>
      <c r="I284">
        <v>945</v>
      </c>
      <c r="J284">
        <v>25</v>
      </c>
      <c r="K284">
        <v>10.9</v>
      </c>
      <c r="L284" t="s">
        <v>49</v>
      </c>
      <c r="M284">
        <v>49221.51</v>
      </c>
      <c r="N284">
        <v>22501</v>
      </c>
      <c r="O284" t="s">
        <v>67</v>
      </c>
      <c r="P284" t="str">
        <f t="shared" si="36"/>
        <v>Yes</v>
      </c>
      <c r="Q284">
        <f t="shared" si="37"/>
        <v>12.58</v>
      </c>
      <c r="R284">
        <f t="shared" si="38"/>
        <v>52.09</v>
      </c>
      <c r="S284">
        <f t="shared" si="39"/>
        <v>2.19</v>
      </c>
      <c r="T284" t="str">
        <f t="shared" si="40"/>
        <v>Delayed</v>
      </c>
      <c r="U284" t="str">
        <f t="shared" si="41"/>
        <v>High</v>
      </c>
      <c r="V284" t="str">
        <f t="shared" si="42"/>
        <v>High Risk</v>
      </c>
      <c r="W284" t="str">
        <f t="shared" si="43"/>
        <v>May</v>
      </c>
      <c r="X284">
        <f t="shared" si="44"/>
        <v>2025</v>
      </c>
    </row>
    <row r="285" spans="1:24" x14ac:dyDescent="0.35">
      <c r="A285" s="3">
        <v>45821</v>
      </c>
      <c r="B285" t="s">
        <v>190</v>
      </c>
      <c r="C285" t="s">
        <v>130</v>
      </c>
      <c r="D285" t="s">
        <v>429</v>
      </c>
      <c r="E285" t="s">
        <v>27</v>
      </c>
      <c r="F285" t="s">
        <v>28</v>
      </c>
      <c r="G285" t="s">
        <v>71</v>
      </c>
      <c r="H285">
        <v>56.6</v>
      </c>
      <c r="I285">
        <v>1450</v>
      </c>
      <c r="J285">
        <v>54</v>
      </c>
      <c r="K285">
        <v>16.100000000000001</v>
      </c>
      <c r="L285" t="s">
        <v>43</v>
      </c>
      <c r="M285">
        <v>37394.17</v>
      </c>
      <c r="N285">
        <v>14044</v>
      </c>
      <c r="O285" t="s">
        <v>44</v>
      </c>
      <c r="P285" t="str">
        <f t="shared" si="36"/>
        <v>Yes</v>
      </c>
      <c r="Q285">
        <f t="shared" si="37"/>
        <v>25.62</v>
      </c>
      <c r="R285">
        <f t="shared" si="38"/>
        <v>25.79</v>
      </c>
      <c r="S285">
        <f t="shared" si="39"/>
        <v>2.66</v>
      </c>
      <c r="T285" t="str">
        <f t="shared" si="40"/>
        <v>Delayed</v>
      </c>
      <c r="U285" t="str">
        <f t="shared" si="41"/>
        <v>Medium</v>
      </c>
      <c r="V285" t="str">
        <f t="shared" si="42"/>
        <v>Low Risk</v>
      </c>
      <c r="W285" t="str">
        <f t="shared" si="43"/>
        <v>Jun</v>
      </c>
      <c r="X285">
        <f t="shared" si="44"/>
        <v>2025</v>
      </c>
    </row>
    <row r="286" spans="1:24" x14ac:dyDescent="0.35">
      <c r="A286" s="3">
        <v>45708</v>
      </c>
      <c r="B286" t="s">
        <v>430</v>
      </c>
      <c r="C286" t="s">
        <v>39</v>
      </c>
      <c r="D286" t="s">
        <v>431</v>
      </c>
      <c r="E286" t="s">
        <v>28</v>
      </c>
      <c r="F286" t="s">
        <v>54</v>
      </c>
      <c r="G286" t="s">
        <v>29</v>
      </c>
      <c r="H286">
        <v>30.9</v>
      </c>
      <c r="I286">
        <v>3137</v>
      </c>
      <c r="J286">
        <v>109</v>
      </c>
      <c r="K286">
        <v>10.5</v>
      </c>
      <c r="L286" t="s">
        <v>49</v>
      </c>
      <c r="M286">
        <v>21315.41</v>
      </c>
      <c r="N286">
        <v>26002</v>
      </c>
      <c r="O286" t="s">
        <v>84</v>
      </c>
      <c r="P286" t="str">
        <f t="shared" si="36"/>
        <v>Yes</v>
      </c>
      <c r="Q286">
        <f t="shared" si="37"/>
        <v>101.52</v>
      </c>
      <c r="R286">
        <f t="shared" si="38"/>
        <v>6.79</v>
      </c>
      <c r="S286">
        <f t="shared" si="39"/>
        <v>0.82</v>
      </c>
      <c r="T286" t="str">
        <f t="shared" si="40"/>
        <v>Delayed</v>
      </c>
      <c r="U286" t="str">
        <f t="shared" si="41"/>
        <v>Low</v>
      </c>
      <c r="V286" t="str">
        <f t="shared" si="42"/>
        <v>High Risk</v>
      </c>
      <c r="W286" t="str">
        <f t="shared" si="43"/>
        <v>Feb</v>
      </c>
      <c r="X286">
        <f t="shared" si="44"/>
        <v>2025</v>
      </c>
    </row>
    <row r="287" spans="1:24" x14ac:dyDescent="0.35">
      <c r="A287" s="3">
        <v>45807</v>
      </c>
      <c r="B287" t="s">
        <v>201</v>
      </c>
      <c r="C287" t="s">
        <v>57</v>
      </c>
      <c r="D287" t="s">
        <v>432</v>
      </c>
      <c r="E287" t="s">
        <v>27</v>
      </c>
      <c r="F287" t="s">
        <v>48</v>
      </c>
      <c r="G287" t="s">
        <v>29</v>
      </c>
      <c r="H287">
        <v>52.6</v>
      </c>
      <c r="I287">
        <v>1906</v>
      </c>
      <c r="J287">
        <v>93</v>
      </c>
      <c r="K287">
        <v>11.3</v>
      </c>
      <c r="L287" t="s">
        <v>49</v>
      </c>
      <c r="M287">
        <v>28991.7</v>
      </c>
      <c r="N287">
        <v>15520</v>
      </c>
      <c r="O287" t="s">
        <v>36</v>
      </c>
      <c r="P287" t="str">
        <f t="shared" si="36"/>
        <v>Yes</v>
      </c>
      <c r="Q287">
        <f t="shared" si="37"/>
        <v>36.24</v>
      </c>
      <c r="R287">
        <f t="shared" si="38"/>
        <v>15.21</v>
      </c>
      <c r="S287">
        <f t="shared" si="39"/>
        <v>1.87</v>
      </c>
      <c r="T287" t="str">
        <f t="shared" si="40"/>
        <v>Delayed</v>
      </c>
      <c r="U287" t="str">
        <f t="shared" si="41"/>
        <v>Medium</v>
      </c>
      <c r="V287" t="str">
        <f t="shared" si="42"/>
        <v>High Risk</v>
      </c>
      <c r="W287" t="str">
        <f t="shared" si="43"/>
        <v>May</v>
      </c>
      <c r="X287">
        <f t="shared" si="44"/>
        <v>2025</v>
      </c>
    </row>
    <row r="288" spans="1:24" x14ac:dyDescent="0.35">
      <c r="A288" s="3">
        <v>45900</v>
      </c>
      <c r="B288" t="s">
        <v>73</v>
      </c>
      <c r="C288" t="s">
        <v>39</v>
      </c>
      <c r="D288" t="s">
        <v>433</v>
      </c>
      <c r="E288" t="s">
        <v>28</v>
      </c>
      <c r="F288" t="s">
        <v>48</v>
      </c>
      <c r="G288" t="s">
        <v>71</v>
      </c>
      <c r="H288">
        <v>32.6</v>
      </c>
      <c r="I288">
        <v>4132</v>
      </c>
      <c r="J288">
        <v>61</v>
      </c>
      <c r="K288">
        <v>15.4</v>
      </c>
      <c r="L288" t="s">
        <v>49</v>
      </c>
      <c r="M288">
        <v>18479.21</v>
      </c>
      <c r="N288">
        <v>8473</v>
      </c>
      <c r="O288" t="s">
        <v>50</v>
      </c>
      <c r="P288" t="str">
        <f t="shared" si="36"/>
        <v>Yes</v>
      </c>
      <c r="Q288">
        <f t="shared" si="37"/>
        <v>126.75</v>
      </c>
      <c r="R288">
        <f t="shared" si="38"/>
        <v>4.47</v>
      </c>
      <c r="S288">
        <f t="shared" si="39"/>
        <v>2.1800000000000002</v>
      </c>
      <c r="T288" t="str">
        <f t="shared" si="40"/>
        <v>Delayed</v>
      </c>
      <c r="U288" t="str">
        <f t="shared" si="41"/>
        <v>Low</v>
      </c>
      <c r="V288" t="str">
        <f t="shared" si="42"/>
        <v>High Risk</v>
      </c>
      <c r="W288" t="str">
        <f t="shared" si="43"/>
        <v>Aug</v>
      </c>
      <c r="X288">
        <f t="shared" si="44"/>
        <v>2025</v>
      </c>
    </row>
    <row r="289" spans="1:24" x14ac:dyDescent="0.35">
      <c r="A289" s="3">
        <v>45800</v>
      </c>
      <c r="B289" t="s">
        <v>80</v>
      </c>
      <c r="C289" t="s">
        <v>69</v>
      </c>
      <c r="D289" t="s">
        <v>434</v>
      </c>
      <c r="E289" t="s">
        <v>66</v>
      </c>
      <c r="F289" t="s">
        <v>41</v>
      </c>
      <c r="G289" t="s">
        <v>29</v>
      </c>
      <c r="H289">
        <v>25.4</v>
      </c>
      <c r="I289">
        <v>2045</v>
      </c>
      <c r="J289">
        <v>53</v>
      </c>
      <c r="K289">
        <v>19.600000000000001</v>
      </c>
      <c r="L289" t="s">
        <v>30</v>
      </c>
      <c r="M289">
        <v>13779.35</v>
      </c>
      <c r="N289">
        <v>8490</v>
      </c>
      <c r="O289" t="s">
        <v>84</v>
      </c>
      <c r="P289" t="str">
        <f t="shared" si="36"/>
        <v>Yes</v>
      </c>
      <c r="Q289">
        <f t="shared" si="37"/>
        <v>80.510000000000005</v>
      </c>
      <c r="R289">
        <f t="shared" si="38"/>
        <v>6.74</v>
      </c>
      <c r="S289">
        <f t="shared" si="39"/>
        <v>1.62</v>
      </c>
      <c r="T289" t="str">
        <f t="shared" si="40"/>
        <v>Delayed</v>
      </c>
      <c r="U289" t="str">
        <f t="shared" si="41"/>
        <v>Low</v>
      </c>
      <c r="V289" t="str">
        <f t="shared" si="42"/>
        <v>Medium Risk</v>
      </c>
      <c r="W289" t="str">
        <f t="shared" si="43"/>
        <v>May</v>
      </c>
      <c r="X289">
        <f t="shared" si="44"/>
        <v>2025</v>
      </c>
    </row>
    <row r="290" spans="1:24" x14ac:dyDescent="0.35">
      <c r="A290" s="3">
        <v>45895</v>
      </c>
      <c r="B290" t="s">
        <v>64</v>
      </c>
      <c r="C290" t="s">
        <v>95</v>
      </c>
      <c r="D290" t="s">
        <v>435</v>
      </c>
      <c r="E290" t="s">
        <v>41</v>
      </c>
      <c r="F290" t="s">
        <v>63</v>
      </c>
      <c r="G290" t="s">
        <v>29</v>
      </c>
      <c r="H290">
        <v>75.2</v>
      </c>
      <c r="I290">
        <v>3739</v>
      </c>
      <c r="J290">
        <v>50</v>
      </c>
      <c r="K290">
        <v>20</v>
      </c>
      <c r="L290" t="s">
        <v>78</v>
      </c>
      <c r="M290">
        <v>47816.81</v>
      </c>
      <c r="N290">
        <v>13527</v>
      </c>
      <c r="O290" t="s">
        <v>31</v>
      </c>
      <c r="P290" t="str">
        <f t="shared" si="36"/>
        <v>No</v>
      </c>
      <c r="Q290">
        <f t="shared" si="37"/>
        <v>49.72</v>
      </c>
      <c r="R290">
        <f t="shared" si="38"/>
        <v>12.79</v>
      </c>
      <c r="S290">
        <f t="shared" si="39"/>
        <v>3.53</v>
      </c>
      <c r="T290" t="str">
        <f t="shared" si="40"/>
        <v>On Time</v>
      </c>
      <c r="U290" t="str">
        <f t="shared" si="41"/>
        <v>High</v>
      </c>
      <c r="V290" t="str">
        <f t="shared" si="42"/>
        <v>Low Risk</v>
      </c>
      <c r="W290" t="str">
        <f t="shared" si="43"/>
        <v>Aug</v>
      </c>
      <c r="X290">
        <f t="shared" si="44"/>
        <v>2025</v>
      </c>
    </row>
    <row r="291" spans="1:24" x14ac:dyDescent="0.35">
      <c r="A291" s="3">
        <v>45773</v>
      </c>
      <c r="B291" t="s">
        <v>195</v>
      </c>
      <c r="C291" t="s">
        <v>57</v>
      </c>
      <c r="D291" t="s">
        <v>436</v>
      </c>
      <c r="E291" t="s">
        <v>27</v>
      </c>
      <c r="F291" t="s">
        <v>28</v>
      </c>
      <c r="G291" t="s">
        <v>71</v>
      </c>
      <c r="H291">
        <v>32.299999999999997</v>
      </c>
      <c r="I291">
        <v>2882</v>
      </c>
      <c r="J291">
        <v>114</v>
      </c>
      <c r="K291">
        <v>11.2</v>
      </c>
      <c r="L291" t="s">
        <v>78</v>
      </c>
      <c r="M291">
        <v>14962.27</v>
      </c>
      <c r="N291">
        <v>24208</v>
      </c>
      <c r="O291" t="s">
        <v>44</v>
      </c>
      <c r="P291" t="str">
        <f t="shared" si="36"/>
        <v>No</v>
      </c>
      <c r="Q291">
        <f t="shared" si="37"/>
        <v>89.23</v>
      </c>
      <c r="R291">
        <f t="shared" si="38"/>
        <v>5.19</v>
      </c>
      <c r="S291">
        <f t="shared" si="39"/>
        <v>0.62</v>
      </c>
      <c r="T291" t="str">
        <f t="shared" si="40"/>
        <v>On Time</v>
      </c>
      <c r="U291" t="str">
        <f t="shared" si="41"/>
        <v>Low</v>
      </c>
      <c r="V291" t="str">
        <f t="shared" si="42"/>
        <v>Low Risk</v>
      </c>
      <c r="W291" t="str">
        <f t="shared" si="43"/>
        <v>Apr</v>
      </c>
      <c r="X291">
        <f t="shared" si="44"/>
        <v>2025</v>
      </c>
    </row>
    <row r="292" spans="1:24" x14ac:dyDescent="0.35">
      <c r="A292" s="3">
        <v>45726</v>
      </c>
      <c r="B292" t="s">
        <v>152</v>
      </c>
      <c r="C292" t="s">
        <v>39</v>
      </c>
      <c r="D292" t="s">
        <v>437</v>
      </c>
      <c r="E292" t="s">
        <v>66</v>
      </c>
      <c r="F292" t="s">
        <v>55</v>
      </c>
      <c r="G292" t="s">
        <v>71</v>
      </c>
      <c r="H292">
        <v>65.099999999999994</v>
      </c>
      <c r="I292">
        <v>2244</v>
      </c>
      <c r="J292">
        <v>98</v>
      </c>
      <c r="K292">
        <v>16.3</v>
      </c>
      <c r="L292" t="s">
        <v>78</v>
      </c>
      <c r="M292">
        <v>38019.61</v>
      </c>
      <c r="N292">
        <v>17749</v>
      </c>
      <c r="O292" t="s">
        <v>67</v>
      </c>
      <c r="P292" t="str">
        <f t="shared" si="36"/>
        <v>No</v>
      </c>
      <c r="Q292">
        <f t="shared" si="37"/>
        <v>34.47</v>
      </c>
      <c r="R292">
        <f t="shared" si="38"/>
        <v>16.940000000000001</v>
      </c>
      <c r="S292">
        <f t="shared" si="39"/>
        <v>2.14</v>
      </c>
      <c r="T292" t="str">
        <f t="shared" si="40"/>
        <v>On Time</v>
      </c>
      <c r="U292" t="str">
        <f t="shared" si="41"/>
        <v>High</v>
      </c>
      <c r="V292" t="str">
        <f t="shared" si="42"/>
        <v>Low Risk</v>
      </c>
      <c r="W292" t="str">
        <f t="shared" si="43"/>
        <v>Mar</v>
      </c>
      <c r="X292">
        <f t="shared" si="44"/>
        <v>2025</v>
      </c>
    </row>
    <row r="293" spans="1:24" x14ac:dyDescent="0.35">
      <c r="A293" s="3">
        <v>45679</v>
      </c>
      <c r="B293" t="s">
        <v>246</v>
      </c>
      <c r="C293" t="s">
        <v>25</v>
      </c>
      <c r="D293" t="s">
        <v>438</v>
      </c>
      <c r="E293" t="s">
        <v>63</v>
      </c>
      <c r="F293" t="s">
        <v>27</v>
      </c>
      <c r="G293" t="s">
        <v>42</v>
      </c>
      <c r="H293">
        <v>30.2</v>
      </c>
      <c r="I293">
        <v>1302</v>
      </c>
      <c r="J293">
        <v>105</v>
      </c>
      <c r="K293">
        <v>17.399999999999999</v>
      </c>
      <c r="L293" t="s">
        <v>78</v>
      </c>
      <c r="M293">
        <v>19630.990000000002</v>
      </c>
      <c r="N293">
        <v>19841</v>
      </c>
      <c r="O293" t="s">
        <v>31</v>
      </c>
      <c r="P293" t="str">
        <f t="shared" si="36"/>
        <v>No</v>
      </c>
      <c r="Q293">
        <f t="shared" si="37"/>
        <v>43.11</v>
      </c>
      <c r="R293">
        <f t="shared" si="38"/>
        <v>15.08</v>
      </c>
      <c r="S293">
        <f t="shared" si="39"/>
        <v>0.99</v>
      </c>
      <c r="T293" t="str">
        <f t="shared" si="40"/>
        <v>On Time</v>
      </c>
      <c r="U293" t="str">
        <f t="shared" si="41"/>
        <v>Low</v>
      </c>
      <c r="V293" t="str">
        <f t="shared" si="42"/>
        <v>Low Risk</v>
      </c>
      <c r="W293" t="str">
        <f t="shared" si="43"/>
        <v>Jan</v>
      </c>
      <c r="X293">
        <f t="shared" si="44"/>
        <v>2025</v>
      </c>
    </row>
    <row r="294" spans="1:24" x14ac:dyDescent="0.35">
      <c r="A294" s="3">
        <v>45834</v>
      </c>
      <c r="B294" t="s">
        <v>73</v>
      </c>
      <c r="C294" t="s">
        <v>57</v>
      </c>
      <c r="D294" t="s">
        <v>439</v>
      </c>
      <c r="E294" t="s">
        <v>54</v>
      </c>
      <c r="F294" t="s">
        <v>55</v>
      </c>
      <c r="G294" t="s">
        <v>29</v>
      </c>
      <c r="H294">
        <v>76.900000000000006</v>
      </c>
      <c r="I294">
        <v>1939</v>
      </c>
      <c r="J294">
        <v>73</v>
      </c>
      <c r="K294">
        <v>16.399999999999999</v>
      </c>
      <c r="L294" t="s">
        <v>78</v>
      </c>
      <c r="M294">
        <v>49635.38</v>
      </c>
      <c r="N294">
        <v>10917</v>
      </c>
      <c r="O294" t="s">
        <v>31</v>
      </c>
      <c r="P294" t="str">
        <f t="shared" si="36"/>
        <v>No</v>
      </c>
      <c r="Q294">
        <f t="shared" si="37"/>
        <v>25.21</v>
      </c>
      <c r="R294">
        <f t="shared" si="38"/>
        <v>25.6</v>
      </c>
      <c r="S294">
        <f t="shared" si="39"/>
        <v>4.55</v>
      </c>
      <c r="T294" t="str">
        <f t="shared" si="40"/>
        <v>On Time</v>
      </c>
      <c r="U294" t="str">
        <f t="shared" si="41"/>
        <v>High</v>
      </c>
      <c r="V294" t="str">
        <f t="shared" si="42"/>
        <v>Low Risk</v>
      </c>
      <c r="W294" t="str">
        <f t="shared" si="43"/>
        <v>Jun</v>
      </c>
      <c r="X294">
        <f t="shared" si="44"/>
        <v>2025</v>
      </c>
    </row>
    <row r="295" spans="1:24" x14ac:dyDescent="0.35">
      <c r="A295" s="3">
        <v>45854</v>
      </c>
      <c r="B295" t="s">
        <v>173</v>
      </c>
      <c r="C295" t="s">
        <v>95</v>
      </c>
      <c r="D295" t="s">
        <v>440</v>
      </c>
      <c r="E295" t="s">
        <v>41</v>
      </c>
      <c r="F295" t="s">
        <v>55</v>
      </c>
      <c r="G295" t="s">
        <v>42</v>
      </c>
      <c r="H295">
        <v>74.2</v>
      </c>
      <c r="I295">
        <v>4787</v>
      </c>
      <c r="J295">
        <v>66</v>
      </c>
      <c r="K295">
        <v>17.899999999999999</v>
      </c>
      <c r="L295" t="s">
        <v>49</v>
      </c>
      <c r="M295">
        <v>39629.410000000003</v>
      </c>
      <c r="N295">
        <v>18903</v>
      </c>
      <c r="O295" t="s">
        <v>91</v>
      </c>
      <c r="P295" t="str">
        <f t="shared" si="36"/>
        <v>Yes</v>
      </c>
      <c r="Q295">
        <f t="shared" si="37"/>
        <v>64.510000000000005</v>
      </c>
      <c r="R295">
        <f t="shared" si="38"/>
        <v>8.2799999999999994</v>
      </c>
      <c r="S295">
        <f t="shared" si="39"/>
        <v>2.1</v>
      </c>
      <c r="T295" t="str">
        <f t="shared" si="40"/>
        <v>Delayed</v>
      </c>
      <c r="U295" t="str">
        <f t="shared" si="41"/>
        <v>High</v>
      </c>
      <c r="V295" t="str">
        <f t="shared" si="42"/>
        <v>High Risk</v>
      </c>
      <c r="W295" t="str">
        <f t="shared" si="43"/>
        <v>Jul</v>
      </c>
      <c r="X295">
        <f t="shared" si="44"/>
        <v>2025</v>
      </c>
    </row>
    <row r="296" spans="1:24" x14ac:dyDescent="0.35">
      <c r="A296" s="3">
        <v>45790</v>
      </c>
      <c r="B296" t="s">
        <v>82</v>
      </c>
      <c r="C296" t="s">
        <v>69</v>
      </c>
      <c r="D296" t="s">
        <v>441</v>
      </c>
      <c r="E296" t="s">
        <v>63</v>
      </c>
      <c r="F296" t="s">
        <v>41</v>
      </c>
      <c r="G296" t="s">
        <v>35</v>
      </c>
      <c r="H296">
        <v>68.599999999999994</v>
      </c>
      <c r="I296">
        <v>4860</v>
      </c>
      <c r="J296">
        <v>52</v>
      </c>
      <c r="K296">
        <v>15.9</v>
      </c>
      <c r="L296" t="s">
        <v>43</v>
      </c>
      <c r="M296">
        <v>32990.57</v>
      </c>
      <c r="N296">
        <v>20332</v>
      </c>
      <c r="O296" t="s">
        <v>67</v>
      </c>
      <c r="P296" t="str">
        <f t="shared" si="36"/>
        <v>Yes</v>
      </c>
      <c r="Q296">
        <f t="shared" si="37"/>
        <v>70.849999999999994</v>
      </c>
      <c r="R296">
        <f t="shared" si="38"/>
        <v>6.79</v>
      </c>
      <c r="S296">
        <f t="shared" si="39"/>
        <v>1.62</v>
      </c>
      <c r="T296" t="str">
        <f t="shared" si="40"/>
        <v>Delayed</v>
      </c>
      <c r="U296" t="str">
        <f t="shared" si="41"/>
        <v>High</v>
      </c>
      <c r="V296" t="str">
        <f t="shared" si="42"/>
        <v>Low Risk</v>
      </c>
      <c r="W296" t="str">
        <f t="shared" si="43"/>
        <v>May</v>
      </c>
      <c r="X296">
        <f t="shared" si="44"/>
        <v>2025</v>
      </c>
    </row>
    <row r="297" spans="1:24" x14ac:dyDescent="0.35">
      <c r="A297" s="3">
        <v>45939</v>
      </c>
      <c r="B297" t="s">
        <v>203</v>
      </c>
      <c r="C297" t="s">
        <v>95</v>
      </c>
      <c r="D297" t="s">
        <v>442</v>
      </c>
      <c r="E297" t="s">
        <v>27</v>
      </c>
      <c r="F297" t="s">
        <v>48</v>
      </c>
      <c r="G297" t="s">
        <v>42</v>
      </c>
      <c r="H297">
        <v>52.7</v>
      </c>
      <c r="I297">
        <v>2237</v>
      </c>
      <c r="J297">
        <v>58</v>
      </c>
      <c r="K297">
        <v>12.7</v>
      </c>
      <c r="L297" t="s">
        <v>43</v>
      </c>
      <c r="M297">
        <v>32777.550000000003</v>
      </c>
      <c r="N297">
        <v>5479</v>
      </c>
      <c r="O297" t="s">
        <v>59</v>
      </c>
      <c r="P297" t="str">
        <f t="shared" si="36"/>
        <v>Yes</v>
      </c>
      <c r="Q297">
        <f t="shared" si="37"/>
        <v>42.45</v>
      </c>
      <c r="R297">
        <f t="shared" si="38"/>
        <v>14.65</v>
      </c>
      <c r="S297">
        <f t="shared" si="39"/>
        <v>5.98</v>
      </c>
      <c r="T297" t="str">
        <f t="shared" si="40"/>
        <v>Delayed</v>
      </c>
      <c r="U297" t="str">
        <f t="shared" si="41"/>
        <v>Medium</v>
      </c>
      <c r="V297" t="str">
        <f t="shared" si="42"/>
        <v>Low Risk</v>
      </c>
      <c r="W297" t="str">
        <f t="shared" si="43"/>
        <v>Oct</v>
      </c>
      <c r="X297">
        <f t="shared" si="44"/>
        <v>2025</v>
      </c>
    </row>
    <row r="298" spans="1:24" x14ac:dyDescent="0.35">
      <c r="A298" s="3">
        <v>45919</v>
      </c>
      <c r="B298" t="s">
        <v>146</v>
      </c>
      <c r="C298" t="s">
        <v>69</v>
      </c>
      <c r="D298" t="s">
        <v>443</v>
      </c>
      <c r="E298" t="s">
        <v>55</v>
      </c>
      <c r="F298" t="s">
        <v>66</v>
      </c>
      <c r="G298" t="s">
        <v>35</v>
      </c>
      <c r="H298">
        <v>29.9</v>
      </c>
      <c r="I298">
        <v>4778</v>
      </c>
      <c r="J298">
        <v>111</v>
      </c>
      <c r="K298">
        <v>21.1</v>
      </c>
      <c r="L298" t="s">
        <v>49</v>
      </c>
      <c r="M298">
        <v>13818.8</v>
      </c>
      <c r="N298">
        <v>16702</v>
      </c>
      <c r="O298" t="s">
        <v>84</v>
      </c>
      <c r="P298" t="str">
        <f t="shared" si="36"/>
        <v>Yes</v>
      </c>
      <c r="Q298">
        <f t="shared" si="37"/>
        <v>159.80000000000001</v>
      </c>
      <c r="R298">
        <f t="shared" si="38"/>
        <v>2.89</v>
      </c>
      <c r="S298">
        <f t="shared" si="39"/>
        <v>0.83</v>
      </c>
      <c r="T298" t="str">
        <f t="shared" si="40"/>
        <v>Delayed</v>
      </c>
      <c r="U298" t="str">
        <f t="shared" si="41"/>
        <v>Low</v>
      </c>
      <c r="V298" t="str">
        <f t="shared" si="42"/>
        <v>High Risk</v>
      </c>
      <c r="W298" t="str">
        <f t="shared" si="43"/>
        <v>Sep</v>
      </c>
      <c r="X298">
        <f t="shared" si="44"/>
        <v>2025</v>
      </c>
    </row>
    <row r="299" spans="1:24" x14ac:dyDescent="0.35">
      <c r="A299" s="3">
        <v>45746</v>
      </c>
      <c r="B299" t="s">
        <v>82</v>
      </c>
      <c r="C299" t="s">
        <v>25</v>
      </c>
      <c r="D299" t="s">
        <v>444</v>
      </c>
      <c r="E299" t="s">
        <v>54</v>
      </c>
      <c r="F299" t="s">
        <v>48</v>
      </c>
      <c r="G299" t="s">
        <v>71</v>
      </c>
      <c r="H299">
        <v>69.599999999999994</v>
      </c>
      <c r="I299">
        <v>4180</v>
      </c>
      <c r="J299">
        <v>81</v>
      </c>
      <c r="K299">
        <v>17.100000000000001</v>
      </c>
      <c r="L299" t="s">
        <v>43</v>
      </c>
      <c r="M299">
        <v>37321.370000000003</v>
      </c>
      <c r="N299">
        <v>11020</v>
      </c>
      <c r="O299" t="s">
        <v>50</v>
      </c>
      <c r="P299" t="str">
        <f t="shared" si="36"/>
        <v>Yes</v>
      </c>
      <c r="Q299">
        <f t="shared" si="37"/>
        <v>60.06</v>
      </c>
      <c r="R299">
        <f t="shared" si="38"/>
        <v>8.93</v>
      </c>
      <c r="S299">
        <f t="shared" si="39"/>
        <v>3.39</v>
      </c>
      <c r="T299" t="str">
        <f t="shared" si="40"/>
        <v>Delayed</v>
      </c>
      <c r="U299" t="str">
        <f t="shared" si="41"/>
        <v>High</v>
      </c>
      <c r="V299" t="str">
        <f t="shared" si="42"/>
        <v>Low Risk</v>
      </c>
      <c r="W299" t="str">
        <f t="shared" si="43"/>
        <v>Mar</v>
      </c>
      <c r="X299">
        <f t="shared" si="44"/>
        <v>2025</v>
      </c>
    </row>
    <row r="300" spans="1:24" x14ac:dyDescent="0.35">
      <c r="A300" s="3">
        <v>46000</v>
      </c>
      <c r="B300" t="s">
        <v>56</v>
      </c>
      <c r="C300" t="s">
        <v>109</v>
      </c>
      <c r="D300" t="s">
        <v>445</v>
      </c>
      <c r="E300" t="s">
        <v>54</v>
      </c>
      <c r="F300" t="s">
        <v>28</v>
      </c>
      <c r="G300" t="s">
        <v>35</v>
      </c>
      <c r="H300">
        <v>54.5</v>
      </c>
      <c r="I300">
        <v>1230</v>
      </c>
      <c r="J300">
        <v>55</v>
      </c>
      <c r="K300">
        <v>16.2</v>
      </c>
      <c r="L300" t="s">
        <v>78</v>
      </c>
      <c r="M300">
        <v>30951.15</v>
      </c>
      <c r="N300">
        <v>14317</v>
      </c>
      <c r="O300" t="s">
        <v>67</v>
      </c>
      <c r="P300" t="str">
        <f t="shared" si="36"/>
        <v>No</v>
      </c>
      <c r="Q300">
        <f t="shared" si="37"/>
        <v>22.57</v>
      </c>
      <c r="R300">
        <f t="shared" si="38"/>
        <v>25.16</v>
      </c>
      <c r="S300">
        <f t="shared" si="39"/>
        <v>2.16</v>
      </c>
      <c r="T300" t="str">
        <f t="shared" si="40"/>
        <v>On Time</v>
      </c>
      <c r="U300" t="str">
        <f t="shared" si="41"/>
        <v>Medium</v>
      </c>
      <c r="V300" t="str">
        <f t="shared" si="42"/>
        <v>Low Risk</v>
      </c>
      <c r="W300" t="str">
        <f t="shared" si="43"/>
        <v>Dec</v>
      </c>
      <c r="X300">
        <f t="shared" si="44"/>
        <v>2025</v>
      </c>
    </row>
    <row r="301" spans="1:24" x14ac:dyDescent="0.35">
      <c r="A301" s="3">
        <v>45984</v>
      </c>
      <c r="B301" t="s">
        <v>139</v>
      </c>
      <c r="C301" t="s">
        <v>69</v>
      </c>
      <c r="D301" t="s">
        <v>446</v>
      </c>
      <c r="E301" t="s">
        <v>63</v>
      </c>
      <c r="F301" t="s">
        <v>54</v>
      </c>
      <c r="G301" t="s">
        <v>35</v>
      </c>
      <c r="H301">
        <v>66.900000000000006</v>
      </c>
      <c r="I301">
        <v>3860</v>
      </c>
      <c r="J301">
        <v>75</v>
      </c>
      <c r="K301">
        <v>12.3</v>
      </c>
      <c r="L301" t="s">
        <v>43</v>
      </c>
      <c r="M301">
        <v>44641.64</v>
      </c>
      <c r="N301">
        <v>19584</v>
      </c>
      <c r="O301" t="s">
        <v>44</v>
      </c>
      <c r="P301" t="str">
        <f t="shared" si="36"/>
        <v>Yes</v>
      </c>
      <c r="Q301">
        <f t="shared" si="37"/>
        <v>57.7</v>
      </c>
      <c r="R301">
        <f t="shared" si="38"/>
        <v>11.57</v>
      </c>
      <c r="S301">
        <f t="shared" si="39"/>
        <v>2.2799999999999998</v>
      </c>
      <c r="T301" t="str">
        <f t="shared" si="40"/>
        <v>Delayed</v>
      </c>
      <c r="U301" t="str">
        <f t="shared" si="41"/>
        <v>High</v>
      </c>
      <c r="V301" t="str">
        <f t="shared" si="42"/>
        <v>Low Risk</v>
      </c>
      <c r="W301" t="str">
        <f t="shared" si="43"/>
        <v>Nov</v>
      </c>
      <c r="X301">
        <f t="shared" si="44"/>
        <v>2025</v>
      </c>
    </row>
    <row r="302" spans="1:24" x14ac:dyDescent="0.35">
      <c r="A302" s="3">
        <v>45826</v>
      </c>
      <c r="B302" t="s">
        <v>80</v>
      </c>
      <c r="C302" t="s">
        <v>69</v>
      </c>
      <c r="D302" t="s">
        <v>447</v>
      </c>
      <c r="E302" t="s">
        <v>66</v>
      </c>
      <c r="F302" t="s">
        <v>41</v>
      </c>
      <c r="G302" t="s">
        <v>29</v>
      </c>
      <c r="H302">
        <v>64</v>
      </c>
      <c r="I302">
        <v>2070</v>
      </c>
      <c r="J302">
        <v>70</v>
      </c>
      <c r="K302">
        <v>19.2</v>
      </c>
      <c r="L302" t="s">
        <v>49</v>
      </c>
      <c r="M302">
        <v>34250.36</v>
      </c>
      <c r="N302">
        <v>12302</v>
      </c>
      <c r="O302" t="s">
        <v>84</v>
      </c>
      <c r="P302" t="str">
        <f t="shared" si="36"/>
        <v>Yes</v>
      </c>
      <c r="Q302">
        <f t="shared" si="37"/>
        <v>32.340000000000003</v>
      </c>
      <c r="R302">
        <f t="shared" si="38"/>
        <v>16.55</v>
      </c>
      <c r="S302">
        <f t="shared" si="39"/>
        <v>2.78</v>
      </c>
      <c r="T302" t="str">
        <f t="shared" si="40"/>
        <v>Delayed</v>
      </c>
      <c r="U302" t="str">
        <f t="shared" si="41"/>
        <v>High</v>
      </c>
      <c r="V302" t="str">
        <f t="shared" si="42"/>
        <v>High Risk</v>
      </c>
      <c r="W302" t="str">
        <f t="shared" si="43"/>
        <v>Jun</v>
      </c>
      <c r="X302">
        <f t="shared" si="44"/>
        <v>2025</v>
      </c>
    </row>
    <row r="303" spans="1:24" x14ac:dyDescent="0.35">
      <c r="A303" s="3">
        <v>45916</v>
      </c>
      <c r="B303" t="s">
        <v>317</v>
      </c>
      <c r="C303" t="s">
        <v>52</v>
      </c>
      <c r="D303" t="s">
        <v>448</v>
      </c>
      <c r="E303" t="s">
        <v>28</v>
      </c>
      <c r="F303" t="s">
        <v>55</v>
      </c>
      <c r="G303" t="s">
        <v>71</v>
      </c>
      <c r="H303">
        <v>54.2</v>
      </c>
      <c r="I303">
        <v>3024</v>
      </c>
      <c r="J303">
        <v>93</v>
      </c>
      <c r="K303">
        <v>14.7</v>
      </c>
      <c r="L303" t="s">
        <v>43</v>
      </c>
      <c r="M303">
        <v>27175.7</v>
      </c>
      <c r="N303">
        <v>17353</v>
      </c>
      <c r="O303" t="s">
        <v>50</v>
      </c>
      <c r="P303" t="str">
        <f t="shared" si="36"/>
        <v>Yes</v>
      </c>
      <c r="Q303">
        <f t="shared" si="37"/>
        <v>55.79</v>
      </c>
      <c r="R303">
        <f t="shared" si="38"/>
        <v>8.99</v>
      </c>
      <c r="S303">
        <f t="shared" si="39"/>
        <v>1.57</v>
      </c>
      <c r="T303" t="str">
        <f t="shared" si="40"/>
        <v>Delayed</v>
      </c>
      <c r="U303" t="str">
        <f t="shared" si="41"/>
        <v>Medium</v>
      </c>
      <c r="V303" t="str">
        <f t="shared" si="42"/>
        <v>Low Risk</v>
      </c>
      <c r="W303" t="str">
        <f t="shared" si="43"/>
        <v>Sep</v>
      </c>
      <c r="X303">
        <f t="shared" si="44"/>
        <v>2025</v>
      </c>
    </row>
    <row r="304" spans="1:24" x14ac:dyDescent="0.35">
      <c r="A304" s="3">
        <v>45831</v>
      </c>
      <c r="B304" t="s">
        <v>73</v>
      </c>
      <c r="C304" t="s">
        <v>57</v>
      </c>
      <c r="D304" t="s">
        <v>449</v>
      </c>
      <c r="E304" t="s">
        <v>63</v>
      </c>
      <c r="F304" t="s">
        <v>55</v>
      </c>
      <c r="G304" t="s">
        <v>71</v>
      </c>
      <c r="H304">
        <v>64.400000000000006</v>
      </c>
      <c r="I304">
        <v>1023</v>
      </c>
      <c r="J304">
        <v>40</v>
      </c>
      <c r="K304">
        <v>19.399999999999999</v>
      </c>
      <c r="L304" t="s">
        <v>49</v>
      </c>
      <c r="M304">
        <v>32874.870000000003</v>
      </c>
      <c r="N304">
        <v>8818</v>
      </c>
      <c r="O304" t="s">
        <v>44</v>
      </c>
      <c r="P304" t="str">
        <f t="shared" si="36"/>
        <v>Yes</v>
      </c>
      <c r="Q304">
        <f t="shared" si="37"/>
        <v>15.89</v>
      </c>
      <c r="R304">
        <f t="shared" si="38"/>
        <v>32.14</v>
      </c>
      <c r="S304">
        <f t="shared" si="39"/>
        <v>3.73</v>
      </c>
      <c r="T304" t="str">
        <f t="shared" si="40"/>
        <v>Delayed</v>
      </c>
      <c r="U304" t="str">
        <f t="shared" si="41"/>
        <v>High</v>
      </c>
      <c r="V304" t="str">
        <f t="shared" si="42"/>
        <v>High Risk</v>
      </c>
      <c r="W304" t="str">
        <f t="shared" si="43"/>
        <v>Jun</v>
      </c>
      <c r="X304">
        <f t="shared" si="44"/>
        <v>2025</v>
      </c>
    </row>
    <row r="305" spans="1:24" x14ac:dyDescent="0.35">
      <c r="A305" s="3">
        <v>45958</v>
      </c>
      <c r="B305" t="s">
        <v>311</v>
      </c>
      <c r="C305" t="s">
        <v>57</v>
      </c>
      <c r="D305" t="s">
        <v>450</v>
      </c>
      <c r="E305" t="s">
        <v>54</v>
      </c>
      <c r="F305" t="s">
        <v>63</v>
      </c>
      <c r="G305" t="s">
        <v>71</v>
      </c>
      <c r="H305">
        <v>77.400000000000006</v>
      </c>
      <c r="I305">
        <v>2917</v>
      </c>
      <c r="J305">
        <v>93</v>
      </c>
      <c r="K305">
        <v>10.5</v>
      </c>
      <c r="L305" t="s">
        <v>30</v>
      </c>
      <c r="M305">
        <v>38127.01</v>
      </c>
      <c r="N305">
        <v>16056</v>
      </c>
      <c r="O305" t="s">
        <v>36</v>
      </c>
      <c r="P305" t="str">
        <f t="shared" si="36"/>
        <v>Yes</v>
      </c>
      <c r="Q305">
        <f t="shared" si="37"/>
        <v>37.69</v>
      </c>
      <c r="R305">
        <f t="shared" si="38"/>
        <v>13.07</v>
      </c>
      <c r="S305">
        <f t="shared" si="39"/>
        <v>2.37</v>
      </c>
      <c r="T305" t="str">
        <f t="shared" si="40"/>
        <v>Delayed</v>
      </c>
      <c r="U305" t="str">
        <f t="shared" si="41"/>
        <v>High</v>
      </c>
      <c r="V305" t="str">
        <f t="shared" si="42"/>
        <v>Medium Risk</v>
      </c>
      <c r="W305" t="str">
        <f t="shared" si="43"/>
        <v>Oct</v>
      </c>
      <c r="X305">
        <f t="shared" si="44"/>
        <v>2025</v>
      </c>
    </row>
    <row r="306" spans="1:24" x14ac:dyDescent="0.35">
      <c r="A306" s="3">
        <v>45723</v>
      </c>
      <c r="B306" t="s">
        <v>82</v>
      </c>
      <c r="C306" t="s">
        <v>25</v>
      </c>
      <c r="D306" t="s">
        <v>451</v>
      </c>
      <c r="E306" t="s">
        <v>48</v>
      </c>
      <c r="F306" t="s">
        <v>54</v>
      </c>
      <c r="G306" t="s">
        <v>29</v>
      </c>
      <c r="H306">
        <v>48.5</v>
      </c>
      <c r="I306">
        <v>2495</v>
      </c>
      <c r="J306">
        <v>47</v>
      </c>
      <c r="K306">
        <v>13.9</v>
      </c>
      <c r="L306" t="s">
        <v>78</v>
      </c>
      <c r="M306">
        <v>26200.39</v>
      </c>
      <c r="N306">
        <v>14563</v>
      </c>
      <c r="O306" t="s">
        <v>59</v>
      </c>
      <c r="P306" t="str">
        <f t="shared" si="36"/>
        <v>No</v>
      </c>
      <c r="Q306">
        <f t="shared" si="37"/>
        <v>51.44</v>
      </c>
      <c r="R306">
        <f t="shared" si="38"/>
        <v>10.5</v>
      </c>
      <c r="S306">
        <f t="shared" si="39"/>
        <v>1.8</v>
      </c>
      <c r="T306" t="str">
        <f t="shared" si="40"/>
        <v>On Time</v>
      </c>
      <c r="U306" t="str">
        <f t="shared" si="41"/>
        <v>Medium</v>
      </c>
      <c r="V306" t="str">
        <f t="shared" si="42"/>
        <v>Low Risk</v>
      </c>
      <c r="W306" t="str">
        <f t="shared" si="43"/>
        <v>Mar</v>
      </c>
      <c r="X306">
        <f t="shared" si="44"/>
        <v>2025</v>
      </c>
    </row>
    <row r="307" spans="1:24" x14ac:dyDescent="0.35">
      <c r="A307" s="3">
        <v>45954</v>
      </c>
      <c r="B307" t="s">
        <v>162</v>
      </c>
      <c r="C307" t="s">
        <v>95</v>
      </c>
      <c r="D307" t="s">
        <v>452</v>
      </c>
      <c r="E307" t="s">
        <v>63</v>
      </c>
      <c r="F307" t="s">
        <v>55</v>
      </c>
      <c r="G307" t="s">
        <v>71</v>
      </c>
      <c r="H307">
        <v>58.3</v>
      </c>
      <c r="I307">
        <v>1879</v>
      </c>
      <c r="J307">
        <v>58</v>
      </c>
      <c r="K307">
        <v>17</v>
      </c>
      <c r="L307" t="s">
        <v>30</v>
      </c>
      <c r="M307">
        <v>30488.080000000002</v>
      </c>
      <c r="N307">
        <v>8314</v>
      </c>
      <c r="O307" t="s">
        <v>36</v>
      </c>
      <c r="P307" t="str">
        <f t="shared" si="36"/>
        <v>Yes</v>
      </c>
      <c r="Q307">
        <f t="shared" si="37"/>
        <v>32.229999999999997</v>
      </c>
      <c r="R307">
        <f t="shared" si="38"/>
        <v>16.23</v>
      </c>
      <c r="S307">
        <f t="shared" si="39"/>
        <v>3.67</v>
      </c>
      <c r="T307" t="str">
        <f t="shared" si="40"/>
        <v>Delayed</v>
      </c>
      <c r="U307" t="str">
        <f t="shared" si="41"/>
        <v>Medium</v>
      </c>
      <c r="V307" t="str">
        <f t="shared" si="42"/>
        <v>Medium Risk</v>
      </c>
      <c r="W307" t="str">
        <f t="shared" si="43"/>
        <v>Oct</v>
      </c>
      <c r="X307">
        <f t="shared" si="44"/>
        <v>2025</v>
      </c>
    </row>
    <row r="308" spans="1:24" x14ac:dyDescent="0.35">
      <c r="A308" s="3">
        <v>46003</v>
      </c>
      <c r="B308" t="s">
        <v>82</v>
      </c>
      <c r="C308" t="s">
        <v>57</v>
      </c>
      <c r="D308" t="s">
        <v>453</v>
      </c>
      <c r="E308" t="s">
        <v>28</v>
      </c>
      <c r="F308" t="s">
        <v>63</v>
      </c>
      <c r="G308" t="s">
        <v>35</v>
      </c>
      <c r="H308">
        <v>34.9</v>
      </c>
      <c r="I308">
        <v>3965</v>
      </c>
      <c r="J308">
        <v>55</v>
      </c>
      <c r="K308">
        <v>15</v>
      </c>
      <c r="L308" t="s">
        <v>30</v>
      </c>
      <c r="M308">
        <v>15962.47</v>
      </c>
      <c r="N308">
        <v>8298</v>
      </c>
      <c r="O308" t="s">
        <v>67</v>
      </c>
      <c r="P308" t="str">
        <f t="shared" si="36"/>
        <v>Yes</v>
      </c>
      <c r="Q308">
        <f t="shared" si="37"/>
        <v>113.61</v>
      </c>
      <c r="R308">
        <f t="shared" si="38"/>
        <v>4.03</v>
      </c>
      <c r="S308">
        <f t="shared" si="39"/>
        <v>1.92</v>
      </c>
      <c r="T308" t="str">
        <f t="shared" si="40"/>
        <v>Delayed</v>
      </c>
      <c r="U308" t="str">
        <f t="shared" si="41"/>
        <v>Low</v>
      </c>
      <c r="V308" t="str">
        <f t="shared" si="42"/>
        <v>Medium Risk</v>
      </c>
      <c r="W308" t="str">
        <f t="shared" si="43"/>
        <v>Dec</v>
      </c>
      <c r="X308">
        <f t="shared" si="44"/>
        <v>2025</v>
      </c>
    </row>
    <row r="309" spans="1:24" x14ac:dyDescent="0.35">
      <c r="A309" s="3">
        <v>45784</v>
      </c>
      <c r="B309" t="s">
        <v>129</v>
      </c>
      <c r="C309" t="s">
        <v>57</v>
      </c>
      <c r="D309" t="s">
        <v>454</v>
      </c>
      <c r="E309" t="s">
        <v>48</v>
      </c>
      <c r="F309" t="s">
        <v>54</v>
      </c>
      <c r="G309" t="s">
        <v>29</v>
      </c>
      <c r="H309">
        <v>49.3</v>
      </c>
      <c r="I309">
        <v>1543</v>
      </c>
      <c r="J309">
        <v>21</v>
      </c>
      <c r="K309">
        <v>15.6</v>
      </c>
      <c r="L309" t="s">
        <v>78</v>
      </c>
      <c r="M309">
        <v>27474.5</v>
      </c>
      <c r="N309">
        <v>17037</v>
      </c>
      <c r="O309" t="s">
        <v>31</v>
      </c>
      <c r="P309" t="str">
        <f t="shared" si="36"/>
        <v>No</v>
      </c>
      <c r="Q309">
        <f t="shared" si="37"/>
        <v>31.3</v>
      </c>
      <c r="R309">
        <f t="shared" si="38"/>
        <v>17.809999999999999</v>
      </c>
      <c r="S309">
        <f t="shared" si="39"/>
        <v>1.61</v>
      </c>
      <c r="T309" t="str">
        <f t="shared" si="40"/>
        <v>On Time</v>
      </c>
      <c r="U309" t="str">
        <f t="shared" si="41"/>
        <v>Medium</v>
      </c>
      <c r="V309" t="str">
        <f t="shared" si="42"/>
        <v>Low Risk</v>
      </c>
      <c r="W309" t="str">
        <f t="shared" si="43"/>
        <v>May</v>
      </c>
      <c r="X309">
        <f t="shared" si="44"/>
        <v>2025</v>
      </c>
    </row>
    <row r="310" spans="1:24" x14ac:dyDescent="0.35">
      <c r="A310" s="3">
        <v>45702</v>
      </c>
      <c r="B310" t="s">
        <v>277</v>
      </c>
      <c r="C310" t="s">
        <v>52</v>
      </c>
      <c r="D310" t="s">
        <v>455</v>
      </c>
      <c r="E310" t="s">
        <v>41</v>
      </c>
      <c r="F310" t="s">
        <v>48</v>
      </c>
      <c r="G310" t="s">
        <v>35</v>
      </c>
      <c r="H310">
        <v>42.4</v>
      </c>
      <c r="I310">
        <v>2186</v>
      </c>
      <c r="J310">
        <v>37</v>
      </c>
      <c r="K310">
        <v>20.5</v>
      </c>
      <c r="L310" t="s">
        <v>43</v>
      </c>
      <c r="M310">
        <v>22469.53</v>
      </c>
      <c r="N310">
        <v>28189</v>
      </c>
      <c r="O310" t="s">
        <v>84</v>
      </c>
      <c r="P310" t="str">
        <f t="shared" si="36"/>
        <v>Yes</v>
      </c>
      <c r="Q310">
        <f t="shared" si="37"/>
        <v>51.56</v>
      </c>
      <c r="R310">
        <f t="shared" si="38"/>
        <v>10.28</v>
      </c>
      <c r="S310">
        <f t="shared" si="39"/>
        <v>0.8</v>
      </c>
      <c r="T310" t="str">
        <f t="shared" si="40"/>
        <v>Delayed</v>
      </c>
      <c r="U310" t="str">
        <f t="shared" si="41"/>
        <v>Medium</v>
      </c>
      <c r="V310" t="str">
        <f t="shared" si="42"/>
        <v>Low Risk</v>
      </c>
      <c r="W310" t="str">
        <f t="shared" si="43"/>
        <v>Feb</v>
      </c>
      <c r="X310">
        <f t="shared" si="44"/>
        <v>2025</v>
      </c>
    </row>
    <row r="311" spans="1:24" x14ac:dyDescent="0.35">
      <c r="A311" s="3">
        <v>45811</v>
      </c>
      <c r="B311" t="s">
        <v>201</v>
      </c>
      <c r="C311" t="s">
        <v>39</v>
      </c>
      <c r="D311" t="s">
        <v>456</v>
      </c>
      <c r="E311" t="s">
        <v>41</v>
      </c>
      <c r="F311" t="s">
        <v>27</v>
      </c>
      <c r="G311" t="s">
        <v>29</v>
      </c>
      <c r="H311">
        <v>37</v>
      </c>
      <c r="I311">
        <v>1167</v>
      </c>
      <c r="J311">
        <v>50</v>
      </c>
      <c r="K311">
        <v>12.3</v>
      </c>
      <c r="L311" t="s">
        <v>49</v>
      </c>
      <c r="M311">
        <v>21334.23</v>
      </c>
      <c r="N311">
        <v>22948</v>
      </c>
      <c r="O311" t="s">
        <v>44</v>
      </c>
      <c r="P311" t="str">
        <f t="shared" si="36"/>
        <v>Yes</v>
      </c>
      <c r="Q311">
        <f t="shared" si="37"/>
        <v>31.54</v>
      </c>
      <c r="R311">
        <f t="shared" si="38"/>
        <v>18.28</v>
      </c>
      <c r="S311">
        <f t="shared" si="39"/>
        <v>0.93</v>
      </c>
      <c r="T311" t="str">
        <f t="shared" si="40"/>
        <v>Delayed</v>
      </c>
      <c r="U311" t="str">
        <f t="shared" si="41"/>
        <v>Low</v>
      </c>
      <c r="V311" t="str">
        <f t="shared" si="42"/>
        <v>High Risk</v>
      </c>
      <c r="W311" t="str">
        <f t="shared" si="43"/>
        <v>Jun</v>
      </c>
      <c r="X311">
        <f t="shared" si="44"/>
        <v>2025</v>
      </c>
    </row>
    <row r="312" spans="1:24" x14ac:dyDescent="0.35">
      <c r="A312" s="3">
        <v>45930</v>
      </c>
      <c r="B312" t="s">
        <v>98</v>
      </c>
      <c r="C312" t="s">
        <v>52</v>
      </c>
      <c r="D312" t="s">
        <v>457</v>
      </c>
      <c r="E312" t="s">
        <v>63</v>
      </c>
      <c r="F312" t="s">
        <v>66</v>
      </c>
      <c r="G312" t="s">
        <v>71</v>
      </c>
      <c r="H312">
        <v>64.7</v>
      </c>
      <c r="I312">
        <v>3279</v>
      </c>
      <c r="J312">
        <v>76</v>
      </c>
      <c r="K312">
        <v>11.7</v>
      </c>
      <c r="L312" t="s">
        <v>43</v>
      </c>
      <c r="M312">
        <v>32801.269999999997</v>
      </c>
      <c r="N312">
        <v>27465</v>
      </c>
      <c r="O312" t="s">
        <v>91</v>
      </c>
      <c r="P312" t="str">
        <f t="shared" si="36"/>
        <v>Yes</v>
      </c>
      <c r="Q312">
        <f t="shared" si="37"/>
        <v>50.68</v>
      </c>
      <c r="R312">
        <f t="shared" si="38"/>
        <v>10</v>
      </c>
      <c r="S312">
        <f t="shared" si="39"/>
        <v>1.19</v>
      </c>
      <c r="T312" t="str">
        <f t="shared" si="40"/>
        <v>Delayed</v>
      </c>
      <c r="U312" t="str">
        <f t="shared" si="41"/>
        <v>High</v>
      </c>
      <c r="V312" t="str">
        <f t="shared" si="42"/>
        <v>Low Risk</v>
      </c>
      <c r="W312" t="str">
        <f t="shared" si="43"/>
        <v>Sep</v>
      </c>
      <c r="X312">
        <f t="shared" si="44"/>
        <v>2025</v>
      </c>
    </row>
    <row r="313" spans="1:24" x14ac:dyDescent="0.35">
      <c r="A313" s="3">
        <v>45909</v>
      </c>
      <c r="B313" t="s">
        <v>73</v>
      </c>
      <c r="C313" t="s">
        <v>95</v>
      </c>
      <c r="D313" t="s">
        <v>458</v>
      </c>
      <c r="E313" t="s">
        <v>48</v>
      </c>
      <c r="F313" t="s">
        <v>41</v>
      </c>
      <c r="G313" t="s">
        <v>71</v>
      </c>
      <c r="H313">
        <v>75.8</v>
      </c>
      <c r="I313">
        <v>2859</v>
      </c>
      <c r="J313">
        <v>53</v>
      </c>
      <c r="K313">
        <v>10.8</v>
      </c>
      <c r="L313" t="s">
        <v>49</v>
      </c>
      <c r="M313">
        <v>35493.919999999998</v>
      </c>
      <c r="N313">
        <v>21289</v>
      </c>
      <c r="O313" t="s">
        <v>67</v>
      </c>
      <c r="P313" t="str">
        <f t="shared" si="36"/>
        <v>Yes</v>
      </c>
      <c r="Q313">
        <f t="shared" si="37"/>
        <v>37.72</v>
      </c>
      <c r="R313">
        <f t="shared" si="38"/>
        <v>12.41</v>
      </c>
      <c r="S313">
        <f t="shared" si="39"/>
        <v>1.67</v>
      </c>
      <c r="T313" t="str">
        <f t="shared" si="40"/>
        <v>Delayed</v>
      </c>
      <c r="U313" t="str">
        <f t="shared" si="41"/>
        <v>High</v>
      </c>
      <c r="V313" t="str">
        <f t="shared" si="42"/>
        <v>High Risk</v>
      </c>
      <c r="W313" t="str">
        <f t="shared" si="43"/>
        <v>Sep</v>
      </c>
      <c r="X313">
        <f t="shared" si="44"/>
        <v>2025</v>
      </c>
    </row>
    <row r="314" spans="1:24" x14ac:dyDescent="0.35">
      <c r="A314" s="3">
        <v>46001</v>
      </c>
      <c r="B314" t="s">
        <v>233</v>
      </c>
      <c r="C314" t="s">
        <v>25</v>
      </c>
      <c r="D314" t="s">
        <v>459</v>
      </c>
      <c r="E314" t="s">
        <v>41</v>
      </c>
      <c r="F314" t="s">
        <v>27</v>
      </c>
      <c r="G314" t="s">
        <v>42</v>
      </c>
      <c r="H314">
        <v>22.3</v>
      </c>
      <c r="I314">
        <v>3482</v>
      </c>
      <c r="J314">
        <v>99</v>
      </c>
      <c r="K314">
        <v>21.4</v>
      </c>
      <c r="L314" t="s">
        <v>49</v>
      </c>
      <c r="M314">
        <v>13730.49</v>
      </c>
      <c r="N314">
        <v>5259</v>
      </c>
      <c r="O314" t="s">
        <v>67</v>
      </c>
      <c r="P314" t="str">
        <f t="shared" si="36"/>
        <v>Yes</v>
      </c>
      <c r="Q314">
        <f t="shared" si="37"/>
        <v>156.13999999999999</v>
      </c>
      <c r="R314">
        <f t="shared" si="38"/>
        <v>3.94</v>
      </c>
      <c r="S314">
        <f t="shared" si="39"/>
        <v>2.61</v>
      </c>
      <c r="T314" t="str">
        <f t="shared" si="40"/>
        <v>Delayed</v>
      </c>
      <c r="U314" t="str">
        <f t="shared" si="41"/>
        <v>Low</v>
      </c>
      <c r="V314" t="str">
        <f t="shared" si="42"/>
        <v>High Risk</v>
      </c>
      <c r="W314" t="str">
        <f t="shared" si="43"/>
        <v>Dec</v>
      </c>
      <c r="X314">
        <f t="shared" si="44"/>
        <v>2025</v>
      </c>
    </row>
    <row r="315" spans="1:24" x14ac:dyDescent="0.35">
      <c r="A315" s="3">
        <v>45754</v>
      </c>
      <c r="B315" t="s">
        <v>300</v>
      </c>
      <c r="C315" t="s">
        <v>25</v>
      </c>
      <c r="D315" t="s">
        <v>460</v>
      </c>
      <c r="E315" t="s">
        <v>63</v>
      </c>
      <c r="F315" t="s">
        <v>27</v>
      </c>
      <c r="G315" t="s">
        <v>42</v>
      </c>
      <c r="H315">
        <v>29</v>
      </c>
      <c r="I315">
        <v>3116</v>
      </c>
      <c r="J315">
        <v>29</v>
      </c>
      <c r="K315">
        <v>17.899999999999999</v>
      </c>
      <c r="L315" t="s">
        <v>49</v>
      </c>
      <c r="M315">
        <v>13812.22</v>
      </c>
      <c r="N315">
        <v>27445</v>
      </c>
      <c r="O315" t="s">
        <v>84</v>
      </c>
      <c r="P315" t="str">
        <f t="shared" si="36"/>
        <v>Yes</v>
      </c>
      <c r="Q315">
        <f t="shared" si="37"/>
        <v>107.45</v>
      </c>
      <c r="R315">
        <f t="shared" si="38"/>
        <v>4.43</v>
      </c>
      <c r="S315">
        <f t="shared" si="39"/>
        <v>0.5</v>
      </c>
      <c r="T315" t="str">
        <f t="shared" si="40"/>
        <v>Delayed</v>
      </c>
      <c r="U315" t="str">
        <f t="shared" si="41"/>
        <v>Low</v>
      </c>
      <c r="V315" t="str">
        <f t="shared" si="42"/>
        <v>High Risk</v>
      </c>
      <c r="W315" t="str">
        <f t="shared" si="43"/>
        <v>Apr</v>
      </c>
      <c r="X315">
        <f t="shared" si="44"/>
        <v>2025</v>
      </c>
    </row>
    <row r="316" spans="1:24" x14ac:dyDescent="0.35">
      <c r="A316" s="3">
        <v>45910</v>
      </c>
      <c r="B316" t="s">
        <v>24</v>
      </c>
      <c r="C316" t="s">
        <v>69</v>
      </c>
      <c r="D316" t="s">
        <v>461</v>
      </c>
      <c r="E316" t="s">
        <v>41</v>
      </c>
      <c r="F316" t="s">
        <v>63</v>
      </c>
      <c r="G316" t="s">
        <v>29</v>
      </c>
      <c r="H316">
        <v>74.099999999999994</v>
      </c>
      <c r="I316">
        <v>2226</v>
      </c>
      <c r="J316">
        <v>116</v>
      </c>
      <c r="K316">
        <v>21.8</v>
      </c>
      <c r="L316" t="s">
        <v>43</v>
      </c>
      <c r="M316">
        <v>41560.410000000003</v>
      </c>
      <c r="N316">
        <v>6393</v>
      </c>
      <c r="O316" t="s">
        <v>44</v>
      </c>
      <c r="P316" t="str">
        <f t="shared" si="36"/>
        <v>Yes</v>
      </c>
      <c r="Q316">
        <f t="shared" si="37"/>
        <v>30.04</v>
      </c>
      <c r="R316">
        <f t="shared" si="38"/>
        <v>18.670000000000002</v>
      </c>
      <c r="S316">
        <f t="shared" si="39"/>
        <v>6.5</v>
      </c>
      <c r="T316" t="str">
        <f t="shared" si="40"/>
        <v>Delayed</v>
      </c>
      <c r="U316" t="str">
        <f t="shared" si="41"/>
        <v>High</v>
      </c>
      <c r="V316" t="str">
        <f t="shared" si="42"/>
        <v>Low Risk</v>
      </c>
      <c r="W316" t="str">
        <f t="shared" si="43"/>
        <v>Sep</v>
      </c>
      <c r="X316">
        <f t="shared" si="44"/>
        <v>2025</v>
      </c>
    </row>
    <row r="317" spans="1:24" x14ac:dyDescent="0.35">
      <c r="A317" s="3">
        <v>45853</v>
      </c>
      <c r="B317" t="s">
        <v>33</v>
      </c>
      <c r="C317" t="s">
        <v>109</v>
      </c>
      <c r="D317" t="s">
        <v>462</v>
      </c>
      <c r="E317" t="s">
        <v>41</v>
      </c>
      <c r="F317" t="s">
        <v>48</v>
      </c>
      <c r="G317" t="s">
        <v>35</v>
      </c>
      <c r="H317">
        <v>20.5</v>
      </c>
      <c r="I317">
        <v>4945</v>
      </c>
      <c r="J317">
        <v>118</v>
      </c>
      <c r="K317">
        <v>14</v>
      </c>
      <c r="L317" t="s">
        <v>49</v>
      </c>
      <c r="M317">
        <v>9781.0400000000009</v>
      </c>
      <c r="N317">
        <v>19706</v>
      </c>
      <c r="O317" t="s">
        <v>84</v>
      </c>
      <c r="P317" t="str">
        <f t="shared" si="36"/>
        <v>Yes</v>
      </c>
      <c r="Q317">
        <f t="shared" si="37"/>
        <v>241.22</v>
      </c>
      <c r="R317">
        <f t="shared" si="38"/>
        <v>1.98</v>
      </c>
      <c r="S317">
        <f t="shared" si="39"/>
        <v>0.5</v>
      </c>
      <c r="T317" t="str">
        <f t="shared" si="40"/>
        <v>Delayed</v>
      </c>
      <c r="U317" t="str">
        <f t="shared" si="41"/>
        <v>Low</v>
      </c>
      <c r="V317" t="str">
        <f t="shared" si="42"/>
        <v>High Risk</v>
      </c>
      <c r="W317" t="str">
        <f t="shared" si="43"/>
        <v>Jul</v>
      </c>
      <c r="X317">
        <f t="shared" si="44"/>
        <v>2025</v>
      </c>
    </row>
    <row r="318" spans="1:24" x14ac:dyDescent="0.35">
      <c r="A318" s="3">
        <v>45869</v>
      </c>
      <c r="B318" t="s">
        <v>463</v>
      </c>
      <c r="C318" t="s">
        <v>52</v>
      </c>
      <c r="D318" t="s">
        <v>464</v>
      </c>
      <c r="E318" t="s">
        <v>27</v>
      </c>
      <c r="F318" t="s">
        <v>66</v>
      </c>
      <c r="G318" t="s">
        <v>29</v>
      </c>
      <c r="H318">
        <v>25.3</v>
      </c>
      <c r="I318">
        <v>4472</v>
      </c>
      <c r="J318">
        <v>68</v>
      </c>
      <c r="K318">
        <v>20</v>
      </c>
      <c r="L318" t="s">
        <v>43</v>
      </c>
      <c r="M318">
        <v>15612.77</v>
      </c>
      <c r="N318">
        <v>16927</v>
      </c>
      <c r="O318" t="s">
        <v>36</v>
      </c>
      <c r="P318" t="str">
        <f t="shared" si="36"/>
        <v>Yes</v>
      </c>
      <c r="Q318">
        <f t="shared" si="37"/>
        <v>176.76</v>
      </c>
      <c r="R318">
        <f t="shared" si="38"/>
        <v>3.49</v>
      </c>
      <c r="S318">
        <f t="shared" si="39"/>
        <v>0.92</v>
      </c>
      <c r="T318" t="str">
        <f t="shared" si="40"/>
        <v>Delayed</v>
      </c>
      <c r="U318" t="str">
        <f t="shared" si="41"/>
        <v>Low</v>
      </c>
      <c r="V318" t="str">
        <f t="shared" si="42"/>
        <v>Low Risk</v>
      </c>
      <c r="W318" t="str">
        <f t="shared" si="43"/>
        <v>Jul</v>
      </c>
      <c r="X318">
        <f t="shared" si="44"/>
        <v>2025</v>
      </c>
    </row>
    <row r="319" spans="1:24" x14ac:dyDescent="0.35">
      <c r="A319" s="3">
        <v>45849</v>
      </c>
      <c r="B319" t="s">
        <v>33</v>
      </c>
      <c r="C319" t="s">
        <v>52</v>
      </c>
      <c r="D319" t="s">
        <v>465</v>
      </c>
      <c r="E319" t="s">
        <v>27</v>
      </c>
      <c r="F319" t="s">
        <v>48</v>
      </c>
      <c r="G319" t="s">
        <v>71</v>
      </c>
      <c r="H319">
        <v>48.1</v>
      </c>
      <c r="I319">
        <v>3187</v>
      </c>
      <c r="J319">
        <v>57</v>
      </c>
      <c r="K319">
        <v>14</v>
      </c>
      <c r="L319" t="s">
        <v>78</v>
      </c>
      <c r="M319">
        <v>28395.52</v>
      </c>
      <c r="N319">
        <v>12704</v>
      </c>
      <c r="O319" t="s">
        <v>44</v>
      </c>
      <c r="P319" t="str">
        <f t="shared" si="36"/>
        <v>No</v>
      </c>
      <c r="Q319">
        <f t="shared" si="37"/>
        <v>66.260000000000005</v>
      </c>
      <c r="R319">
        <f t="shared" si="38"/>
        <v>8.91</v>
      </c>
      <c r="S319">
        <f t="shared" si="39"/>
        <v>2.2400000000000002</v>
      </c>
      <c r="T319" t="str">
        <f t="shared" si="40"/>
        <v>On Time</v>
      </c>
      <c r="U319" t="str">
        <f t="shared" si="41"/>
        <v>Medium</v>
      </c>
      <c r="V319" t="str">
        <f t="shared" si="42"/>
        <v>Low Risk</v>
      </c>
      <c r="W319" t="str">
        <f t="shared" si="43"/>
        <v>Jul</v>
      </c>
      <c r="X319">
        <f t="shared" si="44"/>
        <v>2025</v>
      </c>
    </row>
    <row r="320" spans="1:24" x14ac:dyDescent="0.35">
      <c r="A320" s="3">
        <v>45924</v>
      </c>
      <c r="B320" t="s">
        <v>221</v>
      </c>
      <c r="C320" t="s">
        <v>39</v>
      </c>
      <c r="D320" t="s">
        <v>466</v>
      </c>
      <c r="E320" t="s">
        <v>63</v>
      </c>
      <c r="F320" t="s">
        <v>66</v>
      </c>
      <c r="G320" t="s">
        <v>71</v>
      </c>
      <c r="H320">
        <v>76.7</v>
      </c>
      <c r="I320">
        <v>3947</v>
      </c>
      <c r="J320">
        <v>71</v>
      </c>
      <c r="K320">
        <v>15.3</v>
      </c>
      <c r="L320" t="s">
        <v>78</v>
      </c>
      <c r="M320">
        <v>50966</v>
      </c>
      <c r="N320">
        <v>11950</v>
      </c>
      <c r="O320" t="s">
        <v>50</v>
      </c>
      <c r="P320" t="str">
        <f t="shared" si="36"/>
        <v>No</v>
      </c>
      <c r="Q320">
        <f t="shared" si="37"/>
        <v>51.46</v>
      </c>
      <c r="R320">
        <f t="shared" si="38"/>
        <v>12.91</v>
      </c>
      <c r="S320">
        <f t="shared" si="39"/>
        <v>4.26</v>
      </c>
      <c r="T320" t="str">
        <f t="shared" si="40"/>
        <v>On Time</v>
      </c>
      <c r="U320" t="str">
        <f t="shared" si="41"/>
        <v>High</v>
      </c>
      <c r="V320" t="str">
        <f t="shared" si="42"/>
        <v>Low Risk</v>
      </c>
      <c r="W320" t="str">
        <f t="shared" si="43"/>
        <v>Sep</v>
      </c>
      <c r="X320">
        <f t="shared" si="44"/>
        <v>2025</v>
      </c>
    </row>
    <row r="321" spans="1:24" x14ac:dyDescent="0.35">
      <c r="A321" s="3">
        <v>45750</v>
      </c>
      <c r="B321" t="s">
        <v>214</v>
      </c>
      <c r="C321" t="s">
        <v>39</v>
      </c>
      <c r="D321" t="s">
        <v>467</v>
      </c>
      <c r="E321" t="s">
        <v>28</v>
      </c>
      <c r="F321" t="s">
        <v>48</v>
      </c>
      <c r="G321" t="s">
        <v>71</v>
      </c>
      <c r="H321">
        <v>62.4</v>
      </c>
      <c r="I321">
        <v>1475</v>
      </c>
      <c r="J321">
        <v>54</v>
      </c>
      <c r="K321">
        <v>10.1</v>
      </c>
      <c r="L321" t="s">
        <v>78</v>
      </c>
      <c r="M321">
        <v>28246.93</v>
      </c>
      <c r="N321">
        <v>10627</v>
      </c>
      <c r="O321" t="s">
        <v>50</v>
      </c>
      <c r="P321" t="str">
        <f t="shared" si="36"/>
        <v>No</v>
      </c>
      <c r="Q321">
        <f t="shared" si="37"/>
        <v>23.64</v>
      </c>
      <c r="R321">
        <f t="shared" si="38"/>
        <v>19.149999999999999</v>
      </c>
      <c r="S321">
        <f t="shared" si="39"/>
        <v>2.66</v>
      </c>
      <c r="T321" t="str">
        <f t="shared" si="40"/>
        <v>On Time</v>
      </c>
      <c r="U321" t="str">
        <f t="shared" si="41"/>
        <v>High</v>
      </c>
      <c r="V321" t="str">
        <f t="shared" si="42"/>
        <v>Low Risk</v>
      </c>
      <c r="W321" t="str">
        <f t="shared" si="43"/>
        <v>Apr</v>
      </c>
      <c r="X321">
        <f t="shared" si="44"/>
        <v>2025</v>
      </c>
    </row>
    <row r="322" spans="1:24" x14ac:dyDescent="0.35">
      <c r="A322" s="3">
        <v>45730</v>
      </c>
      <c r="B322" t="s">
        <v>173</v>
      </c>
      <c r="C322" t="s">
        <v>109</v>
      </c>
      <c r="D322" t="s">
        <v>468</v>
      </c>
      <c r="E322" t="s">
        <v>41</v>
      </c>
      <c r="F322" t="s">
        <v>55</v>
      </c>
      <c r="G322" t="s">
        <v>71</v>
      </c>
      <c r="H322">
        <v>44.9</v>
      </c>
      <c r="I322">
        <v>3275</v>
      </c>
      <c r="J322">
        <v>47</v>
      </c>
      <c r="K322">
        <v>12.2</v>
      </c>
      <c r="L322" t="s">
        <v>49</v>
      </c>
      <c r="M322">
        <v>20598</v>
      </c>
      <c r="N322">
        <v>6806</v>
      </c>
      <c r="O322" t="s">
        <v>50</v>
      </c>
      <c r="P322" t="str">
        <f t="shared" ref="P322:P385" si="45">IF(OR(L322="Rain",L322="Fog",L322="Storm"),"Yes","No")</f>
        <v>Yes</v>
      </c>
      <c r="Q322">
        <f t="shared" ref="Q322:Q385" si="46">ROUND(I322/H322,2)</f>
        <v>72.94</v>
      </c>
      <c r="R322">
        <f t="shared" ref="R322:R385" si="47">ROUND(M322/I322,2)</f>
        <v>6.29</v>
      </c>
      <c r="S322">
        <f t="shared" ref="S322:S385" si="48">ROUND(M322/N322,2)</f>
        <v>3.03</v>
      </c>
      <c r="T322" t="str">
        <f t="shared" ref="T322:T385" si="49">IF(P322="Yes","Delayed","On Time")</f>
        <v>Delayed</v>
      </c>
      <c r="U322" t="str">
        <f t="shared" ref="U322:U385" si="50">IF(H322&gt;=60,"High",IF(H322&gt;=40,"Medium","Low"))</f>
        <v>Medium</v>
      </c>
      <c r="V322" t="str">
        <f t="shared" ref="V322:V385" si="51">IF(L322="Storm","High Risk",IF(L322="Rain","Medium Risk","Low Risk"))</f>
        <v>High Risk</v>
      </c>
      <c r="W322" t="str">
        <f t="shared" ref="W322:W385" si="52">TEXT(A322,"mmm")</f>
        <v>Mar</v>
      </c>
      <c r="X322">
        <f t="shared" si="44"/>
        <v>2025</v>
      </c>
    </row>
    <row r="323" spans="1:24" x14ac:dyDescent="0.35">
      <c r="A323" s="3">
        <v>45996</v>
      </c>
      <c r="B323" t="s">
        <v>195</v>
      </c>
      <c r="C323" t="s">
        <v>95</v>
      </c>
      <c r="D323" t="s">
        <v>469</v>
      </c>
      <c r="E323" t="s">
        <v>55</v>
      </c>
      <c r="F323" t="s">
        <v>54</v>
      </c>
      <c r="G323" t="s">
        <v>29</v>
      </c>
      <c r="H323">
        <v>36.799999999999997</v>
      </c>
      <c r="I323">
        <v>557</v>
      </c>
      <c r="J323">
        <v>60</v>
      </c>
      <c r="K323">
        <v>12</v>
      </c>
      <c r="L323" t="s">
        <v>49</v>
      </c>
      <c r="M323">
        <v>21210.06</v>
      </c>
      <c r="N323">
        <v>20333</v>
      </c>
      <c r="O323" t="s">
        <v>67</v>
      </c>
      <c r="P323" t="str">
        <f t="shared" si="45"/>
        <v>Yes</v>
      </c>
      <c r="Q323">
        <f t="shared" si="46"/>
        <v>15.14</v>
      </c>
      <c r="R323">
        <f t="shared" si="47"/>
        <v>38.08</v>
      </c>
      <c r="S323">
        <f t="shared" si="48"/>
        <v>1.04</v>
      </c>
      <c r="T323" t="str">
        <f t="shared" si="49"/>
        <v>Delayed</v>
      </c>
      <c r="U323" t="str">
        <f t="shared" si="50"/>
        <v>Low</v>
      </c>
      <c r="V323" t="str">
        <f t="shared" si="51"/>
        <v>High Risk</v>
      </c>
      <c r="W323" t="str">
        <f t="shared" si="52"/>
        <v>Dec</v>
      </c>
      <c r="X323">
        <f t="shared" ref="X323:X386" si="53">YEAR(A323)</f>
        <v>2025</v>
      </c>
    </row>
    <row r="324" spans="1:24" x14ac:dyDescent="0.35">
      <c r="A324" s="3">
        <v>45809</v>
      </c>
      <c r="B324" t="s">
        <v>82</v>
      </c>
      <c r="C324" t="s">
        <v>39</v>
      </c>
      <c r="D324" t="s">
        <v>470</v>
      </c>
      <c r="E324" t="s">
        <v>27</v>
      </c>
      <c r="F324" t="s">
        <v>41</v>
      </c>
      <c r="G324" t="s">
        <v>42</v>
      </c>
      <c r="H324">
        <v>73.8</v>
      </c>
      <c r="I324">
        <v>4446</v>
      </c>
      <c r="J324">
        <v>26</v>
      </c>
      <c r="K324">
        <v>20.7</v>
      </c>
      <c r="L324" t="s">
        <v>30</v>
      </c>
      <c r="M324">
        <v>46442.720000000001</v>
      </c>
      <c r="N324">
        <v>20894</v>
      </c>
      <c r="O324" t="s">
        <v>44</v>
      </c>
      <c r="P324" t="str">
        <f t="shared" si="45"/>
        <v>Yes</v>
      </c>
      <c r="Q324">
        <f t="shared" si="46"/>
        <v>60.24</v>
      </c>
      <c r="R324">
        <f t="shared" si="47"/>
        <v>10.45</v>
      </c>
      <c r="S324">
        <f t="shared" si="48"/>
        <v>2.2200000000000002</v>
      </c>
      <c r="T324" t="str">
        <f t="shared" si="49"/>
        <v>Delayed</v>
      </c>
      <c r="U324" t="str">
        <f t="shared" si="50"/>
        <v>High</v>
      </c>
      <c r="V324" t="str">
        <f t="shared" si="51"/>
        <v>Medium Risk</v>
      </c>
      <c r="W324" t="str">
        <f t="shared" si="52"/>
        <v>Jun</v>
      </c>
      <c r="X324">
        <f t="shared" si="53"/>
        <v>2025</v>
      </c>
    </row>
    <row r="325" spans="1:24" x14ac:dyDescent="0.35">
      <c r="A325" s="3">
        <v>45775</v>
      </c>
      <c r="B325" t="s">
        <v>33</v>
      </c>
      <c r="C325" t="s">
        <v>130</v>
      </c>
      <c r="D325" t="s">
        <v>471</v>
      </c>
      <c r="E325" t="s">
        <v>41</v>
      </c>
      <c r="F325" t="s">
        <v>48</v>
      </c>
      <c r="G325" t="s">
        <v>35</v>
      </c>
      <c r="H325">
        <v>22.1</v>
      </c>
      <c r="I325">
        <v>4985</v>
      </c>
      <c r="J325">
        <v>109</v>
      </c>
      <c r="K325">
        <v>12.3</v>
      </c>
      <c r="L325" t="s">
        <v>49</v>
      </c>
      <c r="M325">
        <v>13551.95</v>
      </c>
      <c r="N325">
        <v>19524</v>
      </c>
      <c r="O325" t="s">
        <v>59</v>
      </c>
      <c r="P325" t="str">
        <f t="shared" si="45"/>
        <v>Yes</v>
      </c>
      <c r="Q325">
        <f t="shared" si="46"/>
        <v>225.57</v>
      </c>
      <c r="R325">
        <f t="shared" si="47"/>
        <v>2.72</v>
      </c>
      <c r="S325">
        <f t="shared" si="48"/>
        <v>0.69</v>
      </c>
      <c r="T325" t="str">
        <f t="shared" si="49"/>
        <v>Delayed</v>
      </c>
      <c r="U325" t="str">
        <f t="shared" si="50"/>
        <v>Low</v>
      </c>
      <c r="V325" t="str">
        <f t="shared" si="51"/>
        <v>High Risk</v>
      </c>
      <c r="W325" t="str">
        <f t="shared" si="52"/>
        <v>Apr</v>
      </c>
      <c r="X325">
        <f t="shared" si="53"/>
        <v>2025</v>
      </c>
    </row>
    <row r="326" spans="1:24" x14ac:dyDescent="0.35">
      <c r="A326" s="3">
        <v>45875</v>
      </c>
      <c r="B326" t="s">
        <v>167</v>
      </c>
      <c r="C326" t="s">
        <v>39</v>
      </c>
      <c r="D326" t="s">
        <v>472</v>
      </c>
      <c r="E326" t="s">
        <v>55</v>
      </c>
      <c r="F326" t="s">
        <v>63</v>
      </c>
      <c r="G326" t="s">
        <v>71</v>
      </c>
      <c r="H326">
        <v>63</v>
      </c>
      <c r="I326">
        <v>880</v>
      </c>
      <c r="J326">
        <v>95</v>
      </c>
      <c r="K326">
        <v>18.600000000000001</v>
      </c>
      <c r="L326" t="s">
        <v>30</v>
      </c>
      <c r="M326">
        <v>29949.18</v>
      </c>
      <c r="N326">
        <v>9347</v>
      </c>
      <c r="O326" t="s">
        <v>59</v>
      </c>
      <c r="P326" t="str">
        <f t="shared" si="45"/>
        <v>Yes</v>
      </c>
      <c r="Q326">
        <f t="shared" si="46"/>
        <v>13.97</v>
      </c>
      <c r="R326">
        <f t="shared" si="47"/>
        <v>34.03</v>
      </c>
      <c r="S326">
        <f t="shared" si="48"/>
        <v>3.2</v>
      </c>
      <c r="T326" t="str">
        <f t="shared" si="49"/>
        <v>Delayed</v>
      </c>
      <c r="U326" t="str">
        <f t="shared" si="50"/>
        <v>High</v>
      </c>
      <c r="V326" t="str">
        <f t="shared" si="51"/>
        <v>Medium Risk</v>
      </c>
      <c r="W326" t="str">
        <f t="shared" si="52"/>
        <v>Aug</v>
      </c>
      <c r="X326">
        <f t="shared" si="53"/>
        <v>2025</v>
      </c>
    </row>
    <row r="327" spans="1:24" x14ac:dyDescent="0.35">
      <c r="A327" s="3">
        <v>45674</v>
      </c>
      <c r="B327" t="s">
        <v>277</v>
      </c>
      <c r="C327" t="s">
        <v>69</v>
      </c>
      <c r="D327" t="s">
        <v>473</v>
      </c>
      <c r="E327" t="s">
        <v>48</v>
      </c>
      <c r="F327" t="s">
        <v>28</v>
      </c>
      <c r="G327" t="s">
        <v>71</v>
      </c>
      <c r="H327">
        <v>31.9</v>
      </c>
      <c r="I327">
        <v>3984</v>
      </c>
      <c r="J327">
        <v>53</v>
      </c>
      <c r="K327">
        <v>16.3</v>
      </c>
      <c r="L327" t="s">
        <v>30</v>
      </c>
      <c r="M327">
        <v>19785.400000000001</v>
      </c>
      <c r="N327">
        <v>15967</v>
      </c>
      <c r="O327" t="s">
        <v>50</v>
      </c>
      <c r="P327" t="str">
        <f t="shared" si="45"/>
        <v>Yes</v>
      </c>
      <c r="Q327">
        <f t="shared" si="46"/>
        <v>124.89</v>
      </c>
      <c r="R327">
        <f t="shared" si="47"/>
        <v>4.97</v>
      </c>
      <c r="S327">
        <f t="shared" si="48"/>
        <v>1.24</v>
      </c>
      <c r="T327" t="str">
        <f t="shared" si="49"/>
        <v>Delayed</v>
      </c>
      <c r="U327" t="str">
        <f t="shared" si="50"/>
        <v>Low</v>
      </c>
      <c r="V327" t="str">
        <f t="shared" si="51"/>
        <v>Medium Risk</v>
      </c>
      <c r="W327" t="str">
        <f t="shared" si="52"/>
        <v>Jan</v>
      </c>
      <c r="X327">
        <f t="shared" si="53"/>
        <v>2025</v>
      </c>
    </row>
    <row r="328" spans="1:24" x14ac:dyDescent="0.35">
      <c r="A328" s="3">
        <v>45949</v>
      </c>
      <c r="B328" t="s">
        <v>102</v>
      </c>
      <c r="C328" t="s">
        <v>69</v>
      </c>
      <c r="D328" t="s">
        <v>474</v>
      </c>
      <c r="E328" t="s">
        <v>54</v>
      </c>
      <c r="F328" t="s">
        <v>41</v>
      </c>
      <c r="G328" t="s">
        <v>29</v>
      </c>
      <c r="H328">
        <v>50</v>
      </c>
      <c r="I328">
        <v>2110</v>
      </c>
      <c r="J328">
        <v>65</v>
      </c>
      <c r="K328">
        <v>16.3</v>
      </c>
      <c r="L328" t="s">
        <v>78</v>
      </c>
      <c r="M328">
        <v>27772.27</v>
      </c>
      <c r="N328">
        <v>18850</v>
      </c>
      <c r="O328" t="s">
        <v>31</v>
      </c>
      <c r="P328" t="str">
        <f t="shared" si="45"/>
        <v>No</v>
      </c>
      <c r="Q328">
        <f t="shared" si="46"/>
        <v>42.2</v>
      </c>
      <c r="R328">
        <f t="shared" si="47"/>
        <v>13.16</v>
      </c>
      <c r="S328">
        <f t="shared" si="48"/>
        <v>1.47</v>
      </c>
      <c r="T328" t="str">
        <f t="shared" si="49"/>
        <v>On Time</v>
      </c>
      <c r="U328" t="str">
        <f t="shared" si="50"/>
        <v>Medium</v>
      </c>
      <c r="V328" t="str">
        <f t="shared" si="51"/>
        <v>Low Risk</v>
      </c>
      <c r="W328" t="str">
        <f t="shared" si="52"/>
        <v>Oct</v>
      </c>
      <c r="X328">
        <f t="shared" si="53"/>
        <v>2025</v>
      </c>
    </row>
    <row r="329" spans="1:24" x14ac:dyDescent="0.35">
      <c r="A329" s="3">
        <v>45891</v>
      </c>
      <c r="B329" t="s">
        <v>417</v>
      </c>
      <c r="C329" t="s">
        <v>39</v>
      </c>
      <c r="D329" t="s">
        <v>475</v>
      </c>
      <c r="E329" t="s">
        <v>41</v>
      </c>
      <c r="F329" t="s">
        <v>28</v>
      </c>
      <c r="G329" t="s">
        <v>42</v>
      </c>
      <c r="H329">
        <v>77.400000000000006</v>
      </c>
      <c r="I329">
        <v>1986</v>
      </c>
      <c r="J329">
        <v>68</v>
      </c>
      <c r="K329">
        <v>21.8</v>
      </c>
      <c r="L329" t="s">
        <v>43</v>
      </c>
      <c r="M329">
        <v>48479.73</v>
      </c>
      <c r="N329">
        <v>26342</v>
      </c>
      <c r="O329" t="s">
        <v>44</v>
      </c>
      <c r="P329" t="str">
        <f t="shared" si="45"/>
        <v>Yes</v>
      </c>
      <c r="Q329">
        <f t="shared" si="46"/>
        <v>25.66</v>
      </c>
      <c r="R329">
        <f t="shared" si="47"/>
        <v>24.41</v>
      </c>
      <c r="S329">
        <f t="shared" si="48"/>
        <v>1.84</v>
      </c>
      <c r="T329" t="str">
        <f t="shared" si="49"/>
        <v>Delayed</v>
      </c>
      <c r="U329" t="str">
        <f t="shared" si="50"/>
        <v>High</v>
      </c>
      <c r="V329" t="str">
        <f t="shared" si="51"/>
        <v>Low Risk</v>
      </c>
      <c r="W329" t="str">
        <f t="shared" si="52"/>
        <v>Aug</v>
      </c>
      <c r="X329">
        <f t="shared" si="53"/>
        <v>2025</v>
      </c>
    </row>
    <row r="330" spans="1:24" x14ac:dyDescent="0.35">
      <c r="A330" s="3">
        <v>45845</v>
      </c>
      <c r="B330" t="s">
        <v>80</v>
      </c>
      <c r="C330" t="s">
        <v>57</v>
      </c>
      <c r="D330" t="s">
        <v>476</v>
      </c>
      <c r="E330" t="s">
        <v>55</v>
      </c>
      <c r="F330" t="s">
        <v>28</v>
      </c>
      <c r="G330" t="s">
        <v>42</v>
      </c>
      <c r="H330">
        <v>62.6</v>
      </c>
      <c r="I330">
        <v>3929</v>
      </c>
      <c r="J330">
        <v>88</v>
      </c>
      <c r="K330">
        <v>20.100000000000001</v>
      </c>
      <c r="L330" t="s">
        <v>30</v>
      </c>
      <c r="M330">
        <v>38246.22</v>
      </c>
      <c r="N330">
        <v>27756</v>
      </c>
      <c r="O330" t="s">
        <v>59</v>
      </c>
      <c r="P330" t="str">
        <f t="shared" si="45"/>
        <v>Yes</v>
      </c>
      <c r="Q330">
        <f t="shared" si="46"/>
        <v>62.76</v>
      </c>
      <c r="R330">
        <f t="shared" si="47"/>
        <v>9.73</v>
      </c>
      <c r="S330">
        <f t="shared" si="48"/>
        <v>1.38</v>
      </c>
      <c r="T330" t="str">
        <f t="shared" si="49"/>
        <v>Delayed</v>
      </c>
      <c r="U330" t="str">
        <f t="shared" si="50"/>
        <v>High</v>
      </c>
      <c r="V330" t="str">
        <f t="shared" si="51"/>
        <v>Medium Risk</v>
      </c>
      <c r="W330" t="str">
        <f t="shared" si="52"/>
        <v>Jul</v>
      </c>
      <c r="X330">
        <f t="shared" si="53"/>
        <v>2025</v>
      </c>
    </row>
    <row r="331" spans="1:24" x14ac:dyDescent="0.35">
      <c r="A331" s="3">
        <v>45796</v>
      </c>
      <c r="B331" t="s">
        <v>64</v>
      </c>
      <c r="C331" t="s">
        <v>57</v>
      </c>
      <c r="D331" t="s">
        <v>477</v>
      </c>
      <c r="E331" t="s">
        <v>54</v>
      </c>
      <c r="F331" t="s">
        <v>27</v>
      </c>
      <c r="G331" t="s">
        <v>42</v>
      </c>
      <c r="H331">
        <v>42.6</v>
      </c>
      <c r="I331">
        <v>1354</v>
      </c>
      <c r="J331">
        <v>56</v>
      </c>
      <c r="K331">
        <v>10.1</v>
      </c>
      <c r="L331" t="s">
        <v>78</v>
      </c>
      <c r="M331">
        <v>25498.36</v>
      </c>
      <c r="N331">
        <v>17676</v>
      </c>
      <c r="O331" t="s">
        <v>59</v>
      </c>
      <c r="P331" t="str">
        <f t="shared" si="45"/>
        <v>No</v>
      </c>
      <c r="Q331">
        <f t="shared" si="46"/>
        <v>31.78</v>
      </c>
      <c r="R331">
        <f t="shared" si="47"/>
        <v>18.829999999999998</v>
      </c>
      <c r="S331">
        <f t="shared" si="48"/>
        <v>1.44</v>
      </c>
      <c r="T331" t="str">
        <f t="shared" si="49"/>
        <v>On Time</v>
      </c>
      <c r="U331" t="str">
        <f t="shared" si="50"/>
        <v>Medium</v>
      </c>
      <c r="V331" t="str">
        <f t="shared" si="51"/>
        <v>Low Risk</v>
      </c>
      <c r="W331" t="str">
        <f t="shared" si="52"/>
        <v>May</v>
      </c>
      <c r="X331">
        <f t="shared" si="53"/>
        <v>2025</v>
      </c>
    </row>
    <row r="332" spans="1:24" x14ac:dyDescent="0.35">
      <c r="A332" s="3">
        <v>45729</v>
      </c>
      <c r="B332" t="s">
        <v>291</v>
      </c>
      <c r="C332" t="s">
        <v>109</v>
      </c>
      <c r="D332" t="s">
        <v>478</v>
      </c>
      <c r="E332" t="s">
        <v>55</v>
      </c>
      <c r="F332" t="s">
        <v>28</v>
      </c>
      <c r="G332" t="s">
        <v>35</v>
      </c>
      <c r="H332">
        <v>78.8</v>
      </c>
      <c r="I332">
        <v>1597</v>
      </c>
      <c r="J332">
        <v>109</v>
      </c>
      <c r="K332">
        <v>17.600000000000001</v>
      </c>
      <c r="L332" t="s">
        <v>78</v>
      </c>
      <c r="M332">
        <v>49359.29</v>
      </c>
      <c r="N332">
        <v>28710</v>
      </c>
      <c r="O332" t="s">
        <v>91</v>
      </c>
      <c r="P332" t="str">
        <f t="shared" si="45"/>
        <v>No</v>
      </c>
      <c r="Q332">
        <f t="shared" si="46"/>
        <v>20.27</v>
      </c>
      <c r="R332">
        <f t="shared" si="47"/>
        <v>30.91</v>
      </c>
      <c r="S332">
        <f t="shared" si="48"/>
        <v>1.72</v>
      </c>
      <c r="T332" t="str">
        <f t="shared" si="49"/>
        <v>On Time</v>
      </c>
      <c r="U332" t="str">
        <f t="shared" si="50"/>
        <v>High</v>
      </c>
      <c r="V332" t="str">
        <f t="shared" si="51"/>
        <v>Low Risk</v>
      </c>
      <c r="W332" t="str">
        <f t="shared" si="52"/>
        <v>Mar</v>
      </c>
      <c r="X332">
        <f t="shared" si="53"/>
        <v>2025</v>
      </c>
    </row>
    <row r="333" spans="1:24" x14ac:dyDescent="0.35">
      <c r="A333" s="3">
        <v>45768</v>
      </c>
      <c r="B333" t="s">
        <v>64</v>
      </c>
      <c r="C333" t="s">
        <v>57</v>
      </c>
      <c r="D333" t="s">
        <v>479</v>
      </c>
      <c r="E333" t="s">
        <v>55</v>
      </c>
      <c r="F333" t="s">
        <v>27</v>
      </c>
      <c r="G333" t="s">
        <v>71</v>
      </c>
      <c r="H333">
        <v>61.2</v>
      </c>
      <c r="I333">
        <v>4094</v>
      </c>
      <c r="J333">
        <v>99</v>
      </c>
      <c r="K333">
        <v>12.6</v>
      </c>
      <c r="L333" t="s">
        <v>43</v>
      </c>
      <c r="M333">
        <v>37208.28</v>
      </c>
      <c r="N333">
        <v>26009</v>
      </c>
      <c r="O333" t="s">
        <v>36</v>
      </c>
      <c r="P333" t="str">
        <f t="shared" si="45"/>
        <v>Yes</v>
      </c>
      <c r="Q333">
        <f t="shared" si="46"/>
        <v>66.900000000000006</v>
      </c>
      <c r="R333">
        <f t="shared" si="47"/>
        <v>9.09</v>
      </c>
      <c r="S333">
        <f t="shared" si="48"/>
        <v>1.43</v>
      </c>
      <c r="T333" t="str">
        <f t="shared" si="49"/>
        <v>Delayed</v>
      </c>
      <c r="U333" t="str">
        <f t="shared" si="50"/>
        <v>High</v>
      </c>
      <c r="V333" t="str">
        <f t="shared" si="51"/>
        <v>Low Risk</v>
      </c>
      <c r="W333" t="str">
        <f t="shared" si="52"/>
        <v>Apr</v>
      </c>
      <c r="X333">
        <f t="shared" si="53"/>
        <v>2025</v>
      </c>
    </row>
    <row r="334" spans="1:24" x14ac:dyDescent="0.35">
      <c r="A334" s="3">
        <v>45798</v>
      </c>
      <c r="B334" t="s">
        <v>120</v>
      </c>
      <c r="C334" t="s">
        <v>130</v>
      </c>
      <c r="D334" t="s">
        <v>480</v>
      </c>
      <c r="E334" t="s">
        <v>54</v>
      </c>
      <c r="F334" t="s">
        <v>27</v>
      </c>
      <c r="G334" t="s">
        <v>42</v>
      </c>
      <c r="H334">
        <v>63.9</v>
      </c>
      <c r="I334">
        <v>4724</v>
      </c>
      <c r="J334">
        <v>43</v>
      </c>
      <c r="K334">
        <v>19.3</v>
      </c>
      <c r="L334" t="s">
        <v>78</v>
      </c>
      <c r="M334">
        <v>41538.879999999997</v>
      </c>
      <c r="N334">
        <v>14126</v>
      </c>
      <c r="O334" t="s">
        <v>67</v>
      </c>
      <c r="P334" t="str">
        <f t="shared" si="45"/>
        <v>No</v>
      </c>
      <c r="Q334">
        <f t="shared" si="46"/>
        <v>73.930000000000007</v>
      </c>
      <c r="R334">
        <f t="shared" si="47"/>
        <v>8.7899999999999991</v>
      </c>
      <c r="S334">
        <f t="shared" si="48"/>
        <v>2.94</v>
      </c>
      <c r="T334" t="str">
        <f t="shared" si="49"/>
        <v>On Time</v>
      </c>
      <c r="U334" t="str">
        <f t="shared" si="50"/>
        <v>High</v>
      </c>
      <c r="V334" t="str">
        <f t="shared" si="51"/>
        <v>Low Risk</v>
      </c>
      <c r="W334" t="str">
        <f t="shared" si="52"/>
        <v>May</v>
      </c>
      <c r="X334">
        <f t="shared" si="53"/>
        <v>2025</v>
      </c>
    </row>
    <row r="335" spans="1:24" x14ac:dyDescent="0.35">
      <c r="A335" s="3">
        <v>45738</v>
      </c>
      <c r="B335" t="s">
        <v>190</v>
      </c>
      <c r="C335" t="s">
        <v>39</v>
      </c>
      <c r="D335" t="s">
        <v>481</v>
      </c>
      <c r="E335" t="s">
        <v>28</v>
      </c>
      <c r="F335" t="s">
        <v>48</v>
      </c>
      <c r="G335" t="s">
        <v>29</v>
      </c>
      <c r="H335">
        <v>75.599999999999994</v>
      </c>
      <c r="I335">
        <v>3879</v>
      </c>
      <c r="J335">
        <v>50</v>
      </c>
      <c r="K335">
        <v>15.3</v>
      </c>
      <c r="L335" t="s">
        <v>78</v>
      </c>
      <c r="M335">
        <v>52556.71</v>
      </c>
      <c r="N335">
        <v>12841</v>
      </c>
      <c r="O335" t="s">
        <v>36</v>
      </c>
      <c r="P335" t="str">
        <f t="shared" si="45"/>
        <v>No</v>
      </c>
      <c r="Q335">
        <f t="shared" si="46"/>
        <v>51.31</v>
      </c>
      <c r="R335">
        <f t="shared" si="47"/>
        <v>13.55</v>
      </c>
      <c r="S335">
        <f t="shared" si="48"/>
        <v>4.09</v>
      </c>
      <c r="T335" t="str">
        <f t="shared" si="49"/>
        <v>On Time</v>
      </c>
      <c r="U335" t="str">
        <f t="shared" si="50"/>
        <v>High</v>
      </c>
      <c r="V335" t="str">
        <f t="shared" si="51"/>
        <v>Low Risk</v>
      </c>
      <c r="W335" t="str">
        <f t="shared" si="52"/>
        <v>Mar</v>
      </c>
      <c r="X335">
        <f t="shared" si="53"/>
        <v>2025</v>
      </c>
    </row>
    <row r="336" spans="1:24" x14ac:dyDescent="0.35">
      <c r="A336" s="3">
        <v>45770</v>
      </c>
      <c r="B336" t="s">
        <v>111</v>
      </c>
      <c r="C336" t="s">
        <v>130</v>
      </c>
      <c r="D336" t="s">
        <v>482</v>
      </c>
      <c r="E336" t="s">
        <v>66</v>
      </c>
      <c r="F336" t="s">
        <v>54</v>
      </c>
      <c r="G336" t="s">
        <v>35</v>
      </c>
      <c r="H336">
        <v>40.5</v>
      </c>
      <c r="I336">
        <v>1993</v>
      </c>
      <c r="J336">
        <v>104</v>
      </c>
      <c r="K336">
        <v>18.399999999999999</v>
      </c>
      <c r="L336" t="s">
        <v>78</v>
      </c>
      <c r="M336">
        <v>24974.29</v>
      </c>
      <c r="N336">
        <v>20117</v>
      </c>
      <c r="O336" t="s">
        <v>44</v>
      </c>
      <c r="P336" t="str">
        <f t="shared" si="45"/>
        <v>No</v>
      </c>
      <c r="Q336">
        <f t="shared" si="46"/>
        <v>49.21</v>
      </c>
      <c r="R336">
        <f t="shared" si="47"/>
        <v>12.53</v>
      </c>
      <c r="S336">
        <f t="shared" si="48"/>
        <v>1.24</v>
      </c>
      <c r="T336" t="str">
        <f t="shared" si="49"/>
        <v>On Time</v>
      </c>
      <c r="U336" t="str">
        <f t="shared" si="50"/>
        <v>Medium</v>
      </c>
      <c r="V336" t="str">
        <f t="shared" si="51"/>
        <v>Low Risk</v>
      </c>
      <c r="W336" t="str">
        <f t="shared" si="52"/>
        <v>Apr</v>
      </c>
      <c r="X336">
        <f t="shared" si="53"/>
        <v>2025</v>
      </c>
    </row>
    <row r="337" spans="1:24" x14ac:dyDescent="0.35">
      <c r="A337" s="3">
        <v>45824</v>
      </c>
      <c r="B337" t="s">
        <v>106</v>
      </c>
      <c r="C337" t="s">
        <v>95</v>
      </c>
      <c r="D337" t="s">
        <v>483</v>
      </c>
      <c r="E337" t="s">
        <v>27</v>
      </c>
      <c r="F337" t="s">
        <v>54</v>
      </c>
      <c r="G337" t="s">
        <v>29</v>
      </c>
      <c r="H337">
        <v>24.8</v>
      </c>
      <c r="I337">
        <v>1230</v>
      </c>
      <c r="J337">
        <v>32</v>
      </c>
      <c r="K337">
        <v>21.5</v>
      </c>
      <c r="L337" t="s">
        <v>49</v>
      </c>
      <c r="M337">
        <v>11984.84</v>
      </c>
      <c r="N337">
        <v>29785</v>
      </c>
      <c r="O337" t="s">
        <v>84</v>
      </c>
      <c r="P337" t="str">
        <f t="shared" si="45"/>
        <v>Yes</v>
      </c>
      <c r="Q337">
        <f t="shared" si="46"/>
        <v>49.6</v>
      </c>
      <c r="R337">
        <f t="shared" si="47"/>
        <v>9.74</v>
      </c>
      <c r="S337">
        <f t="shared" si="48"/>
        <v>0.4</v>
      </c>
      <c r="T337" t="str">
        <f t="shared" si="49"/>
        <v>Delayed</v>
      </c>
      <c r="U337" t="str">
        <f t="shared" si="50"/>
        <v>Low</v>
      </c>
      <c r="V337" t="str">
        <f t="shared" si="51"/>
        <v>High Risk</v>
      </c>
      <c r="W337" t="str">
        <f t="shared" si="52"/>
        <v>Jun</v>
      </c>
      <c r="X337">
        <f t="shared" si="53"/>
        <v>2025</v>
      </c>
    </row>
    <row r="338" spans="1:24" x14ac:dyDescent="0.35">
      <c r="A338" s="3">
        <v>45998</v>
      </c>
      <c r="B338" t="s">
        <v>98</v>
      </c>
      <c r="C338" t="s">
        <v>25</v>
      </c>
      <c r="D338" t="s">
        <v>484</v>
      </c>
      <c r="E338" t="s">
        <v>41</v>
      </c>
      <c r="F338" t="s">
        <v>27</v>
      </c>
      <c r="G338" t="s">
        <v>71</v>
      </c>
      <c r="H338">
        <v>64</v>
      </c>
      <c r="I338">
        <v>2310</v>
      </c>
      <c r="J338">
        <v>63</v>
      </c>
      <c r="K338">
        <v>17.100000000000001</v>
      </c>
      <c r="L338" t="s">
        <v>78</v>
      </c>
      <c r="M338">
        <v>31718.47</v>
      </c>
      <c r="N338">
        <v>28987</v>
      </c>
      <c r="O338" t="s">
        <v>44</v>
      </c>
      <c r="P338" t="str">
        <f t="shared" si="45"/>
        <v>No</v>
      </c>
      <c r="Q338">
        <f t="shared" si="46"/>
        <v>36.090000000000003</v>
      </c>
      <c r="R338">
        <f t="shared" si="47"/>
        <v>13.73</v>
      </c>
      <c r="S338">
        <f t="shared" si="48"/>
        <v>1.0900000000000001</v>
      </c>
      <c r="T338" t="str">
        <f t="shared" si="49"/>
        <v>On Time</v>
      </c>
      <c r="U338" t="str">
        <f t="shared" si="50"/>
        <v>High</v>
      </c>
      <c r="V338" t="str">
        <f t="shared" si="51"/>
        <v>Low Risk</v>
      </c>
      <c r="W338" t="str">
        <f t="shared" si="52"/>
        <v>Dec</v>
      </c>
      <c r="X338">
        <f t="shared" si="53"/>
        <v>2025</v>
      </c>
    </row>
    <row r="339" spans="1:24" x14ac:dyDescent="0.35">
      <c r="A339" s="3">
        <v>45840</v>
      </c>
      <c r="B339" t="s">
        <v>171</v>
      </c>
      <c r="C339" t="s">
        <v>25</v>
      </c>
      <c r="D339" t="s">
        <v>485</v>
      </c>
      <c r="E339" t="s">
        <v>55</v>
      </c>
      <c r="F339" t="s">
        <v>28</v>
      </c>
      <c r="G339" t="s">
        <v>29</v>
      </c>
      <c r="H339">
        <v>47</v>
      </c>
      <c r="I339">
        <v>1195</v>
      </c>
      <c r="J339">
        <v>40</v>
      </c>
      <c r="K339">
        <v>11.4</v>
      </c>
      <c r="L339" t="s">
        <v>43</v>
      </c>
      <c r="M339">
        <v>22982.16</v>
      </c>
      <c r="N339">
        <v>9399</v>
      </c>
      <c r="O339" t="s">
        <v>91</v>
      </c>
      <c r="P339" t="str">
        <f t="shared" si="45"/>
        <v>Yes</v>
      </c>
      <c r="Q339">
        <f t="shared" si="46"/>
        <v>25.43</v>
      </c>
      <c r="R339">
        <f t="shared" si="47"/>
        <v>19.23</v>
      </c>
      <c r="S339">
        <f t="shared" si="48"/>
        <v>2.4500000000000002</v>
      </c>
      <c r="T339" t="str">
        <f t="shared" si="49"/>
        <v>Delayed</v>
      </c>
      <c r="U339" t="str">
        <f t="shared" si="50"/>
        <v>Medium</v>
      </c>
      <c r="V339" t="str">
        <f t="shared" si="51"/>
        <v>Low Risk</v>
      </c>
      <c r="W339" t="str">
        <f t="shared" si="52"/>
        <v>Jul</v>
      </c>
      <c r="X339">
        <f t="shared" si="53"/>
        <v>2025</v>
      </c>
    </row>
    <row r="340" spans="1:24" x14ac:dyDescent="0.35">
      <c r="A340" s="3">
        <v>45761</v>
      </c>
      <c r="B340" t="s">
        <v>171</v>
      </c>
      <c r="C340" t="s">
        <v>130</v>
      </c>
      <c r="D340" t="s">
        <v>486</v>
      </c>
      <c r="E340" t="s">
        <v>48</v>
      </c>
      <c r="F340" t="s">
        <v>41</v>
      </c>
      <c r="G340" t="s">
        <v>71</v>
      </c>
      <c r="H340">
        <v>63.6</v>
      </c>
      <c r="I340">
        <v>4482</v>
      </c>
      <c r="J340">
        <v>100</v>
      </c>
      <c r="K340">
        <v>14.9</v>
      </c>
      <c r="L340" t="s">
        <v>43</v>
      </c>
      <c r="M340">
        <v>39185.17</v>
      </c>
      <c r="N340">
        <v>16850</v>
      </c>
      <c r="O340" t="s">
        <v>84</v>
      </c>
      <c r="P340" t="str">
        <f t="shared" si="45"/>
        <v>Yes</v>
      </c>
      <c r="Q340">
        <f t="shared" si="46"/>
        <v>70.47</v>
      </c>
      <c r="R340">
        <f t="shared" si="47"/>
        <v>8.74</v>
      </c>
      <c r="S340">
        <f t="shared" si="48"/>
        <v>2.33</v>
      </c>
      <c r="T340" t="str">
        <f t="shared" si="49"/>
        <v>Delayed</v>
      </c>
      <c r="U340" t="str">
        <f t="shared" si="50"/>
        <v>High</v>
      </c>
      <c r="V340" t="str">
        <f t="shared" si="51"/>
        <v>Low Risk</v>
      </c>
      <c r="W340" t="str">
        <f t="shared" si="52"/>
        <v>Apr</v>
      </c>
      <c r="X340">
        <f t="shared" si="53"/>
        <v>2025</v>
      </c>
    </row>
    <row r="341" spans="1:24" x14ac:dyDescent="0.35">
      <c r="A341" s="3">
        <v>45833</v>
      </c>
      <c r="B341" t="s">
        <v>106</v>
      </c>
      <c r="C341" t="s">
        <v>52</v>
      </c>
      <c r="D341" t="s">
        <v>487</v>
      </c>
      <c r="E341" t="s">
        <v>66</v>
      </c>
      <c r="F341" t="s">
        <v>28</v>
      </c>
      <c r="G341" t="s">
        <v>29</v>
      </c>
      <c r="H341">
        <v>49.4</v>
      </c>
      <c r="I341">
        <v>1170</v>
      </c>
      <c r="J341">
        <v>80</v>
      </c>
      <c r="K341">
        <v>21.9</v>
      </c>
      <c r="L341" t="s">
        <v>43</v>
      </c>
      <c r="M341">
        <v>28047.01</v>
      </c>
      <c r="N341">
        <v>14817</v>
      </c>
      <c r="O341" t="s">
        <v>59</v>
      </c>
      <c r="P341" t="str">
        <f t="shared" si="45"/>
        <v>Yes</v>
      </c>
      <c r="Q341">
        <f t="shared" si="46"/>
        <v>23.68</v>
      </c>
      <c r="R341">
        <f t="shared" si="47"/>
        <v>23.97</v>
      </c>
      <c r="S341">
        <f t="shared" si="48"/>
        <v>1.89</v>
      </c>
      <c r="T341" t="str">
        <f t="shared" si="49"/>
        <v>Delayed</v>
      </c>
      <c r="U341" t="str">
        <f t="shared" si="50"/>
        <v>Medium</v>
      </c>
      <c r="V341" t="str">
        <f t="shared" si="51"/>
        <v>Low Risk</v>
      </c>
      <c r="W341" t="str">
        <f t="shared" si="52"/>
        <v>Jun</v>
      </c>
      <c r="X341">
        <f t="shared" si="53"/>
        <v>2025</v>
      </c>
    </row>
    <row r="342" spans="1:24" x14ac:dyDescent="0.35">
      <c r="A342" s="3">
        <v>45769</v>
      </c>
      <c r="B342" t="s">
        <v>150</v>
      </c>
      <c r="C342" t="s">
        <v>39</v>
      </c>
      <c r="D342" t="s">
        <v>488</v>
      </c>
      <c r="E342" t="s">
        <v>27</v>
      </c>
      <c r="F342" t="s">
        <v>63</v>
      </c>
      <c r="G342" t="s">
        <v>29</v>
      </c>
      <c r="H342">
        <v>25.9</v>
      </c>
      <c r="I342">
        <v>3930</v>
      </c>
      <c r="J342">
        <v>77</v>
      </c>
      <c r="K342">
        <v>14.7</v>
      </c>
      <c r="L342" t="s">
        <v>30</v>
      </c>
      <c r="M342">
        <v>16195.77</v>
      </c>
      <c r="N342">
        <v>19800</v>
      </c>
      <c r="O342" t="s">
        <v>91</v>
      </c>
      <c r="P342" t="str">
        <f t="shared" si="45"/>
        <v>Yes</v>
      </c>
      <c r="Q342">
        <f t="shared" si="46"/>
        <v>151.74</v>
      </c>
      <c r="R342">
        <f t="shared" si="47"/>
        <v>4.12</v>
      </c>
      <c r="S342">
        <f t="shared" si="48"/>
        <v>0.82</v>
      </c>
      <c r="T342" t="str">
        <f t="shared" si="49"/>
        <v>Delayed</v>
      </c>
      <c r="U342" t="str">
        <f t="shared" si="50"/>
        <v>Low</v>
      </c>
      <c r="V342" t="str">
        <f t="shared" si="51"/>
        <v>Medium Risk</v>
      </c>
      <c r="W342" t="str">
        <f t="shared" si="52"/>
        <v>Apr</v>
      </c>
      <c r="X342">
        <f t="shared" si="53"/>
        <v>2025</v>
      </c>
    </row>
    <row r="343" spans="1:24" x14ac:dyDescent="0.35">
      <c r="A343" s="3">
        <v>45850</v>
      </c>
      <c r="B343" t="s">
        <v>317</v>
      </c>
      <c r="C343" t="s">
        <v>57</v>
      </c>
      <c r="D343" t="s">
        <v>489</v>
      </c>
      <c r="E343" t="s">
        <v>54</v>
      </c>
      <c r="F343" t="s">
        <v>48</v>
      </c>
      <c r="G343" t="s">
        <v>71</v>
      </c>
      <c r="H343">
        <v>23.8</v>
      </c>
      <c r="I343">
        <v>3661</v>
      </c>
      <c r="J343">
        <v>41</v>
      </c>
      <c r="K343">
        <v>14.2</v>
      </c>
      <c r="L343" t="s">
        <v>30</v>
      </c>
      <c r="M343">
        <v>16102.43</v>
      </c>
      <c r="N343">
        <v>17853</v>
      </c>
      <c r="O343" t="s">
        <v>44</v>
      </c>
      <c r="P343" t="str">
        <f t="shared" si="45"/>
        <v>Yes</v>
      </c>
      <c r="Q343">
        <f t="shared" si="46"/>
        <v>153.82</v>
      </c>
      <c r="R343">
        <f t="shared" si="47"/>
        <v>4.4000000000000004</v>
      </c>
      <c r="S343">
        <f t="shared" si="48"/>
        <v>0.9</v>
      </c>
      <c r="T343" t="str">
        <f t="shared" si="49"/>
        <v>Delayed</v>
      </c>
      <c r="U343" t="str">
        <f t="shared" si="50"/>
        <v>Low</v>
      </c>
      <c r="V343" t="str">
        <f t="shared" si="51"/>
        <v>Medium Risk</v>
      </c>
      <c r="W343" t="str">
        <f t="shared" si="52"/>
        <v>Jul</v>
      </c>
      <c r="X343">
        <f t="shared" si="53"/>
        <v>2025</v>
      </c>
    </row>
    <row r="344" spans="1:24" x14ac:dyDescent="0.35">
      <c r="A344" s="3">
        <v>46007</v>
      </c>
      <c r="B344" t="s">
        <v>250</v>
      </c>
      <c r="C344" t="s">
        <v>39</v>
      </c>
      <c r="D344" t="s">
        <v>490</v>
      </c>
      <c r="E344" t="s">
        <v>48</v>
      </c>
      <c r="F344" t="s">
        <v>55</v>
      </c>
      <c r="G344" t="s">
        <v>42</v>
      </c>
      <c r="H344">
        <v>50.5</v>
      </c>
      <c r="I344">
        <v>3493</v>
      </c>
      <c r="J344">
        <v>98</v>
      </c>
      <c r="K344">
        <v>18.5</v>
      </c>
      <c r="L344" t="s">
        <v>78</v>
      </c>
      <c r="M344">
        <v>35122.11</v>
      </c>
      <c r="N344">
        <v>12746</v>
      </c>
      <c r="O344" t="s">
        <v>59</v>
      </c>
      <c r="P344" t="str">
        <f t="shared" si="45"/>
        <v>No</v>
      </c>
      <c r="Q344">
        <f t="shared" si="46"/>
        <v>69.17</v>
      </c>
      <c r="R344">
        <f t="shared" si="47"/>
        <v>10.050000000000001</v>
      </c>
      <c r="S344">
        <f t="shared" si="48"/>
        <v>2.76</v>
      </c>
      <c r="T344" t="str">
        <f t="shared" si="49"/>
        <v>On Time</v>
      </c>
      <c r="U344" t="str">
        <f t="shared" si="50"/>
        <v>Medium</v>
      </c>
      <c r="V344" t="str">
        <f t="shared" si="51"/>
        <v>Low Risk</v>
      </c>
      <c r="W344" t="str">
        <f t="shared" si="52"/>
        <v>Dec</v>
      </c>
      <c r="X344">
        <f t="shared" si="53"/>
        <v>2025</v>
      </c>
    </row>
    <row r="345" spans="1:24" x14ac:dyDescent="0.35">
      <c r="A345" s="3">
        <v>45829</v>
      </c>
      <c r="B345" t="s">
        <v>463</v>
      </c>
      <c r="C345" t="s">
        <v>25</v>
      </c>
      <c r="D345" t="s">
        <v>491</v>
      </c>
      <c r="E345" t="s">
        <v>28</v>
      </c>
      <c r="F345" t="s">
        <v>55</v>
      </c>
      <c r="G345" t="s">
        <v>42</v>
      </c>
      <c r="H345">
        <v>26.4</v>
      </c>
      <c r="I345">
        <v>706</v>
      </c>
      <c r="J345">
        <v>43</v>
      </c>
      <c r="K345">
        <v>11.4</v>
      </c>
      <c r="L345" t="s">
        <v>30</v>
      </c>
      <c r="M345">
        <v>17620.45</v>
      </c>
      <c r="N345">
        <v>11542</v>
      </c>
      <c r="O345" t="s">
        <v>36</v>
      </c>
      <c r="P345" t="str">
        <f t="shared" si="45"/>
        <v>Yes</v>
      </c>
      <c r="Q345">
        <f t="shared" si="46"/>
        <v>26.74</v>
      </c>
      <c r="R345">
        <f t="shared" si="47"/>
        <v>24.96</v>
      </c>
      <c r="S345">
        <f t="shared" si="48"/>
        <v>1.53</v>
      </c>
      <c r="T345" t="str">
        <f t="shared" si="49"/>
        <v>Delayed</v>
      </c>
      <c r="U345" t="str">
        <f t="shared" si="50"/>
        <v>Low</v>
      </c>
      <c r="V345" t="str">
        <f t="shared" si="51"/>
        <v>Medium Risk</v>
      </c>
      <c r="W345" t="str">
        <f t="shared" si="52"/>
        <v>Jun</v>
      </c>
      <c r="X345">
        <f t="shared" si="53"/>
        <v>2025</v>
      </c>
    </row>
    <row r="346" spans="1:24" x14ac:dyDescent="0.35">
      <c r="A346" s="3">
        <v>45881</v>
      </c>
      <c r="B346" t="s">
        <v>207</v>
      </c>
      <c r="C346" t="s">
        <v>52</v>
      </c>
      <c r="D346" t="s">
        <v>492</v>
      </c>
      <c r="E346" t="s">
        <v>48</v>
      </c>
      <c r="F346" t="s">
        <v>28</v>
      </c>
      <c r="G346" t="s">
        <v>71</v>
      </c>
      <c r="H346">
        <v>28.5</v>
      </c>
      <c r="I346">
        <v>1254</v>
      </c>
      <c r="J346">
        <v>68</v>
      </c>
      <c r="K346">
        <v>15</v>
      </c>
      <c r="L346" t="s">
        <v>43</v>
      </c>
      <c r="M346">
        <v>19000.439999999999</v>
      </c>
      <c r="N346">
        <v>18571</v>
      </c>
      <c r="O346" t="s">
        <v>91</v>
      </c>
      <c r="P346" t="str">
        <f t="shared" si="45"/>
        <v>Yes</v>
      </c>
      <c r="Q346">
        <f t="shared" si="46"/>
        <v>44</v>
      </c>
      <c r="R346">
        <f t="shared" si="47"/>
        <v>15.15</v>
      </c>
      <c r="S346">
        <f t="shared" si="48"/>
        <v>1.02</v>
      </c>
      <c r="T346" t="str">
        <f t="shared" si="49"/>
        <v>Delayed</v>
      </c>
      <c r="U346" t="str">
        <f t="shared" si="50"/>
        <v>Low</v>
      </c>
      <c r="V346" t="str">
        <f t="shared" si="51"/>
        <v>Low Risk</v>
      </c>
      <c r="W346" t="str">
        <f t="shared" si="52"/>
        <v>Aug</v>
      </c>
      <c r="X346">
        <f t="shared" si="53"/>
        <v>2025</v>
      </c>
    </row>
    <row r="347" spans="1:24" x14ac:dyDescent="0.35">
      <c r="A347" s="3">
        <v>45692</v>
      </c>
      <c r="B347" t="s">
        <v>89</v>
      </c>
      <c r="C347" t="s">
        <v>57</v>
      </c>
      <c r="D347" t="s">
        <v>493</v>
      </c>
      <c r="E347" t="s">
        <v>63</v>
      </c>
      <c r="F347" t="s">
        <v>28</v>
      </c>
      <c r="G347" t="s">
        <v>35</v>
      </c>
      <c r="H347">
        <v>60.4</v>
      </c>
      <c r="I347">
        <v>4372</v>
      </c>
      <c r="J347">
        <v>48</v>
      </c>
      <c r="K347">
        <v>17.3</v>
      </c>
      <c r="L347" t="s">
        <v>49</v>
      </c>
      <c r="M347">
        <v>38932.19</v>
      </c>
      <c r="N347">
        <v>7348</v>
      </c>
      <c r="O347" t="s">
        <v>67</v>
      </c>
      <c r="P347" t="str">
        <f t="shared" si="45"/>
        <v>Yes</v>
      </c>
      <c r="Q347">
        <f t="shared" si="46"/>
        <v>72.38</v>
      </c>
      <c r="R347">
        <f t="shared" si="47"/>
        <v>8.9</v>
      </c>
      <c r="S347">
        <f t="shared" si="48"/>
        <v>5.3</v>
      </c>
      <c r="T347" t="str">
        <f t="shared" si="49"/>
        <v>Delayed</v>
      </c>
      <c r="U347" t="str">
        <f t="shared" si="50"/>
        <v>High</v>
      </c>
      <c r="V347" t="str">
        <f t="shared" si="51"/>
        <v>High Risk</v>
      </c>
      <c r="W347" t="str">
        <f t="shared" si="52"/>
        <v>Feb</v>
      </c>
      <c r="X347">
        <f t="shared" si="53"/>
        <v>2025</v>
      </c>
    </row>
    <row r="348" spans="1:24" x14ac:dyDescent="0.35">
      <c r="A348" s="3">
        <v>45776</v>
      </c>
      <c r="B348" t="s">
        <v>236</v>
      </c>
      <c r="C348" t="s">
        <v>130</v>
      </c>
      <c r="D348" t="s">
        <v>494</v>
      </c>
      <c r="E348" t="s">
        <v>41</v>
      </c>
      <c r="F348" t="s">
        <v>66</v>
      </c>
      <c r="G348" t="s">
        <v>71</v>
      </c>
      <c r="H348">
        <v>62.9</v>
      </c>
      <c r="I348">
        <v>4618</v>
      </c>
      <c r="J348">
        <v>31</v>
      </c>
      <c r="K348">
        <v>20.399999999999999</v>
      </c>
      <c r="L348" t="s">
        <v>30</v>
      </c>
      <c r="M348">
        <v>38631.14</v>
      </c>
      <c r="N348">
        <v>22597</v>
      </c>
      <c r="O348" t="s">
        <v>31</v>
      </c>
      <c r="P348" t="str">
        <f t="shared" si="45"/>
        <v>Yes</v>
      </c>
      <c r="Q348">
        <f t="shared" si="46"/>
        <v>73.42</v>
      </c>
      <c r="R348">
        <f t="shared" si="47"/>
        <v>8.3699999999999992</v>
      </c>
      <c r="S348">
        <f t="shared" si="48"/>
        <v>1.71</v>
      </c>
      <c r="T348" t="str">
        <f t="shared" si="49"/>
        <v>Delayed</v>
      </c>
      <c r="U348" t="str">
        <f t="shared" si="50"/>
        <v>High</v>
      </c>
      <c r="V348" t="str">
        <f t="shared" si="51"/>
        <v>Medium Risk</v>
      </c>
      <c r="W348" t="str">
        <f t="shared" si="52"/>
        <v>Apr</v>
      </c>
      <c r="X348">
        <f t="shared" si="53"/>
        <v>2025</v>
      </c>
    </row>
    <row r="349" spans="1:24" x14ac:dyDescent="0.35">
      <c r="A349" s="3">
        <v>45808</v>
      </c>
      <c r="B349" t="s">
        <v>291</v>
      </c>
      <c r="C349" t="s">
        <v>130</v>
      </c>
      <c r="D349" t="s">
        <v>495</v>
      </c>
      <c r="E349" t="s">
        <v>55</v>
      </c>
      <c r="F349" t="s">
        <v>48</v>
      </c>
      <c r="G349" t="s">
        <v>29</v>
      </c>
      <c r="H349">
        <v>23.8</v>
      </c>
      <c r="I349">
        <v>2569</v>
      </c>
      <c r="J349">
        <v>56</v>
      </c>
      <c r="K349">
        <v>10.5</v>
      </c>
      <c r="L349" t="s">
        <v>78</v>
      </c>
      <c r="M349">
        <v>14849.18</v>
      </c>
      <c r="N349">
        <v>7777</v>
      </c>
      <c r="O349" t="s">
        <v>67</v>
      </c>
      <c r="P349" t="str">
        <f t="shared" si="45"/>
        <v>No</v>
      </c>
      <c r="Q349">
        <f t="shared" si="46"/>
        <v>107.94</v>
      </c>
      <c r="R349">
        <f t="shared" si="47"/>
        <v>5.78</v>
      </c>
      <c r="S349">
        <f t="shared" si="48"/>
        <v>1.91</v>
      </c>
      <c r="T349" t="str">
        <f t="shared" si="49"/>
        <v>On Time</v>
      </c>
      <c r="U349" t="str">
        <f t="shared" si="50"/>
        <v>Low</v>
      </c>
      <c r="V349" t="str">
        <f t="shared" si="51"/>
        <v>Low Risk</v>
      </c>
      <c r="W349" t="str">
        <f t="shared" si="52"/>
        <v>May</v>
      </c>
      <c r="X349">
        <f t="shared" si="53"/>
        <v>2025</v>
      </c>
    </row>
    <row r="350" spans="1:24" x14ac:dyDescent="0.35">
      <c r="A350" s="3">
        <v>45699</v>
      </c>
      <c r="B350" t="s">
        <v>80</v>
      </c>
      <c r="C350" t="s">
        <v>39</v>
      </c>
      <c r="D350" t="s">
        <v>496</v>
      </c>
      <c r="E350" t="s">
        <v>54</v>
      </c>
      <c r="F350" t="s">
        <v>66</v>
      </c>
      <c r="G350" t="s">
        <v>71</v>
      </c>
      <c r="H350">
        <v>72.3</v>
      </c>
      <c r="I350">
        <v>2885</v>
      </c>
      <c r="J350">
        <v>93</v>
      </c>
      <c r="K350">
        <v>12.6</v>
      </c>
      <c r="L350" t="s">
        <v>78</v>
      </c>
      <c r="M350">
        <v>37375.17</v>
      </c>
      <c r="N350">
        <v>18659</v>
      </c>
      <c r="O350" t="s">
        <v>44</v>
      </c>
      <c r="P350" t="str">
        <f t="shared" si="45"/>
        <v>No</v>
      </c>
      <c r="Q350">
        <f t="shared" si="46"/>
        <v>39.9</v>
      </c>
      <c r="R350">
        <f t="shared" si="47"/>
        <v>12.95</v>
      </c>
      <c r="S350">
        <f t="shared" si="48"/>
        <v>2</v>
      </c>
      <c r="T350" t="str">
        <f t="shared" si="49"/>
        <v>On Time</v>
      </c>
      <c r="U350" t="str">
        <f t="shared" si="50"/>
        <v>High</v>
      </c>
      <c r="V350" t="str">
        <f t="shared" si="51"/>
        <v>Low Risk</v>
      </c>
      <c r="W350" t="str">
        <f t="shared" si="52"/>
        <v>Feb</v>
      </c>
      <c r="X350">
        <f t="shared" si="53"/>
        <v>2025</v>
      </c>
    </row>
    <row r="351" spans="1:24" x14ac:dyDescent="0.35">
      <c r="A351" s="3">
        <v>45818</v>
      </c>
      <c r="B351" t="s">
        <v>148</v>
      </c>
      <c r="C351" t="s">
        <v>95</v>
      </c>
      <c r="D351" t="s">
        <v>497</v>
      </c>
      <c r="E351" t="s">
        <v>28</v>
      </c>
      <c r="F351" t="s">
        <v>48</v>
      </c>
      <c r="G351" t="s">
        <v>42</v>
      </c>
      <c r="H351">
        <v>34.200000000000003</v>
      </c>
      <c r="I351">
        <v>3735</v>
      </c>
      <c r="J351">
        <v>66</v>
      </c>
      <c r="K351">
        <v>16.899999999999999</v>
      </c>
      <c r="L351" t="s">
        <v>49</v>
      </c>
      <c r="M351">
        <v>23920.36</v>
      </c>
      <c r="N351">
        <v>14898</v>
      </c>
      <c r="O351" t="s">
        <v>84</v>
      </c>
      <c r="P351" t="str">
        <f t="shared" si="45"/>
        <v>Yes</v>
      </c>
      <c r="Q351">
        <f t="shared" si="46"/>
        <v>109.21</v>
      </c>
      <c r="R351">
        <f t="shared" si="47"/>
        <v>6.4</v>
      </c>
      <c r="S351">
        <f t="shared" si="48"/>
        <v>1.61</v>
      </c>
      <c r="T351" t="str">
        <f t="shared" si="49"/>
        <v>Delayed</v>
      </c>
      <c r="U351" t="str">
        <f t="shared" si="50"/>
        <v>Low</v>
      </c>
      <c r="V351" t="str">
        <f t="shared" si="51"/>
        <v>High Risk</v>
      </c>
      <c r="W351" t="str">
        <f t="shared" si="52"/>
        <v>Jun</v>
      </c>
      <c r="X351">
        <f t="shared" si="53"/>
        <v>2025</v>
      </c>
    </row>
    <row r="352" spans="1:24" x14ac:dyDescent="0.35">
      <c r="A352" s="3">
        <v>45697</v>
      </c>
      <c r="B352" t="s">
        <v>207</v>
      </c>
      <c r="C352" t="s">
        <v>69</v>
      </c>
      <c r="D352" t="s">
        <v>498</v>
      </c>
      <c r="E352" t="s">
        <v>48</v>
      </c>
      <c r="F352" t="s">
        <v>28</v>
      </c>
      <c r="G352" t="s">
        <v>71</v>
      </c>
      <c r="H352">
        <v>61.9</v>
      </c>
      <c r="I352">
        <v>3239</v>
      </c>
      <c r="J352">
        <v>42</v>
      </c>
      <c r="K352">
        <v>17.2</v>
      </c>
      <c r="L352" t="s">
        <v>49</v>
      </c>
      <c r="M352">
        <v>39360.14</v>
      </c>
      <c r="N352">
        <v>15008</v>
      </c>
      <c r="O352" t="s">
        <v>44</v>
      </c>
      <c r="P352" t="str">
        <f t="shared" si="45"/>
        <v>Yes</v>
      </c>
      <c r="Q352">
        <f t="shared" si="46"/>
        <v>52.33</v>
      </c>
      <c r="R352">
        <f t="shared" si="47"/>
        <v>12.15</v>
      </c>
      <c r="S352">
        <f t="shared" si="48"/>
        <v>2.62</v>
      </c>
      <c r="T352" t="str">
        <f t="shared" si="49"/>
        <v>Delayed</v>
      </c>
      <c r="U352" t="str">
        <f t="shared" si="50"/>
        <v>High</v>
      </c>
      <c r="V352" t="str">
        <f t="shared" si="51"/>
        <v>High Risk</v>
      </c>
      <c r="W352" t="str">
        <f t="shared" si="52"/>
        <v>Feb</v>
      </c>
      <c r="X352">
        <f t="shared" si="53"/>
        <v>2025</v>
      </c>
    </row>
    <row r="353" spans="1:24" x14ac:dyDescent="0.35">
      <c r="A353" s="3">
        <v>45985</v>
      </c>
      <c r="B353" t="s">
        <v>188</v>
      </c>
      <c r="C353" t="s">
        <v>25</v>
      </c>
      <c r="D353" t="s">
        <v>499</v>
      </c>
      <c r="E353" t="s">
        <v>41</v>
      </c>
      <c r="F353" t="s">
        <v>28</v>
      </c>
      <c r="G353" t="s">
        <v>42</v>
      </c>
      <c r="H353">
        <v>22.7</v>
      </c>
      <c r="I353">
        <v>2106</v>
      </c>
      <c r="J353">
        <v>86</v>
      </c>
      <c r="K353">
        <v>16</v>
      </c>
      <c r="L353" t="s">
        <v>30</v>
      </c>
      <c r="M353">
        <v>14100.29</v>
      </c>
      <c r="N353">
        <v>18321</v>
      </c>
      <c r="O353" t="s">
        <v>31</v>
      </c>
      <c r="P353" t="str">
        <f t="shared" si="45"/>
        <v>Yes</v>
      </c>
      <c r="Q353">
        <f t="shared" si="46"/>
        <v>92.78</v>
      </c>
      <c r="R353">
        <f t="shared" si="47"/>
        <v>6.7</v>
      </c>
      <c r="S353">
        <f t="shared" si="48"/>
        <v>0.77</v>
      </c>
      <c r="T353" t="str">
        <f t="shared" si="49"/>
        <v>Delayed</v>
      </c>
      <c r="U353" t="str">
        <f t="shared" si="50"/>
        <v>Low</v>
      </c>
      <c r="V353" t="str">
        <f t="shared" si="51"/>
        <v>Medium Risk</v>
      </c>
      <c r="W353" t="str">
        <f t="shared" si="52"/>
        <v>Nov</v>
      </c>
      <c r="X353">
        <f t="shared" si="53"/>
        <v>2025</v>
      </c>
    </row>
    <row r="354" spans="1:24" x14ac:dyDescent="0.35">
      <c r="A354" s="3">
        <v>45877</v>
      </c>
      <c r="B354" t="s">
        <v>159</v>
      </c>
      <c r="C354" t="s">
        <v>57</v>
      </c>
      <c r="D354" t="s">
        <v>500</v>
      </c>
      <c r="E354" t="s">
        <v>55</v>
      </c>
      <c r="F354" t="s">
        <v>28</v>
      </c>
      <c r="G354" t="s">
        <v>42</v>
      </c>
      <c r="H354">
        <v>40.799999999999997</v>
      </c>
      <c r="I354">
        <v>1866</v>
      </c>
      <c r="J354">
        <v>24</v>
      </c>
      <c r="K354">
        <v>18.600000000000001</v>
      </c>
      <c r="L354" t="s">
        <v>49</v>
      </c>
      <c r="M354">
        <v>25721.63</v>
      </c>
      <c r="N354">
        <v>12036</v>
      </c>
      <c r="O354" t="s">
        <v>44</v>
      </c>
      <c r="P354" t="str">
        <f t="shared" si="45"/>
        <v>Yes</v>
      </c>
      <c r="Q354">
        <f t="shared" si="46"/>
        <v>45.74</v>
      </c>
      <c r="R354">
        <f t="shared" si="47"/>
        <v>13.78</v>
      </c>
      <c r="S354">
        <f t="shared" si="48"/>
        <v>2.14</v>
      </c>
      <c r="T354" t="str">
        <f t="shared" si="49"/>
        <v>Delayed</v>
      </c>
      <c r="U354" t="str">
        <f t="shared" si="50"/>
        <v>Medium</v>
      </c>
      <c r="V354" t="str">
        <f t="shared" si="51"/>
        <v>High Risk</v>
      </c>
      <c r="W354" t="str">
        <f t="shared" si="52"/>
        <v>Aug</v>
      </c>
      <c r="X354">
        <f t="shared" si="53"/>
        <v>2025</v>
      </c>
    </row>
    <row r="355" spans="1:24" x14ac:dyDescent="0.35">
      <c r="A355" s="3">
        <v>45801</v>
      </c>
      <c r="B355" t="s">
        <v>246</v>
      </c>
      <c r="C355" t="s">
        <v>95</v>
      </c>
      <c r="D355" t="s">
        <v>501</v>
      </c>
      <c r="E355" t="s">
        <v>54</v>
      </c>
      <c r="F355" t="s">
        <v>55</v>
      </c>
      <c r="G355" t="s">
        <v>42</v>
      </c>
      <c r="H355">
        <v>78.2</v>
      </c>
      <c r="I355">
        <v>2255</v>
      </c>
      <c r="J355">
        <v>89</v>
      </c>
      <c r="K355">
        <v>17</v>
      </c>
      <c r="L355" t="s">
        <v>49</v>
      </c>
      <c r="M355">
        <v>45453.23</v>
      </c>
      <c r="N355">
        <v>13536</v>
      </c>
      <c r="O355" t="s">
        <v>91</v>
      </c>
      <c r="P355" t="str">
        <f t="shared" si="45"/>
        <v>Yes</v>
      </c>
      <c r="Q355">
        <f t="shared" si="46"/>
        <v>28.84</v>
      </c>
      <c r="R355">
        <f t="shared" si="47"/>
        <v>20.16</v>
      </c>
      <c r="S355">
        <f t="shared" si="48"/>
        <v>3.36</v>
      </c>
      <c r="T355" t="str">
        <f t="shared" si="49"/>
        <v>Delayed</v>
      </c>
      <c r="U355" t="str">
        <f t="shared" si="50"/>
        <v>High</v>
      </c>
      <c r="V355" t="str">
        <f t="shared" si="51"/>
        <v>High Risk</v>
      </c>
      <c r="W355" t="str">
        <f t="shared" si="52"/>
        <v>May</v>
      </c>
      <c r="X355">
        <f t="shared" si="53"/>
        <v>2025</v>
      </c>
    </row>
    <row r="356" spans="1:24" x14ac:dyDescent="0.35">
      <c r="A356" s="3">
        <v>45976</v>
      </c>
      <c r="B356" t="s">
        <v>129</v>
      </c>
      <c r="C356" t="s">
        <v>69</v>
      </c>
      <c r="D356" t="s">
        <v>502</v>
      </c>
      <c r="E356" t="s">
        <v>54</v>
      </c>
      <c r="F356" t="s">
        <v>48</v>
      </c>
      <c r="G356" t="s">
        <v>42</v>
      </c>
      <c r="H356">
        <v>32.299999999999997</v>
      </c>
      <c r="I356">
        <v>1625</v>
      </c>
      <c r="J356">
        <v>97</v>
      </c>
      <c r="K356">
        <v>14.2</v>
      </c>
      <c r="L356" t="s">
        <v>49</v>
      </c>
      <c r="M356">
        <v>17322.86</v>
      </c>
      <c r="N356">
        <v>28860</v>
      </c>
      <c r="O356" t="s">
        <v>44</v>
      </c>
      <c r="P356" t="str">
        <f t="shared" si="45"/>
        <v>Yes</v>
      </c>
      <c r="Q356">
        <f t="shared" si="46"/>
        <v>50.31</v>
      </c>
      <c r="R356">
        <f t="shared" si="47"/>
        <v>10.66</v>
      </c>
      <c r="S356">
        <f t="shared" si="48"/>
        <v>0.6</v>
      </c>
      <c r="T356" t="str">
        <f t="shared" si="49"/>
        <v>Delayed</v>
      </c>
      <c r="U356" t="str">
        <f t="shared" si="50"/>
        <v>Low</v>
      </c>
      <c r="V356" t="str">
        <f t="shared" si="51"/>
        <v>High Risk</v>
      </c>
      <c r="W356" t="str">
        <f t="shared" si="52"/>
        <v>Nov</v>
      </c>
      <c r="X356">
        <f t="shared" si="53"/>
        <v>2025</v>
      </c>
    </row>
    <row r="357" spans="1:24" x14ac:dyDescent="0.35">
      <c r="A357" s="3">
        <v>45665</v>
      </c>
      <c r="B357" t="s">
        <v>221</v>
      </c>
      <c r="C357" t="s">
        <v>109</v>
      </c>
      <c r="D357" t="s">
        <v>503</v>
      </c>
      <c r="E357" t="s">
        <v>41</v>
      </c>
      <c r="F357" t="s">
        <v>54</v>
      </c>
      <c r="G357" t="s">
        <v>71</v>
      </c>
      <c r="H357">
        <v>28.2</v>
      </c>
      <c r="I357">
        <v>4324</v>
      </c>
      <c r="J357">
        <v>31</v>
      </c>
      <c r="K357">
        <v>21.1</v>
      </c>
      <c r="L357" t="s">
        <v>78</v>
      </c>
      <c r="M357">
        <v>12964.44</v>
      </c>
      <c r="N357">
        <v>14932</v>
      </c>
      <c r="O357" t="s">
        <v>44</v>
      </c>
      <c r="P357" t="str">
        <f t="shared" si="45"/>
        <v>No</v>
      </c>
      <c r="Q357">
        <f t="shared" si="46"/>
        <v>153.33000000000001</v>
      </c>
      <c r="R357">
        <f t="shared" si="47"/>
        <v>3</v>
      </c>
      <c r="S357">
        <f t="shared" si="48"/>
        <v>0.87</v>
      </c>
      <c r="T357" t="str">
        <f t="shared" si="49"/>
        <v>On Time</v>
      </c>
      <c r="U357" t="str">
        <f t="shared" si="50"/>
        <v>Low</v>
      </c>
      <c r="V357" t="str">
        <f t="shared" si="51"/>
        <v>Low Risk</v>
      </c>
      <c r="W357" t="str">
        <f t="shared" si="52"/>
        <v>Jan</v>
      </c>
      <c r="X357">
        <f t="shared" si="53"/>
        <v>2025</v>
      </c>
    </row>
    <row r="358" spans="1:24" x14ac:dyDescent="0.35">
      <c r="A358" s="3">
        <v>45881</v>
      </c>
      <c r="B358" t="s">
        <v>233</v>
      </c>
      <c r="C358" t="s">
        <v>39</v>
      </c>
      <c r="D358" t="s">
        <v>504</v>
      </c>
      <c r="E358" t="s">
        <v>27</v>
      </c>
      <c r="F358" t="s">
        <v>63</v>
      </c>
      <c r="G358" t="s">
        <v>42</v>
      </c>
      <c r="H358">
        <v>69.5</v>
      </c>
      <c r="I358">
        <v>2705</v>
      </c>
      <c r="J358">
        <v>106</v>
      </c>
      <c r="K358">
        <v>14.3</v>
      </c>
      <c r="L358" t="s">
        <v>78</v>
      </c>
      <c r="M358">
        <v>45462.87</v>
      </c>
      <c r="N358">
        <v>13074</v>
      </c>
      <c r="O358" t="s">
        <v>50</v>
      </c>
      <c r="P358" t="str">
        <f t="shared" si="45"/>
        <v>No</v>
      </c>
      <c r="Q358">
        <f t="shared" si="46"/>
        <v>38.92</v>
      </c>
      <c r="R358">
        <f t="shared" si="47"/>
        <v>16.809999999999999</v>
      </c>
      <c r="S358">
        <f t="shared" si="48"/>
        <v>3.48</v>
      </c>
      <c r="T358" t="str">
        <f t="shared" si="49"/>
        <v>On Time</v>
      </c>
      <c r="U358" t="str">
        <f t="shared" si="50"/>
        <v>High</v>
      </c>
      <c r="V358" t="str">
        <f t="shared" si="51"/>
        <v>Low Risk</v>
      </c>
      <c r="W358" t="str">
        <f t="shared" si="52"/>
        <v>Aug</v>
      </c>
      <c r="X358">
        <f t="shared" si="53"/>
        <v>2025</v>
      </c>
    </row>
    <row r="359" spans="1:24" x14ac:dyDescent="0.35">
      <c r="A359" s="3">
        <v>45779</v>
      </c>
      <c r="B359" t="s">
        <v>171</v>
      </c>
      <c r="C359" t="s">
        <v>69</v>
      </c>
      <c r="D359" t="s">
        <v>505</v>
      </c>
      <c r="E359" t="s">
        <v>66</v>
      </c>
      <c r="F359" t="s">
        <v>41</v>
      </c>
      <c r="G359" t="s">
        <v>29</v>
      </c>
      <c r="H359">
        <v>43.6</v>
      </c>
      <c r="I359">
        <v>3145</v>
      </c>
      <c r="J359">
        <v>80</v>
      </c>
      <c r="K359">
        <v>14.7</v>
      </c>
      <c r="L359" t="s">
        <v>43</v>
      </c>
      <c r="M359">
        <v>27527.66</v>
      </c>
      <c r="N359">
        <v>26346</v>
      </c>
      <c r="O359" t="s">
        <v>67</v>
      </c>
      <c r="P359" t="str">
        <f t="shared" si="45"/>
        <v>Yes</v>
      </c>
      <c r="Q359">
        <f t="shared" si="46"/>
        <v>72.13</v>
      </c>
      <c r="R359">
        <f t="shared" si="47"/>
        <v>8.75</v>
      </c>
      <c r="S359">
        <f t="shared" si="48"/>
        <v>1.04</v>
      </c>
      <c r="T359" t="str">
        <f t="shared" si="49"/>
        <v>Delayed</v>
      </c>
      <c r="U359" t="str">
        <f t="shared" si="50"/>
        <v>Medium</v>
      </c>
      <c r="V359" t="str">
        <f t="shared" si="51"/>
        <v>Low Risk</v>
      </c>
      <c r="W359" t="str">
        <f t="shared" si="52"/>
        <v>May</v>
      </c>
      <c r="X359">
        <f t="shared" si="53"/>
        <v>2025</v>
      </c>
    </row>
    <row r="360" spans="1:24" x14ac:dyDescent="0.35">
      <c r="A360" s="3">
        <v>45873</v>
      </c>
      <c r="B360" t="s">
        <v>277</v>
      </c>
      <c r="C360" t="s">
        <v>69</v>
      </c>
      <c r="D360" t="s">
        <v>506</v>
      </c>
      <c r="E360" t="s">
        <v>48</v>
      </c>
      <c r="F360" t="s">
        <v>63</v>
      </c>
      <c r="G360" t="s">
        <v>42</v>
      </c>
      <c r="H360">
        <v>20.100000000000001</v>
      </c>
      <c r="I360">
        <v>2829</v>
      </c>
      <c r="J360">
        <v>88</v>
      </c>
      <c r="K360">
        <v>10</v>
      </c>
      <c r="L360" t="s">
        <v>43</v>
      </c>
      <c r="M360">
        <v>13219.85</v>
      </c>
      <c r="N360">
        <v>26440</v>
      </c>
      <c r="O360" t="s">
        <v>91</v>
      </c>
      <c r="P360" t="str">
        <f t="shared" si="45"/>
        <v>Yes</v>
      </c>
      <c r="Q360">
        <f t="shared" si="46"/>
        <v>140.75</v>
      </c>
      <c r="R360">
        <f t="shared" si="47"/>
        <v>4.67</v>
      </c>
      <c r="S360">
        <f t="shared" si="48"/>
        <v>0.5</v>
      </c>
      <c r="T360" t="str">
        <f t="shared" si="49"/>
        <v>Delayed</v>
      </c>
      <c r="U360" t="str">
        <f t="shared" si="50"/>
        <v>Low</v>
      </c>
      <c r="V360" t="str">
        <f t="shared" si="51"/>
        <v>Low Risk</v>
      </c>
      <c r="W360" t="str">
        <f t="shared" si="52"/>
        <v>Aug</v>
      </c>
      <c r="X360">
        <f t="shared" si="53"/>
        <v>2025</v>
      </c>
    </row>
    <row r="361" spans="1:24" x14ac:dyDescent="0.35">
      <c r="A361" s="3">
        <v>45697</v>
      </c>
      <c r="B361" t="s">
        <v>154</v>
      </c>
      <c r="C361" t="s">
        <v>39</v>
      </c>
      <c r="D361" t="s">
        <v>507</v>
      </c>
      <c r="E361" t="s">
        <v>66</v>
      </c>
      <c r="F361" t="s">
        <v>27</v>
      </c>
      <c r="G361" t="s">
        <v>35</v>
      </c>
      <c r="H361">
        <v>46.9</v>
      </c>
      <c r="I361">
        <v>1765</v>
      </c>
      <c r="J361">
        <v>49</v>
      </c>
      <c r="K361">
        <v>17.3</v>
      </c>
      <c r="L361" t="s">
        <v>43</v>
      </c>
      <c r="M361">
        <v>28504.400000000001</v>
      </c>
      <c r="N361">
        <v>5662</v>
      </c>
      <c r="O361" t="s">
        <v>36</v>
      </c>
      <c r="P361" t="str">
        <f t="shared" si="45"/>
        <v>Yes</v>
      </c>
      <c r="Q361">
        <f t="shared" si="46"/>
        <v>37.630000000000003</v>
      </c>
      <c r="R361">
        <f t="shared" si="47"/>
        <v>16.149999999999999</v>
      </c>
      <c r="S361">
        <f t="shared" si="48"/>
        <v>5.03</v>
      </c>
      <c r="T361" t="str">
        <f t="shared" si="49"/>
        <v>Delayed</v>
      </c>
      <c r="U361" t="str">
        <f t="shared" si="50"/>
        <v>Medium</v>
      </c>
      <c r="V361" t="str">
        <f t="shared" si="51"/>
        <v>Low Risk</v>
      </c>
      <c r="W361" t="str">
        <f t="shared" si="52"/>
        <v>Feb</v>
      </c>
      <c r="X361">
        <f t="shared" si="53"/>
        <v>2025</v>
      </c>
    </row>
    <row r="362" spans="1:24" x14ac:dyDescent="0.35">
      <c r="A362" s="3">
        <v>45883</v>
      </c>
      <c r="B362" t="s">
        <v>142</v>
      </c>
      <c r="C362" t="s">
        <v>52</v>
      </c>
      <c r="D362" t="s">
        <v>508</v>
      </c>
      <c r="E362" t="s">
        <v>28</v>
      </c>
      <c r="F362" t="s">
        <v>41</v>
      </c>
      <c r="G362" t="s">
        <v>71</v>
      </c>
      <c r="H362">
        <v>38.5</v>
      </c>
      <c r="I362">
        <v>4209</v>
      </c>
      <c r="J362">
        <v>39</v>
      </c>
      <c r="K362">
        <v>22</v>
      </c>
      <c r="L362" t="s">
        <v>30</v>
      </c>
      <c r="M362">
        <v>17716.52</v>
      </c>
      <c r="N362">
        <v>8585</v>
      </c>
      <c r="O362" t="s">
        <v>44</v>
      </c>
      <c r="P362" t="str">
        <f t="shared" si="45"/>
        <v>Yes</v>
      </c>
      <c r="Q362">
        <f t="shared" si="46"/>
        <v>109.32</v>
      </c>
      <c r="R362">
        <f t="shared" si="47"/>
        <v>4.21</v>
      </c>
      <c r="S362">
        <f t="shared" si="48"/>
        <v>2.06</v>
      </c>
      <c r="T362" t="str">
        <f t="shared" si="49"/>
        <v>Delayed</v>
      </c>
      <c r="U362" t="str">
        <f t="shared" si="50"/>
        <v>Low</v>
      </c>
      <c r="V362" t="str">
        <f t="shared" si="51"/>
        <v>Medium Risk</v>
      </c>
      <c r="W362" t="str">
        <f t="shared" si="52"/>
        <v>Aug</v>
      </c>
      <c r="X362">
        <f t="shared" si="53"/>
        <v>2025</v>
      </c>
    </row>
    <row r="363" spans="1:24" x14ac:dyDescent="0.35">
      <c r="A363" s="3">
        <v>45742</v>
      </c>
      <c r="B363" t="s">
        <v>113</v>
      </c>
      <c r="C363" t="s">
        <v>69</v>
      </c>
      <c r="D363" t="s">
        <v>509</v>
      </c>
      <c r="E363" t="s">
        <v>55</v>
      </c>
      <c r="F363" t="s">
        <v>28</v>
      </c>
      <c r="G363" t="s">
        <v>35</v>
      </c>
      <c r="H363">
        <v>63.7</v>
      </c>
      <c r="I363">
        <v>1824</v>
      </c>
      <c r="J363">
        <v>77</v>
      </c>
      <c r="K363">
        <v>17.7</v>
      </c>
      <c r="L363" t="s">
        <v>43</v>
      </c>
      <c r="M363">
        <v>43546.23</v>
      </c>
      <c r="N363">
        <v>6616</v>
      </c>
      <c r="O363" t="s">
        <v>50</v>
      </c>
      <c r="P363" t="str">
        <f t="shared" si="45"/>
        <v>Yes</v>
      </c>
      <c r="Q363">
        <f t="shared" si="46"/>
        <v>28.63</v>
      </c>
      <c r="R363">
        <f t="shared" si="47"/>
        <v>23.87</v>
      </c>
      <c r="S363">
        <f t="shared" si="48"/>
        <v>6.58</v>
      </c>
      <c r="T363" t="str">
        <f t="shared" si="49"/>
        <v>Delayed</v>
      </c>
      <c r="U363" t="str">
        <f t="shared" si="50"/>
        <v>High</v>
      </c>
      <c r="V363" t="str">
        <f t="shared" si="51"/>
        <v>Low Risk</v>
      </c>
      <c r="W363" t="str">
        <f t="shared" si="52"/>
        <v>Mar</v>
      </c>
      <c r="X363">
        <f t="shared" si="53"/>
        <v>2025</v>
      </c>
    </row>
    <row r="364" spans="1:24" x14ac:dyDescent="0.35">
      <c r="A364" s="3">
        <v>45762</v>
      </c>
      <c r="B364" t="s">
        <v>92</v>
      </c>
      <c r="C364" t="s">
        <v>39</v>
      </c>
      <c r="D364" t="s">
        <v>510</v>
      </c>
      <c r="E364" t="s">
        <v>66</v>
      </c>
      <c r="F364" t="s">
        <v>28</v>
      </c>
      <c r="G364" t="s">
        <v>35</v>
      </c>
      <c r="H364">
        <v>67</v>
      </c>
      <c r="I364">
        <v>4317</v>
      </c>
      <c r="J364">
        <v>89</v>
      </c>
      <c r="K364">
        <v>12.5</v>
      </c>
      <c r="L364" t="s">
        <v>43</v>
      </c>
      <c r="M364">
        <v>42734.28</v>
      </c>
      <c r="N364">
        <v>7914</v>
      </c>
      <c r="O364" t="s">
        <v>36</v>
      </c>
      <c r="P364" t="str">
        <f t="shared" si="45"/>
        <v>Yes</v>
      </c>
      <c r="Q364">
        <f t="shared" si="46"/>
        <v>64.430000000000007</v>
      </c>
      <c r="R364">
        <f t="shared" si="47"/>
        <v>9.9</v>
      </c>
      <c r="S364">
        <f t="shared" si="48"/>
        <v>5.4</v>
      </c>
      <c r="T364" t="str">
        <f t="shared" si="49"/>
        <v>Delayed</v>
      </c>
      <c r="U364" t="str">
        <f t="shared" si="50"/>
        <v>High</v>
      </c>
      <c r="V364" t="str">
        <f t="shared" si="51"/>
        <v>Low Risk</v>
      </c>
      <c r="W364" t="str">
        <f t="shared" si="52"/>
        <v>Apr</v>
      </c>
      <c r="X364">
        <f t="shared" si="53"/>
        <v>2025</v>
      </c>
    </row>
    <row r="365" spans="1:24" x14ac:dyDescent="0.35">
      <c r="A365" s="3">
        <v>45851</v>
      </c>
      <c r="B365" t="s">
        <v>80</v>
      </c>
      <c r="C365" t="s">
        <v>109</v>
      </c>
      <c r="D365" t="s">
        <v>511</v>
      </c>
      <c r="E365" t="s">
        <v>66</v>
      </c>
      <c r="F365" t="s">
        <v>63</v>
      </c>
      <c r="G365" t="s">
        <v>29</v>
      </c>
      <c r="H365">
        <v>35.4</v>
      </c>
      <c r="I365">
        <v>3250</v>
      </c>
      <c r="J365">
        <v>27</v>
      </c>
      <c r="K365">
        <v>11.6</v>
      </c>
      <c r="L365" t="s">
        <v>43</v>
      </c>
      <c r="M365">
        <v>21334.22</v>
      </c>
      <c r="N365">
        <v>16283</v>
      </c>
      <c r="O365" t="s">
        <v>67</v>
      </c>
      <c r="P365" t="str">
        <f t="shared" si="45"/>
        <v>Yes</v>
      </c>
      <c r="Q365">
        <f t="shared" si="46"/>
        <v>91.81</v>
      </c>
      <c r="R365">
        <f t="shared" si="47"/>
        <v>6.56</v>
      </c>
      <c r="S365">
        <f t="shared" si="48"/>
        <v>1.31</v>
      </c>
      <c r="T365" t="str">
        <f t="shared" si="49"/>
        <v>Delayed</v>
      </c>
      <c r="U365" t="str">
        <f t="shared" si="50"/>
        <v>Low</v>
      </c>
      <c r="V365" t="str">
        <f t="shared" si="51"/>
        <v>Low Risk</v>
      </c>
      <c r="W365" t="str">
        <f t="shared" si="52"/>
        <v>Jul</v>
      </c>
      <c r="X365">
        <f t="shared" si="53"/>
        <v>2025</v>
      </c>
    </row>
    <row r="366" spans="1:24" x14ac:dyDescent="0.35">
      <c r="A366" s="3">
        <v>45965</v>
      </c>
      <c r="B366" t="s">
        <v>33</v>
      </c>
      <c r="C366" t="s">
        <v>25</v>
      </c>
      <c r="D366" t="s">
        <v>512</v>
      </c>
      <c r="E366" t="s">
        <v>48</v>
      </c>
      <c r="F366" t="s">
        <v>41</v>
      </c>
      <c r="G366" t="s">
        <v>29</v>
      </c>
      <c r="H366">
        <v>39.799999999999997</v>
      </c>
      <c r="I366">
        <v>4211</v>
      </c>
      <c r="J366">
        <v>49</v>
      </c>
      <c r="K366">
        <v>11.9</v>
      </c>
      <c r="L366" t="s">
        <v>43</v>
      </c>
      <c r="M366">
        <v>19642.919999999998</v>
      </c>
      <c r="N366">
        <v>28398</v>
      </c>
      <c r="O366" t="s">
        <v>84</v>
      </c>
      <c r="P366" t="str">
        <f t="shared" si="45"/>
        <v>Yes</v>
      </c>
      <c r="Q366">
        <f t="shared" si="46"/>
        <v>105.8</v>
      </c>
      <c r="R366">
        <f t="shared" si="47"/>
        <v>4.66</v>
      </c>
      <c r="S366">
        <f t="shared" si="48"/>
        <v>0.69</v>
      </c>
      <c r="T366" t="str">
        <f t="shared" si="49"/>
        <v>Delayed</v>
      </c>
      <c r="U366" t="str">
        <f t="shared" si="50"/>
        <v>Low</v>
      </c>
      <c r="V366" t="str">
        <f t="shared" si="51"/>
        <v>Low Risk</v>
      </c>
      <c r="W366" t="str">
        <f t="shared" si="52"/>
        <v>Nov</v>
      </c>
      <c r="X366">
        <f t="shared" si="53"/>
        <v>2025</v>
      </c>
    </row>
    <row r="367" spans="1:24" x14ac:dyDescent="0.35">
      <c r="A367" s="3">
        <v>45747</v>
      </c>
      <c r="B367" t="s">
        <v>221</v>
      </c>
      <c r="C367" t="s">
        <v>69</v>
      </c>
      <c r="D367" t="s">
        <v>513</v>
      </c>
      <c r="E367" t="s">
        <v>41</v>
      </c>
      <c r="F367" t="s">
        <v>27</v>
      </c>
      <c r="G367" t="s">
        <v>42</v>
      </c>
      <c r="H367">
        <v>60.4</v>
      </c>
      <c r="I367">
        <v>2037</v>
      </c>
      <c r="J367">
        <v>81</v>
      </c>
      <c r="K367">
        <v>11.9</v>
      </c>
      <c r="L367" t="s">
        <v>30</v>
      </c>
      <c r="M367">
        <v>31055.82</v>
      </c>
      <c r="N367">
        <v>10484</v>
      </c>
      <c r="O367" t="s">
        <v>91</v>
      </c>
      <c r="P367" t="str">
        <f t="shared" si="45"/>
        <v>Yes</v>
      </c>
      <c r="Q367">
        <f t="shared" si="46"/>
        <v>33.729999999999997</v>
      </c>
      <c r="R367">
        <f t="shared" si="47"/>
        <v>15.25</v>
      </c>
      <c r="S367">
        <f t="shared" si="48"/>
        <v>2.96</v>
      </c>
      <c r="T367" t="str">
        <f t="shared" si="49"/>
        <v>Delayed</v>
      </c>
      <c r="U367" t="str">
        <f t="shared" si="50"/>
        <v>High</v>
      </c>
      <c r="V367" t="str">
        <f t="shared" si="51"/>
        <v>Medium Risk</v>
      </c>
      <c r="W367" t="str">
        <f t="shared" si="52"/>
        <v>Mar</v>
      </c>
      <c r="X367">
        <f t="shared" si="53"/>
        <v>2025</v>
      </c>
    </row>
    <row r="368" spans="1:24" x14ac:dyDescent="0.35">
      <c r="A368" s="3">
        <v>45870</v>
      </c>
      <c r="B368" t="s">
        <v>94</v>
      </c>
      <c r="C368" t="s">
        <v>52</v>
      </c>
      <c r="D368" t="s">
        <v>514</v>
      </c>
      <c r="E368" t="s">
        <v>28</v>
      </c>
      <c r="F368" t="s">
        <v>41</v>
      </c>
      <c r="G368" t="s">
        <v>35</v>
      </c>
      <c r="H368">
        <v>30.3</v>
      </c>
      <c r="I368">
        <v>3677</v>
      </c>
      <c r="J368">
        <v>115</v>
      </c>
      <c r="K368">
        <v>22</v>
      </c>
      <c r="L368" t="s">
        <v>30</v>
      </c>
      <c r="M368">
        <v>20737.77</v>
      </c>
      <c r="N368">
        <v>21539</v>
      </c>
      <c r="O368" t="s">
        <v>67</v>
      </c>
      <c r="P368" t="str">
        <f t="shared" si="45"/>
        <v>Yes</v>
      </c>
      <c r="Q368">
        <f t="shared" si="46"/>
        <v>121.35</v>
      </c>
      <c r="R368">
        <f t="shared" si="47"/>
        <v>5.64</v>
      </c>
      <c r="S368">
        <f t="shared" si="48"/>
        <v>0.96</v>
      </c>
      <c r="T368" t="str">
        <f t="shared" si="49"/>
        <v>Delayed</v>
      </c>
      <c r="U368" t="str">
        <f t="shared" si="50"/>
        <v>Low</v>
      </c>
      <c r="V368" t="str">
        <f t="shared" si="51"/>
        <v>Medium Risk</v>
      </c>
      <c r="W368" t="str">
        <f t="shared" si="52"/>
        <v>Aug</v>
      </c>
      <c r="X368">
        <f t="shared" si="53"/>
        <v>2025</v>
      </c>
    </row>
    <row r="369" spans="1:24" x14ac:dyDescent="0.35">
      <c r="A369" s="3">
        <v>45694</v>
      </c>
      <c r="B369" t="s">
        <v>256</v>
      </c>
      <c r="C369" t="s">
        <v>95</v>
      </c>
      <c r="D369" t="s">
        <v>515</v>
      </c>
      <c r="E369" t="s">
        <v>54</v>
      </c>
      <c r="F369" t="s">
        <v>55</v>
      </c>
      <c r="G369" t="s">
        <v>35</v>
      </c>
      <c r="H369">
        <v>32.799999999999997</v>
      </c>
      <c r="I369">
        <v>1225</v>
      </c>
      <c r="J369">
        <v>71</v>
      </c>
      <c r="K369">
        <v>21.8</v>
      </c>
      <c r="L369" t="s">
        <v>43</v>
      </c>
      <c r="M369">
        <v>15451.67</v>
      </c>
      <c r="N369">
        <v>10935</v>
      </c>
      <c r="O369" t="s">
        <v>59</v>
      </c>
      <c r="P369" t="str">
        <f t="shared" si="45"/>
        <v>Yes</v>
      </c>
      <c r="Q369">
        <f t="shared" si="46"/>
        <v>37.35</v>
      </c>
      <c r="R369">
        <f t="shared" si="47"/>
        <v>12.61</v>
      </c>
      <c r="S369">
        <f t="shared" si="48"/>
        <v>1.41</v>
      </c>
      <c r="T369" t="str">
        <f t="shared" si="49"/>
        <v>Delayed</v>
      </c>
      <c r="U369" t="str">
        <f t="shared" si="50"/>
        <v>Low</v>
      </c>
      <c r="V369" t="str">
        <f t="shared" si="51"/>
        <v>Low Risk</v>
      </c>
      <c r="W369" t="str">
        <f t="shared" si="52"/>
        <v>Feb</v>
      </c>
      <c r="X369">
        <f t="shared" si="53"/>
        <v>2025</v>
      </c>
    </row>
    <row r="370" spans="1:24" x14ac:dyDescent="0.35">
      <c r="A370" s="3">
        <v>46014</v>
      </c>
      <c r="B370" t="s">
        <v>233</v>
      </c>
      <c r="C370" t="s">
        <v>69</v>
      </c>
      <c r="D370" t="s">
        <v>516</v>
      </c>
      <c r="E370" t="s">
        <v>55</v>
      </c>
      <c r="F370" t="s">
        <v>54</v>
      </c>
      <c r="G370" t="s">
        <v>71</v>
      </c>
      <c r="H370">
        <v>23.6</v>
      </c>
      <c r="I370">
        <v>4352</v>
      </c>
      <c r="J370">
        <v>92</v>
      </c>
      <c r="K370">
        <v>19.600000000000001</v>
      </c>
      <c r="L370" t="s">
        <v>43</v>
      </c>
      <c r="M370">
        <v>10960.92</v>
      </c>
      <c r="N370">
        <v>26685</v>
      </c>
      <c r="O370" t="s">
        <v>44</v>
      </c>
      <c r="P370" t="str">
        <f t="shared" si="45"/>
        <v>Yes</v>
      </c>
      <c r="Q370">
        <f t="shared" si="46"/>
        <v>184.41</v>
      </c>
      <c r="R370">
        <f t="shared" si="47"/>
        <v>2.52</v>
      </c>
      <c r="S370">
        <f t="shared" si="48"/>
        <v>0.41</v>
      </c>
      <c r="T370" t="str">
        <f t="shared" si="49"/>
        <v>Delayed</v>
      </c>
      <c r="U370" t="str">
        <f t="shared" si="50"/>
        <v>Low</v>
      </c>
      <c r="V370" t="str">
        <f t="shared" si="51"/>
        <v>Low Risk</v>
      </c>
      <c r="W370" t="str">
        <f t="shared" si="52"/>
        <v>Dec</v>
      </c>
      <c r="X370">
        <f t="shared" si="53"/>
        <v>2025</v>
      </c>
    </row>
    <row r="371" spans="1:24" x14ac:dyDescent="0.35">
      <c r="A371" s="3">
        <v>45715</v>
      </c>
      <c r="B371" t="s">
        <v>277</v>
      </c>
      <c r="C371" t="s">
        <v>95</v>
      </c>
      <c r="D371" t="s">
        <v>517</v>
      </c>
      <c r="E371" t="s">
        <v>55</v>
      </c>
      <c r="F371" t="s">
        <v>54</v>
      </c>
      <c r="G371" t="s">
        <v>29</v>
      </c>
      <c r="H371">
        <v>60.4</v>
      </c>
      <c r="I371">
        <v>2188</v>
      </c>
      <c r="J371">
        <v>46</v>
      </c>
      <c r="K371">
        <v>16.8</v>
      </c>
      <c r="L371" t="s">
        <v>30</v>
      </c>
      <c r="M371">
        <v>30437.24</v>
      </c>
      <c r="N371">
        <v>11304</v>
      </c>
      <c r="O371" t="s">
        <v>36</v>
      </c>
      <c r="P371" t="str">
        <f t="shared" si="45"/>
        <v>Yes</v>
      </c>
      <c r="Q371">
        <f t="shared" si="46"/>
        <v>36.229999999999997</v>
      </c>
      <c r="R371">
        <f t="shared" si="47"/>
        <v>13.91</v>
      </c>
      <c r="S371">
        <f t="shared" si="48"/>
        <v>2.69</v>
      </c>
      <c r="T371" t="str">
        <f t="shared" si="49"/>
        <v>Delayed</v>
      </c>
      <c r="U371" t="str">
        <f t="shared" si="50"/>
        <v>High</v>
      </c>
      <c r="V371" t="str">
        <f t="shared" si="51"/>
        <v>Medium Risk</v>
      </c>
      <c r="W371" t="str">
        <f t="shared" si="52"/>
        <v>Feb</v>
      </c>
      <c r="X371">
        <f t="shared" si="53"/>
        <v>2025</v>
      </c>
    </row>
    <row r="372" spans="1:24" x14ac:dyDescent="0.35">
      <c r="A372" s="3">
        <v>46020</v>
      </c>
      <c r="B372" t="s">
        <v>157</v>
      </c>
      <c r="C372" t="s">
        <v>39</v>
      </c>
      <c r="D372" t="s">
        <v>518</v>
      </c>
      <c r="E372" t="s">
        <v>28</v>
      </c>
      <c r="F372" t="s">
        <v>63</v>
      </c>
      <c r="G372" t="s">
        <v>29</v>
      </c>
      <c r="H372">
        <v>53.8</v>
      </c>
      <c r="I372">
        <v>3026</v>
      </c>
      <c r="J372">
        <v>119</v>
      </c>
      <c r="K372">
        <v>13.1</v>
      </c>
      <c r="L372" t="s">
        <v>43</v>
      </c>
      <c r="M372">
        <v>34323.35</v>
      </c>
      <c r="N372">
        <v>13954</v>
      </c>
      <c r="O372" t="s">
        <v>36</v>
      </c>
      <c r="P372" t="str">
        <f t="shared" si="45"/>
        <v>Yes</v>
      </c>
      <c r="Q372">
        <f t="shared" si="46"/>
        <v>56.25</v>
      </c>
      <c r="R372">
        <f t="shared" si="47"/>
        <v>11.34</v>
      </c>
      <c r="S372">
        <f t="shared" si="48"/>
        <v>2.46</v>
      </c>
      <c r="T372" t="str">
        <f t="shared" si="49"/>
        <v>Delayed</v>
      </c>
      <c r="U372" t="str">
        <f t="shared" si="50"/>
        <v>Medium</v>
      </c>
      <c r="V372" t="str">
        <f t="shared" si="51"/>
        <v>Low Risk</v>
      </c>
      <c r="W372" t="str">
        <f t="shared" si="52"/>
        <v>Dec</v>
      </c>
      <c r="X372">
        <f t="shared" si="53"/>
        <v>2025</v>
      </c>
    </row>
    <row r="373" spans="1:24" x14ac:dyDescent="0.35">
      <c r="A373" s="3">
        <v>45877</v>
      </c>
      <c r="B373" t="s">
        <v>118</v>
      </c>
      <c r="C373" t="s">
        <v>69</v>
      </c>
      <c r="D373" t="s">
        <v>519</v>
      </c>
      <c r="E373" t="s">
        <v>41</v>
      </c>
      <c r="F373" t="s">
        <v>28</v>
      </c>
      <c r="G373" t="s">
        <v>35</v>
      </c>
      <c r="H373">
        <v>57.7</v>
      </c>
      <c r="I373">
        <v>4552</v>
      </c>
      <c r="J373">
        <v>118</v>
      </c>
      <c r="K373">
        <v>15.8</v>
      </c>
      <c r="L373" t="s">
        <v>30</v>
      </c>
      <c r="M373">
        <v>29947.61</v>
      </c>
      <c r="N373">
        <v>16519</v>
      </c>
      <c r="O373" t="s">
        <v>59</v>
      </c>
      <c r="P373" t="str">
        <f t="shared" si="45"/>
        <v>Yes</v>
      </c>
      <c r="Q373">
        <f t="shared" si="46"/>
        <v>78.89</v>
      </c>
      <c r="R373">
        <f t="shared" si="47"/>
        <v>6.58</v>
      </c>
      <c r="S373">
        <f t="shared" si="48"/>
        <v>1.81</v>
      </c>
      <c r="T373" t="str">
        <f t="shared" si="49"/>
        <v>Delayed</v>
      </c>
      <c r="U373" t="str">
        <f t="shared" si="50"/>
        <v>Medium</v>
      </c>
      <c r="V373" t="str">
        <f t="shared" si="51"/>
        <v>Medium Risk</v>
      </c>
      <c r="W373" t="str">
        <f t="shared" si="52"/>
        <v>Aug</v>
      </c>
      <c r="X373">
        <f t="shared" si="53"/>
        <v>2025</v>
      </c>
    </row>
    <row r="374" spans="1:24" x14ac:dyDescent="0.35">
      <c r="A374" s="3">
        <v>45732</v>
      </c>
      <c r="B374" t="s">
        <v>463</v>
      </c>
      <c r="C374" t="s">
        <v>130</v>
      </c>
      <c r="D374" t="s">
        <v>520</v>
      </c>
      <c r="E374" t="s">
        <v>27</v>
      </c>
      <c r="F374" t="s">
        <v>66</v>
      </c>
      <c r="G374" t="s">
        <v>42</v>
      </c>
      <c r="H374">
        <v>61.3</v>
      </c>
      <c r="I374">
        <v>535</v>
      </c>
      <c r="J374">
        <v>85</v>
      </c>
      <c r="K374">
        <v>17.399999999999999</v>
      </c>
      <c r="L374" t="s">
        <v>43</v>
      </c>
      <c r="M374">
        <v>42664.17</v>
      </c>
      <c r="N374">
        <v>18042</v>
      </c>
      <c r="O374" t="s">
        <v>31</v>
      </c>
      <c r="P374" t="str">
        <f t="shared" si="45"/>
        <v>Yes</v>
      </c>
      <c r="Q374">
        <f t="shared" si="46"/>
        <v>8.73</v>
      </c>
      <c r="R374">
        <f t="shared" si="47"/>
        <v>79.75</v>
      </c>
      <c r="S374">
        <f t="shared" si="48"/>
        <v>2.36</v>
      </c>
      <c r="T374" t="str">
        <f t="shared" si="49"/>
        <v>Delayed</v>
      </c>
      <c r="U374" t="str">
        <f t="shared" si="50"/>
        <v>High</v>
      </c>
      <c r="V374" t="str">
        <f t="shared" si="51"/>
        <v>Low Risk</v>
      </c>
      <c r="W374" t="str">
        <f t="shared" si="52"/>
        <v>Mar</v>
      </c>
      <c r="X374">
        <f t="shared" si="53"/>
        <v>2025</v>
      </c>
    </row>
    <row r="375" spans="1:24" x14ac:dyDescent="0.35">
      <c r="A375" s="3">
        <v>45942</v>
      </c>
      <c r="B375" t="s">
        <v>152</v>
      </c>
      <c r="C375" t="s">
        <v>39</v>
      </c>
      <c r="D375" t="s">
        <v>521</v>
      </c>
      <c r="E375" t="s">
        <v>28</v>
      </c>
      <c r="F375" t="s">
        <v>54</v>
      </c>
      <c r="G375" t="s">
        <v>35</v>
      </c>
      <c r="H375">
        <v>72</v>
      </c>
      <c r="I375">
        <v>853</v>
      </c>
      <c r="J375">
        <v>57</v>
      </c>
      <c r="K375">
        <v>19.100000000000001</v>
      </c>
      <c r="L375" t="s">
        <v>30</v>
      </c>
      <c r="M375">
        <v>33519.620000000003</v>
      </c>
      <c r="N375">
        <v>28831</v>
      </c>
      <c r="O375" t="s">
        <v>36</v>
      </c>
      <c r="P375" t="str">
        <f t="shared" si="45"/>
        <v>Yes</v>
      </c>
      <c r="Q375">
        <f t="shared" si="46"/>
        <v>11.85</v>
      </c>
      <c r="R375">
        <f t="shared" si="47"/>
        <v>39.299999999999997</v>
      </c>
      <c r="S375">
        <f t="shared" si="48"/>
        <v>1.1599999999999999</v>
      </c>
      <c r="T375" t="str">
        <f t="shared" si="49"/>
        <v>Delayed</v>
      </c>
      <c r="U375" t="str">
        <f t="shared" si="50"/>
        <v>High</v>
      </c>
      <c r="V375" t="str">
        <f t="shared" si="51"/>
        <v>Medium Risk</v>
      </c>
      <c r="W375" t="str">
        <f t="shared" si="52"/>
        <v>Oct</v>
      </c>
      <c r="X375">
        <f t="shared" si="53"/>
        <v>2025</v>
      </c>
    </row>
    <row r="376" spans="1:24" x14ac:dyDescent="0.35">
      <c r="A376" s="3">
        <v>45673</v>
      </c>
      <c r="B376" t="s">
        <v>463</v>
      </c>
      <c r="C376" t="s">
        <v>95</v>
      </c>
      <c r="D376" t="s">
        <v>522</v>
      </c>
      <c r="E376" t="s">
        <v>41</v>
      </c>
      <c r="F376" t="s">
        <v>63</v>
      </c>
      <c r="G376" t="s">
        <v>29</v>
      </c>
      <c r="H376">
        <v>47.8</v>
      </c>
      <c r="I376">
        <v>4956</v>
      </c>
      <c r="J376">
        <v>63</v>
      </c>
      <c r="K376">
        <v>10.5</v>
      </c>
      <c r="L376" t="s">
        <v>43</v>
      </c>
      <c r="M376">
        <v>32057.65</v>
      </c>
      <c r="N376">
        <v>10189</v>
      </c>
      <c r="O376" t="s">
        <v>59</v>
      </c>
      <c r="P376" t="str">
        <f t="shared" si="45"/>
        <v>Yes</v>
      </c>
      <c r="Q376">
        <f t="shared" si="46"/>
        <v>103.68</v>
      </c>
      <c r="R376">
        <f t="shared" si="47"/>
        <v>6.47</v>
      </c>
      <c r="S376">
        <f t="shared" si="48"/>
        <v>3.15</v>
      </c>
      <c r="T376" t="str">
        <f t="shared" si="49"/>
        <v>Delayed</v>
      </c>
      <c r="U376" t="str">
        <f t="shared" si="50"/>
        <v>Medium</v>
      </c>
      <c r="V376" t="str">
        <f t="shared" si="51"/>
        <v>Low Risk</v>
      </c>
      <c r="W376" t="str">
        <f t="shared" si="52"/>
        <v>Jan</v>
      </c>
      <c r="X376">
        <f t="shared" si="53"/>
        <v>2025</v>
      </c>
    </row>
    <row r="377" spans="1:24" x14ac:dyDescent="0.35">
      <c r="A377" s="3">
        <v>45685</v>
      </c>
      <c r="B377" t="s">
        <v>127</v>
      </c>
      <c r="C377" t="s">
        <v>109</v>
      </c>
      <c r="D377" t="s">
        <v>523</v>
      </c>
      <c r="E377" t="s">
        <v>27</v>
      </c>
      <c r="F377" t="s">
        <v>63</v>
      </c>
      <c r="G377" t="s">
        <v>42</v>
      </c>
      <c r="H377">
        <v>46.9</v>
      </c>
      <c r="I377">
        <v>3609</v>
      </c>
      <c r="J377">
        <v>81</v>
      </c>
      <c r="K377">
        <v>21</v>
      </c>
      <c r="L377" t="s">
        <v>43</v>
      </c>
      <c r="M377">
        <v>26298.47</v>
      </c>
      <c r="N377">
        <v>10920</v>
      </c>
      <c r="O377" t="s">
        <v>44</v>
      </c>
      <c r="P377" t="str">
        <f t="shared" si="45"/>
        <v>Yes</v>
      </c>
      <c r="Q377">
        <f t="shared" si="46"/>
        <v>76.95</v>
      </c>
      <c r="R377">
        <f t="shared" si="47"/>
        <v>7.29</v>
      </c>
      <c r="S377">
        <f t="shared" si="48"/>
        <v>2.41</v>
      </c>
      <c r="T377" t="str">
        <f t="shared" si="49"/>
        <v>Delayed</v>
      </c>
      <c r="U377" t="str">
        <f t="shared" si="50"/>
        <v>Medium</v>
      </c>
      <c r="V377" t="str">
        <f t="shared" si="51"/>
        <v>Low Risk</v>
      </c>
      <c r="W377" t="str">
        <f t="shared" si="52"/>
        <v>Jan</v>
      </c>
      <c r="X377">
        <f t="shared" si="53"/>
        <v>2025</v>
      </c>
    </row>
    <row r="378" spans="1:24" x14ac:dyDescent="0.35">
      <c r="A378" s="3">
        <v>45721</v>
      </c>
      <c r="B378" t="s">
        <v>104</v>
      </c>
      <c r="C378" t="s">
        <v>95</v>
      </c>
      <c r="D378" t="s">
        <v>524</v>
      </c>
      <c r="E378" t="s">
        <v>66</v>
      </c>
      <c r="F378" t="s">
        <v>28</v>
      </c>
      <c r="G378" t="s">
        <v>35</v>
      </c>
      <c r="H378">
        <v>36.1</v>
      </c>
      <c r="I378">
        <v>4556</v>
      </c>
      <c r="J378">
        <v>80</v>
      </c>
      <c r="K378">
        <v>13.4</v>
      </c>
      <c r="L378" t="s">
        <v>43</v>
      </c>
      <c r="M378">
        <v>17710.77</v>
      </c>
      <c r="N378">
        <v>6530</v>
      </c>
      <c r="O378" t="s">
        <v>31</v>
      </c>
      <c r="P378" t="str">
        <f t="shared" si="45"/>
        <v>Yes</v>
      </c>
      <c r="Q378">
        <f t="shared" si="46"/>
        <v>126.2</v>
      </c>
      <c r="R378">
        <f t="shared" si="47"/>
        <v>3.89</v>
      </c>
      <c r="S378">
        <f t="shared" si="48"/>
        <v>2.71</v>
      </c>
      <c r="T378" t="str">
        <f t="shared" si="49"/>
        <v>Delayed</v>
      </c>
      <c r="U378" t="str">
        <f t="shared" si="50"/>
        <v>Low</v>
      </c>
      <c r="V378" t="str">
        <f t="shared" si="51"/>
        <v>Low Risk</v>
      </c>
      <c r="W378" t="str">
        <f t="shared" si="52"/>
        <v>Mar</v>
      </c>
      <c r="X378">
        <f t="shared" si="53"/>
        <v>2025</v>
      </c>
    </row>
    <row r="379" spans="1:24" x14ac:dyDescent="0.35">
      <c r="A379" s="3">
        <v>45885</v>
      </c>
      <c r="B379" t="s">
        <v>76</v>
      </c>
      <c r="C379" t="s">
        <v>25</v>
      </c>
      <c r="D379" t="s">
        <v>525</v>
      </c>
      <c r="E379" t="s">
        <v>48</v>
      </c>
      <c r="F379" t="s">
        <v>63</v>
      </c>
      <c r="G379" t="s">
        <v>35</v>
      </c>
      <c r="H379">
        <v>25.6</v>
      </c>
      <c r="I379">
        <v>4136</v>
      </c>
      <c r="J379">
        <v>66</v>
      </c>
      <c r="K379">
        <v>15.8</v>
      </c>
      <c r="L379" t="s">
        <v>43</v>
      </c>
      <c r="M379">
        <v>12008.22</v>
      </c>
      <c r="N379">
        <v>20287</v>
      </c>
      <c r="O379" t="s">
        <v>59</v>
      </c>
      <c r="P379" t="str">
        <f t="shared" si="45"/>
        <v>Yes</v>
      </c>
      <c r="Q379">
        <f t="shared" si="46"/>
        <v>161.56</v>
      </c>
      <c r="R379">
        <f t="shared" si="47"/>
        <v>2.9</v>
      </c>
      <c r="S379">
        <f t="shared" si="48"/>
        <v>0.59</v>
      </c>
      <c r="T379" t="str">
        <f t="shared" si="49"/>
        <v>Delayed</v>
      </c>
      <c r="U379" t="str">
        <f t="shared" si="50"/>
        <v>Low</v>
      </c>
      <c r="V379" t="str">
        <f t="shared" si="51"/>
        <v>Low Risk</v>
      </c>
      <c r="W379" t="str">
        <f t="shared" si="52"/>
        <v>Aug</v>
      </c>
      <c r="X379">
        <f t="shared" si="53"/>
        <v>2025</v>
      </c>
    </row>
    <row r="380" spans="1:24" x14ac:dyDescent="0.35">
      <c r="A380" s="3">
        <v>45980</v>
      </c>
      <c r="B380" t="s">
        <v>463</v>
      </c>
      <c r="C380" t="s">
        <v>25</v>
      </c>
      <c r="D380" t="s">
        <v>526</v>
      </c>
      <c r="E380" t="s">
        <v>48</v>
      </c>
      <c r="F380" t="s">
        <v>54</v>
      </c>
      <c r="G380" t="s">
        <v>29</v>
      </c>
      <c r="H380">
        <v>34.4</v>
      </c>
      <c r="I380">
        <v>3005</v>
      </c>
      <c r="J380">
        <v>87</v>
      </c>
      <c r="K380">
        <v>12.1</v>
      </c>
      <c r="L380" t="s">
        <v>30</v>
      </c>
      <c r="M380">
        <v>18539.12</v>
      </c>
      <c r="N380">
        <v>26956</v>
      </c>
      <c r="O380" t="s">
        <v>59</v>
      </c>
      <c r="P380" t="str">
        <f t="shared" si="45"/>
        <v>Yes</v>
      </c>
      <c r="Q380">
        <f t="shared" si="46"/>
        <v>87.35</v>
      </c>
      <c r="R380">
        <f t="shared" si="47"/>
        <v>6.17</v>
      </c>
      <c r="S380">
        <f t="shared" si="48"/>
        <v>0.69</v>
      </c>
      <c r="T380" t="str">
        <f t="shared" si="49"/>
        <v>Delayed</v>
      </c>
      <c r="U380" t="str">
        <f t="shared" si="50"/>
        <v>Low</v>
      </c>
      <c r="V380" t="str">
        <f t="shared" si="51"/>
        <v>Medium Risk</v>
      </c>
      <c r="W380" t="str">
        <f t="shared" si="52"/>
        <v>Nov</v>
      </c>
      <c r="X380">
        <f t="shared" si="53"/>
        <v>2025</v>
      </c>
    </row>
    <row r="381" spans="1:24" x14ac:dyDescent="0.35">
      <c r="A381" s="3">
        <v>45949</v>
      </c>
      <c r="B381" t="s">
        <v>64</v>
      </c>
      <c r="C381" t="s">
        <v>52</v>
      </c>
      <c r="D381" t="s">
        <v>527</v>
      </c>
      <c r="E381" t="s">
        <v>55</v>
      </c>
      <c r="F381" t="s">
        <v>27</v>
      </c>
      <c r="G381" t="s">
        <v>35</v>
      </c>
      <c r="H381">
        <v>31.8</v>
      </c>
      <c r="I381">
        <v>2156</v>
      </c>
      <c r="J381">
        <v>109</v>
      </c>
      <c r="K381">
        <v>19</v>
      </c>
      <c r="L381" t="s">
        <v>30</v>
      </c>
      <c r="M381">
        <v>19810.259999999998</v>
      </c>
      <c r="N381">
        <v>7282</v>
      </c>
      <c r="O381" t="s">
        <v>31</v>
      </c>
      <c r="P381" t="str">
        <f t="shared" si="45"/>
        <v>Yes</v>
      </c>
      <c r="Q381">
        <f t="shared" si="46"/>
        <v>67.8</v>
      </c>
      <c r="R381">
        <f t="shared" si="47"/>
        <v>9.19</v>
      </c>
      <c r="S381">
        <f t="shared" si="48"/>
        <v>2.72</v>
      </c>
      <c r="T381" t="str">
        <f t="shared" si="49"/>
        <v>Delayed</v>
      </c>
      <c r="U381" t="str">
        <f t="shared" si="50"/>
        <v>Low</v>
      </c>
      <c r="V381" t="str">
        <f t="shared" si="51"/>
        <v>Medium Risk</v>
      </c>
      <c r="W381" t="str">
        <f t="shared" si="52"/>
        <v>Oct</v>
      </c>
      <c r="X381">
        <f t="shared" si="53"/>
        <v>2025</v>
      </c>
    </row>
    <row r="382" spans="1:24" x14ac:dyDescent="0.35">
      <c r="A382" s="3">
        <v>45861</v>
      </c>
      <c r="B382" t="s">
        <v>157</v>
      </c>
      <c r="C382" t="s">
        <v>25</v>
      </c>
      <c r="D382" t="s">
        <v>528</v>
      </c>
      <c r="E382" t="s">
        <v>66</v>
      </c>
      <c r="F382" t="s">
        <v>28</v>
      </c>
      <c r="G382" t="s">
        <v>35</v>
      </c>
      <c r="H382">
        <v>75.5</v>
      </c>
      <c r="I382">
        <v>3849</v>
      </c>
      <c r="J382">
        <v>37</v>
      </c>
      <c r="K382">
        <v>15.3</v>
      </c>
      <c r="L382" t="s">
        <v>49</v>
      </c>
      <c r="M382">
        <v>47820.35</v>
      </c>
      <c r="N382">
        <v>5249</v>
      </c>
      <c r="O382" t="s">
        <v>84</v>
      </c>
      <c r="P382" t="str">
        <f t="shared" si="45"/>
        <v>Yes</v>
      </c>
      <c r="Q382">
        <f t="shared" si="46"/>
        <v>50.98</v>
      </c>
      <c r="R382">
        <f t="shared" si="47"/>
        <v>12.42</v>
      </c>
      <c r="S382">
        <f t="shared" si="48"/>
        <v>9.11</v>
      </c>
      <c r="T382" t="str">
        <f t="shared" si="49"/>
        <v>Delayed</v>
      </c>
      <c r="U382" t="str">
        <f t="shared" si="50"/>
        <v>High</v>
      </c>
      <c r="V382" t="str">
        <f t="shared" si="51"/>
        <v>High Risk</v>
      </c>
      <c r="W382" t="str">
        <f t="shared" si="52"/>
        <v>Jul</v>
      </c>
      <c r="X382">
        <f t="shared" si="53"/>
        <v>2025</v>
      </c>
    </row>
    <row r="383" spans="1:24" x14ac:dyDescent="0.35">
      <c r="A383" s="3">
        <v>45780</v>
      </c>
      <c r="B383" t="s">
        <v>349</v>
      </c>
      <c r="C383" t="s">
        <v>69</v>
      </c>
      <c r="D383" t="s">
        <v>529</v>
      </c>
      <c r="E383" t="s">
        <v>55</v>
      </c>
      <c r="F383" t="s">
        <v>27</v>
      </c>
      <c r="G383" t="s">
        <v>35</v>
      </c>
      <c r="H383">
        <v>67.5</v>
      </c>
      <c r="I383">
        <v>3524</v>
      </c>
      <c r="J383">
        <v>103</v>
      </c>
      <c r="K383">
        <v>12.3</v>
      </c>
      <c r="L383" t="s">
        <v>49</v>
      </c>
      <c r="M383">
        <v>35016.089999999997</v>
      </c>
      <c r="N383">
        <v>14790</v>
      </c>
      <c r="O383" t="s">
        <v>36</v>
      </c>
      <c r="P383" t="str">
        <f t="shared" si="45"/>
        <v>Yes</v>
      </c>
      <c r="Q383">
        <f t="shared" si="46"/>
        <v>52.21</v>
      </c>
      <c r="R383">
        <f t="shared" si="47"/>
        <v>9.94</v>
      </c>
      <c r="S383">
        <f t="shared" si="48"/>
        <v>2.37</v>
      </c>
      <c r="T383" t="str">
        <f t="shared" si="49"/>
        <v>Delayed</v>
      </c>
      <c r="U383" t="str">
        <f t="shared" si="50"/>
        <v>High</v>
      </c>
      <c r="V383" t="str">
        <f t="shared" si="51"/>
        <v>High Risk</v>
      </c>
      <c r="W383" t="str">
        <f t="shared" si="52"/>
        <v>May</v>
      </c>
      <c r="X383">
        <f t="shared" si="53"/>
        <v>2025</v>
      </c>
    </row>
    <row r="384" spans="1:24" x14ac:dyDescent="0.35">
      <c r="A384" s="3">
        <v>45880</v>
      </c>
      <c r="B384" t="s">
        <v>207</v>
      </c>
      <c r="C384" t="s">
        <v>39</v>
      </c>
      <c r="D384" t="s">
        <v>530</v>
      </c>
      <c r="E384" t="s">
        <v>48</v>
      </c>
      <c r="F384" t="s">
        <v>54</v>
      </c>
      <c r="G384" t="s">
        <v>35</v>
      </c>
      <c r="H384">
        <v>34.200000000000003</v>
      </c>
      <c r="I384">
        <v>3400</v>
      </c>
      <c r="J384">
        <v>112</v>
      </c>
      <c r="K384">
        <v>14.9</v>
      </c>
      <c r="L384" t="s">
        <v>43</v>
      </c>
      <c r="M384">
        <v>21695.21</v>
      </c>
      <c r="N384">
        <v>26364</v>
      </c>
      <c r="O384" t="s">
        <v>59</v>
      </c>
      <c r="P384" t="str">
        <f t="shared" si="45"/>
        <v>Yes</v>
      </c>
      <c r="Q384">
        <f t="shared" si="46"/>
        <v>99.42</v>
      </c>
      <c r="R384">
        <f t="shared" si="47"/>
        <v>6.38</v>
      </c>
      <c r="S384">
        <f t="shared" si="48"/>
        <v>0.82</v>
      </c>
      <c r="T384" t="str">
        <f t="shared" si="49"/>
        <v>Delayed</v>
      </c>
      <c r="U384" t="str">
        <f t="shared" si="50"/>
        <v>Low</v>
      </c>
      <c r="V384" t="str">
        <f t="shared" si="51"/>
        <v>Low Risk</v>
      </c>
      <c r="W384" t="str">
        <f t="shared" si="52"/>
        <v>Aug</v>
      </c>
      <c r="X384">
        <f t="shared" si="53"/>
        <v>2025</v>
      </c>
    </row>
    <row r="385" spans="1:24" x14ac:dyDescent="0.35">
      <c r="A385" s="3">
        <v>45893</v>
      </c>
      <c r="B385" t="s">
        <v>142</v>
      </c>
      <c r="C385" t="s">
        <v>25</v>
      </c>
      <c r="D385" t="s">
        <v>531</v>
      </c>
      <c r="E385" t="s">
        <v>27</v>
      </c>
      <c r="F385" t="s">
        <v>28</v>
      </c>
      <c r="G385" t="s">
        <v>42</v>
      </c>
      <c r="H385">
        <v>60.3</v>
      </c>
      <c r="I385">
        <v>4316</v>
      </c>
      <c r="J385">
        <v>40</v>
      </c>
      <c r="K385">
        <v>20.100000000000001</v>
      </c>
      <c r="L385" t="s">
        <v>78</v>
      </c>
      <c r="M385">
        <v>31067.45</v>
      </c>
      <c r="N385">
        <v>14578</v>
      </c>
      <c r="O385" t="s">
        <v>44</v>
      </c>
      <c r="P385" t="str">
        <f t="shared" si="45"/>
        <v>No</v>
      </c>
      <c r="Q385">
        <f t="shared" si="46"/>
        <v>71.58</v>
      </c>
      <c r="R385">
        <f t="shared" si="47"/>
        <v>7.2</v>
      </c>
      <c r="S385">
        <f t="shared" si="48"/>
        <v>2.13</v>
      </c>
      <c r="T385" t="str">
        <f t="shared" si="49"/>
        <v>On Time</v>
      </c>
      <c r="U385" t="str">
        <f t="shared" si="50"/>
        <v>High</v>
      </c>
      <c r="V385" t="str">
        <f t="shared" si="51"/>
        <v>Low Risk</v>
      </c>
      <c r="W385" t="str">
        <f t="shared" si="52"/>
        <v>Aug</v>
      </c>
      <c r="X385">
        <f t="shared" si="53"/>
        <v>2025</v>
      </c>
    </row>
    <row r="386" spans="1:24" x14ac:dyDescent="0.35">
      <c r="A386" s="3">
        <v>45709</v>
      </c>
      <c r="B386" t="s">
        <v>210</v>
      </c>
      <c r="C386" t="s">
        <v>57</v>
      </c>
      <c r="D386" t="s">
        <v>532</v>
      </c>
      <c r="E386" t="s">
        <v>63</v>
      </c>
      <c r="F386" t="s">
        <v>41</v>
      </c>
      <c r="G386" t="s">
        <v>71</v>
      </c>
      <c r="H386">
        <v>30.9</v>
      </c>
      <c r="I386">
        <v>750</v>
      </c>
      <c r="J386">
        <v>64</v>
      </c>
      <c r="K386">
        <v>14.8</v>
      </c>
      <c r="L386" t="s">
        <v>43</v>
      </c>
      <c r="M386">
        <v>18890.32</v>
      </c>
      <c r="N386">
        <v>21827</v>
      </c>
      <c r="O386" t="s">
        <v>44</v>
      </c>
      <c r="P386" t="str">
        <f t="shared" ref="P386:P449" si="54">IF(OR(L386="Rain",L386="Fog",L386="Storm"),"Yes","No")</f>
        <v>Yes</v>
      </c>
      <c r="Q386">
        <f t="shared" ref="Q386:Q449" si="55">ROUND(I386/H386,2)</f>
        <v>24.27</v>
      </c>
      <c r="R386">
        <f t="shared" ref="R386:R449" si="56">ROUND(M386/I386,2)</f>
        <v>25.19</v>
      </c>
      <c r="S386">
        <f t="shared" ref="S386:S449" si="57">ROUND(M386/N386,2)</f>
        <v>0.87</v>
      </c>
      <c r="T386" t="str">
        <f t="shared" ref="T386:T449" si="58">IF(P386="Yes","Delayed","On Time")</f>
        <v>Delayed</v>
      </c>
      <c r="U386" t="str">
        <f t="shared" ref="U386:U449" si="59">IF(H386&gt;=60,"High",IF(H386&gt;=40,"Medium","Low"))</f>
        <v>Low</v>
      </c>
      <c r="V386" t="str">
        <f t="shared" ref="V386:V449" si="60">IF(L386="Storm","High Risk",IF(L386="Rain","Medium Risk","Low Risk"))</f>
        <v>Low Risk</v>
      </c>
      <c r="W386" t="str">
        <f t="shared" ref="W386:W449" si="61">TEXT(A386,"mmm")</f>
        <v>Feb</v>
      </c>
      <c r="X386">
        <f t="shared" si="53"/>
        <v>2025</v>
      </c>
    </row>
    <row r="387" spans="1:24" x14ac:dyDescent="0.35">
      <c r="A387" s="3">
        <v>45707</v>
      </c>
      <c r="B387" t="s">
        <v>89</v>
      </c>
      <c r="C387" t="s">
        <v>25</v>
      </c>
      <c r="D387" t="s">
        <v>533</v>
      </c>
      <c r="E387" t="s">
        <v>54</v>
      </c>
      <c r="F387" t="s">
        <v>48</v>
      </c>
      <c r="G387" t="s">
        <v>71</v>
      </c>
      <c r="H387">
        <v>60.5</v>
      </c>
      <c r="I387">
        <v>4090</v>
      </c>
      <c r="J387">
        <v>50</v>
      </c>
      <c r="K387">
        <v>18.600000000000001</v>
      </c>
      <c r="L387" t="s">
        <v>49</v>
      </c>
      <c r="M387">
        <v>36481.050000000003</v>
      </c>
      <c r="N387">
        <v>27356</v>
      </c>
      <c r="O387" t="s">
        <v>91</v>
      </c>
      <c r="P387" t="str">
        <f t="shared" si="54"/>
        <v>Yes</v>
      </c>
      <c r="Q387">
        <f t="shared" si="55"/>
        <v>67.599999999999994</v>
      </c>
      <c r="R387">
        <f t="shared" si="56"/>
        <v>8.92</v>
      </c>
      <c r="S387">
        <f t="shared" si="57"/>
        <v>1.33</v>
      </c>
      <c r="T387" t="str">
        <f t="shared" si="58"/>
        <v>Delayed</v>
      </c>
      <c r="U387" t="str">
        <f t="shared" si="59"/>
        <v>High</v>
      </c>
      <c r="V387" t="str">
        <f t="shared" si="60"/>
        <v>High Risk</v>
      </c>
      <c r="W387" t="str">
        <f t="shared" si="61"/>
        <v>Feb</v>
      </c>
      <c r="X387">
        <f t="shared" ref="X387:X450" si="62">YEAR(A387)</f>
        <v>2025</v>
      </c>
    </row>
    <row r="388" spans="1:24" x14ac:dyDescent="0.35">
      <c r="A388" s="3">
        <v>45724</v>
      </c>
      <c r="B388" t="s">
        <v>46</v>
      </c>
      <c r="C388" t="s">
        <v>25</v>
      </c>
      <c r="D388" t="s">
        <v>534</v>
      </c>
      <c r="E388" t="s">
        <v>41</v>
      </c>
      <c r="F388" t="s">
        <v>48</v>
      </c>
      <c r="G388" t="s">
        <v>71</v>
      </c>
      <c r="H388">
        <v>78.2</v>
      </c>
      <c r="I388">
        <v>4326</v>
      </c>
      <c r="J388">
        <v>21</v>
      </c>
      <c r="K388">
        <v>12</v>
      </c>
      <c r="L388" t="s">
        <v>49</v>
      </c>
      <c r="M388">
        <v>53499.08</v>
      </c>
      <c r="N388">
        <v>27150</v>
      </c>
      <c r="O388" t="s">
        <v>50</v>
      </c>
      <c r="P388" t="str">
        <f t="shared" si="54"/>
        <v>Yes</v>
      </c>
      <c r="Q388">
        <f t="shared" si="55"/>
        <v>55.32</v>
      </c>
      <c r="R388">
        <f t="shared" si="56"/>
        <v>12.37</v>
      </c>
      <c r="S388">
        <f t="shared" si="57"/>
        <v>1.97</v>
      </c>
      <c r="T388" t="str">
        <f t="shared" si="58"/>
        <v>Delayed</v>
      </c>
      <c r="U388" t="str">
        <f t="shared" si="59"/>
        <v>High</v>
      </c>
      <c r="V388" t="str">
        <f t="shared" si="60"/>
        <v>High Risk</v>
      </c>
      <c r="W388" t="str">
        <f t="shared" si="61"/>
        <v>Mar</v>
      </c>
      <c r="X388">
        <f t="shared" si="62"/>
        <v>2025</v>
      </c>
    </row>
    <row r="389" spans="1:24" x14ac:dyDescent="0.35">
      <c r="A389" s="3">
        <v>45929</v>
      </c>
      <c r="B389" t="s">
        <v>250</v>
      </c>
      <c r="C389" t="s">
        <v>95</v>
      </c>
      <c r="D389" t="s">
        <v>535</v>
      </c>
      <c r="E389" t="s">
        <v>28</v>
      </c>
      <c r="F389" t="s">
        <v>27</v>
      </c>
      <c r="G389" t="s">
        <v>29</v>
      </c>
      <c r="H389">
        <v>61.6</v>
      </c>
      <c r="I389">
        <v>1282</v>
      </c>
      <c r="J389">
        <v>28</v>
      </c>
      <c r="K389">
        <v>17.399999999999999</v>
      </c>
      <c r="L389" t="s">
        <v>49</v>
      </c>
      <c r="M389">
        <v>34723.86</v>
      </c>
      <c r="N389">
        <v>7581</v>
      </c>
      <c r="O389" t="s">
        <v>36</v>
      </c>
      <c r="P389" t="str">
        <f t="shared" si="54"/>
        <v>Yes</v>
      </c>
      <c r="Q389">
        <f t="shared" si="55"/>
        <v>20.81</v>
      </c>
      <c r="R389">
        <f t="shared" si="56"/>
        <v>27.09</v>
      </c>
      <c r="S389">
        <f t="shared" si="57"/>
        <v>4.58</v>
      </c>
      <c r="T389" t="str">
        <f t="shared" si="58"/>
        <v>Delayed</v>
      </c>
      <c r="U389" t="str">
        <f t="shared" si="59"/>
        <v>High</v>
      </c>
      <c r="V389" t="str">
        <f t="shared" si="60"/>
        <v>High Risk</v>
      </c>
      <c r="W389" t="str">
        <f t="shared" si="61"/>
        <v>Sep</v>
      </c>
      <c r="X389">
        <f t="shared" si="62"/>
        <v>2025</v>
      </c>
    </row>
    <row r="390" spans="1:24" x14ac:dyDescent="0.35">
      <c r="A390" s="3">
        <v>45833</v>
      </c>
      <c r="B390" t="s">
        <v>98</v>
      </c>
      <c r="C390" t="s">
        <v>25</v>
      </c>
      <c r="D390" t="s">
        <v>536</v>
      </c>
      <c r="E390" t="s">
        <v>55</v>
      </c>
      <c r="F390" t="s">
        <v>63</v>
      </c>
      <c r="G390" t="s">
        <v>29</v>
      </c>
      <c r="H390">
        <v>59.4</v>
      </c>
      <c r="I390">
        <v>4429</v>
      </c>
      <c r="J390">
        <v>70</v>
      </c>
      <c r="K390">
        <v>20.7</v>
      </c>
      <c r="L390" t="s">
        <v>49</v>
      </c>
      <c r="M390">
        <v>38658.720000000001</v>
      </c>
      <c r="N390">
        <v>15495</v>
      </c>
      <c r="O390" t="s">
        <v>31</v>
      </c>
      <c r="P390" t="str">
        <f t="shared" si="54"/>
        <v>Yes</v>
      </c>
      <c r="Q390">
        <f t="shared" si="55"/>
        <v>74.56</v>
      </c>
      <c r="R390">
        <f t="shared" si="56"/>
        <v>8.73</v>
      </c>
      <c r="S390">
        <f t="shared" si="57"/>
        <v>2.4900000000000002</v>
      </c>
      <c r="T390" t="str">
        <f t="shared" si="58"/>
        <v>Delayed</v>
      </c>
      <c r="U390" t="str">
        <f t="shared" si="59"/>
        <v>Medium</v>
      </c>
      <c r="V390" t="str">
        <f t="shared" si="60"/>
        <v>High Risk</v>
      </c>
      <c r="W390" t="str">
        <f t="shared" si="61"/>
        <v>Jun</v>
      </c>
      <c r="X390">
        <f t="shared" si="62"/>
        <v>2025</v>
      </c>
    </row>
    <row r="391" spans="1:24" x14ac:dyDescent="0.35">
      <c r="A391" s="3">
        <v>45781</v>
      </c>
      <c r="B391" t="s">
        <v>46</v>
      </c>
      <c r="C391" t="s">
        <v>109</v>
      </c>
      <c r="D391" t="s">
        <v>537</v>
      </c>
      <c r="E391" t="s">
        <v>66</v>
      </c>
      <c r="F391" t="s">
        <v>48</v>
      </c>
      <c r="G391" t="s">
        <v>29</v>
      </c>
      <c r="H391">
        <v>29.5</v>
      </c>
      <c r="I391">
        <v>3056</v>
      </c>
      <c r="J391">
        <v>100</v>
      </c>
      <c r="K391">
        <v>11.2</v>
      </c>
      <c r="L391" t="s">
        <v>78</v>
      </c>
      <c r="M391">
        <v>16706.759999999998</v>
      </c>
      <c r="N391">
        <v>25415</v>
      </c>
      <c r="O391" t="s">
        <v>50</v>
      </c>
      <c r="P391" t="str">
        <f t="shared" si="54"/>
        <v>No</v>
      </c>
      <c r="Q391">
        <f t="shared" si="55"/>
        <v>103.59</v>
      </c>
      <c r="R391">
        <f t="shared" si="56"/>
        <v>5.47</v>
      </c>
      <c r="S391">
        <f t="shared" si="57"/>
        <v>0.66</v>
      </c>
      <c r="T391" t="str">
        <f t="shared" si="58"/>
        <v>On Time</v>
      </c>
      <c r="U391" t="str">
        <f t="shared" si="59"/>
        <v>Low</v>
      </c>
      <c r="V391" t="str">
        <f t="shared" si="60"/>
        <v>Low Risk</v>
      </c>
      <c r="W391" t="str">
        <f t="shared" si="61"/>
        <v>May</v>
      </c>
      <c r="X391">
        <f t="shared" si="62"/>
        <v>2025</v>
      </c>
    </row>
    <row r="392" spans="1:24" x14ac:dyDescent="0.35">
      <c r="A392" s="3">
        <v>45940</v>
      </c>
      <c r="B392" t="s">
        <v>417</v>
      </c>
      <c r="C392" t="s">
        <v>69</v>
      </c>
      <c r="D392" t="s">
        <v>538</v>
      </c>
      <c r="E392" t="s">
        <v>28</v>
      </c>
      <c r="F392" t="s">
        <v>55</v>
      </c>
      <c r="G392" t="s">
        <v>71</v>
      </c>
      <c r="H392">
        <v>42</v>
      </c>
      <c r="I392">
        <v>4324</v>
      </c>
      <c r="J392">
        <v>60</v>
      </c>
      <c r="K392">
        <v>15.1</v>
      </c>
      <c r="L392" t="s">
        <v>43</v>
      </c>
      <c r="M392">
        <v>27675.15</v>
      </c>
      <c r="N392">
        <v>8879</v>
      </c>
      <c r="O392" t="s">
        <v>36</v>
      </c>
      <c r="P392" t="str">
        <f t="shared" si="54"/>
        <v>Yes</v>
      </c>
      <c r="Q392">
        <f t="shared" si="55"/>
        <v>102.95</v>
      </c>
      <c r="R392">
        <f t="shared" si="56"/>
        <v>6.4</v>
      </c>
      <c r="S392">
        <f t="shared" si="57"/>
        <v>3.12</v>
      </c>
      <c r="T392" t="str">
        <f t="shared" si="58"/>
        <v>Delayed</v>
      </c>
      <c r="U392" t="str">
        <f t="shared" si="59"/>
        <v>Medium</v>
      </c>
      <c r="V392" t="str">
        <f t="shared" si="60"/>
        <v>Low Risk</v>
      </c>
      <c r="W392" t="str">
        <f t="shared" si="61"/>
        <v>Oct</v>
      </c>
      <c r="X392">
        <f t="shared" si="62"/>
        <v>2025</v>
      </c>
    </row>
    <row r="393" spans="1:24" x14ac:dyDescent="0.35">
      <c r="A393" s="3">
        <v>45738</v>
      </c>
      <c r="B393" t="s">
        <v>309</v>
      </c>
      <c r="C393" t="s">
        <v>39</v>
      </c>
      <c r="D393" t="s">
        <v>539</v>
      </c>
      <c r="E393" t="s">
        <v>27</v>
      </c>
      <c r="F393" t="s">
        <v>54</v>
      </c>
      <c r="G393" t="s">
        <v>35</v>
      </c>
      <c r="H393">
        <v>53.5</v>
      </c>
      <c r="I393">
        <v>1981</v>
      </c>
      <c r="J393">
        <v>90</v>
      </c>
      <c r="K393">
        <v>20.100000000000001</v>
      </c>
      <c r="L393" t="s">
        <v>78</v>
      </c>
      <c r="M393">
        <v>26972.240000000002</v>
      </c>
      <c r="N393">
        <v>22190</v>
      </c>
      <c r="O393" t="s">
        <v>31</v>
      </c>
      <c r="P393" t="str">
        <f t="shared" si="54"/>
        <v>No</v>
      </c>
      <c r="Q393">
        <f t="shared" si="55"/>
        <v>37.03</v>
      </c>
      <c r="R393">
        <f t="shared" si="56"/>
        <v>13.62</v>
      </c>
      <c r="S393">
        <f t="shared" si="57"/>
        <v>1.22</v>
      </c>
      <c r="T393" t="str">
        <f t="shared" si="58"/>
        <v>On Time</v>
      </c>
      <c r="U393" t="str">
        <f t="shared" si="59"/>
        <v>Medium</v>
      </c>
      <c r="V393" t="str">
        <f t="shared" si="60"/>
        <v>Low Risk</v>
      </c>
      <c r="W393" t="str">
        <f t="shared" si="61"/>
        <v>Mar</v>
      </c>
      <c r="X393">
        <f t="shared" si="62"/>
        <v>2025</v>
      </c>
    </row>
    <row r="394" spans="1:24" x14ac:dyDescent="0.35">
      <c r="A394" s="3">
        <v>45912</v>
      </c>
      <c r="B394" t="s">
        <v>417</v>
      </c>
      <c r="C394" t="s">
        <v>109</v>
      </c>
      <c r="D394" t="s">
        <v>540</v>
      </c>
      <c r="E394" t="s">
        <v>66</v>
      </c>
      <c r="F394" t="s">
        <v>54</v>
      </c>
      <c r="G394" t="s">
        <v>71</v>
      </c>
      <c r="H394">
        <v>72.400000000000006</v>
      </c>
      <c r="I394">
        <v>2242</v>
      </c>
      <c r="J394">
        <v>115</v>
      </c>
      <c r="K394">
        <v>17</v>
      </c>
      <c r="L394" t="s">
        <v>49</v>
      </c>
      <c r="M394">
        <v>48712.34</v>
      </c>
      <c r="N394">
        <v>25007</v>
      </c>
      <c r="O394" t="s">
        <v>44</v>
      </c>
      <c r="P394" t="str">
        <f t="shared" si="54"/>
        <v>Yes</v>
      </c>
      <c r="Q394">
        <f t="shared" si="55"/>
        <v>30.97</v>
      </c>
      <c r="R394">
        <f t="shared" si="56"/>
        <v>21.73</v>
      </c>
      <c r="S394">
        <f t="shared" si="57"/>
        <v>1.95</v>
      </c>
      <c r="T394" t="str">
        <f t="shared" si="58"/>
        <v>Delayed</v>
      </c>
      <c r="U394" t="str">
        <f t="shared" si="59"/>
        <v>High</v>
      </c>
      <c r="V394" t="str">
        <f t="shared" si="60"/>
        <v>High Risk</v>
      </c>
      <c r="W394" t="str">
        <f t="shared" si="61"/>
        <v>Sep</v>
      </c>
      <c r="X394">
        <f t="shared" si="62"/>
        <v>2025</v>
      </c>
    </row>
    <row r="395" spans="1:24" x14ac:dyDescent="0.35">
      <c r="A395" s="3">
        <v>45671</v>
      </c>
      <c r="B395" t="s">
        <v>199</v>
      </c>
      <c r="C395" t="s">
        <v>57</v>
      </c>
      <c r="D395" t="s">
        <v>541</v>
      </c>
      <c r="E395" t="s">
        <v>28</v>
      </c>
      <c r="F395" t="s">
        <v>41</v>
      </c>
      <c r="G395" t="s">
        <v>35</v>
      </c>
      <c r="H395">
        <v>56.5</v>
      </c>
      <c r="I395">
        <v>1112</v>
      </c>
      <c r="J395">
        <v>32</v>
      </c>
      <c r="K395">
        <v>14.4</v>
      </c>
      <c r="L395" t="s">
        <v>43</v>
      </c>
      <c r="M395">
        <v>29845.65</v>
      </c>
      <c r="N395">
        <v>10768</v>
      </c>
      <c r="O395" t="s">
        <v>31</v>
      </c>
      <c r="P395" t="str">
        <f t="shared" si="54"/>
        <v>Yes</v>
      </c>
      <c r="Q395">
        <f t="shared" si="55"/>
        <v>19.68</v>
      </c>
      <c r="R395">
        <f t="shared" si="56"/>
        <v>26.84</v>
      </c>
      <c r="S395">
        <f t="shared" si="57"/>
        <v>2.77</v>
      </c>
      <c r="T395" t="str">
        <f t="shared" si="58"/>
        <v>Delayed</v>
      </c>
      <c r="U395" t="str">
        <f t="shared" si="59"/>
        <v>Medium</v>
      </c>
      <c r="V395" t="str">
        <f t="shared" si="60"/>
        <v>Low Risk</v>
      </c>
      <c r="W395" t="str">
        <f t="shared" si="61"/>
        <v>Jan</v>
      </c>
      <c r="X395">
        <f t="shared" si="62"/>
        <v>2025</v>
      </c>
    </row>
    <row r="396" spans="1:24" x14ac:dyDescent="0.35">
      <c r="A396" s="3">
        <v>45667</v>
      </c>
      <c r="B396" t="s">
        <v>275</v>
      </c>
      <c r="C396" t="s">
        <v>25</v>
      </c>
      <c r="D396" t="s">
        <v>542</v>
      </c>
      <c r="E396" t="s">
        <v>55</v>
      </c>
      <c r="F396" t="s">
        <v>27</v>
      </c>
      <c r="G396" t="s">
        <v>35</v>
      </c>
      <c r="H396">
        <v>20.3</v>
      </c>
      <c r="I396">
        <v>4723</v>
      </c>
      <c r="J396">
        <v>48</v>
      </c>
      <c r="K396">
        <v>11.4</v>
      </c>
      <c r="L396" t="s">
        <v>49</v>
      </c>
      <c r="M396">
        <v>10182.450000000001</v>
      </c>
      <c r="N396">
        <v>9172</v>
      </c>
      <c r="O396" t="s">
        <v>50</v>
      </c>
      <c r="P396" t="str">
        <f t="shared" si="54"/>
        <v>Yes</v>
      </c>
      <c r="Q396">
        <f t="shared" si="55"/>
        <v>232.66</v>
      </c>
      <c r="R396">
        <f t="shared" si="56"/>
        <v>2.16</v>
      </c>
      <c r="S396">
        <f t="shared" si="57"/>
        <v>1.1100000000000001</v>
      </c>
      <c r="T396" t="str">
        <f t="shared" si="58"/>
        <v>Delayed</v>
      </c>
      <c r="U396" t="str">
        <f t="shared" si="59"/>
        <v>Low</v>
      </c>
      <c r="V396" t="str">
        <f t="shared" si="60"/>
        <v>High Risk</v>
      </c>
      <c r="W396" t="str">
        <f t="shared" si="61"/>
        <v>Jan</v>
      </c>
      <c r="X396">
        <f t="shared" si="62"/>
        <v>2025</v>
      </c>
    </row>
    <row r="397" spans="1:24" x14ac:dyDescent="0.35">
      <c r="A397" s="3">
        <v>45691</v>
      </c>
      <c r="B397" t="s">
        <v>199</v>
      </c>
      <c r="C397" t="s">
        <v>52</v>
      </c>
      <c r="D397" t="s">
        <v>543</v>
      </c>
      <c r="E397" t="s">
        <v>54</v>
      </c>
      <c r="F397" t="s">
        <v>27</v>
      </c>
      <c r="G397" t="s">
        <v>35</v>
      </c>
      <c r="H397">
        <v>22.1</v>
      </c>
      <c r="I397">
        <v>2449</v>
      </c>
      <c r="J397">
        <v>50</v>
      </c>
      <c r="K397">
        <v>12.1</v>
      </c>
      <c r="L397" t="s">
        <v>78</v>
      </c>
      <c r="M397">
        <v>12287.02</v>
      </c>
      <c r="N397">
        <v>16333</v>
      </c>
      <c r="O397" t="s">
        <v>91</v>
      </c>
      <c r="P397" t="str">
        <f t="shared" si="54"/>
        <v>No</v>
      </c>
      <c r="Q397">
        <f t="shared" si="55"/>
        <v>110.81</v>
      </c>
      <c r="R397">
        <f t="shared" si="56"/>
        <v>5.0199999999999996</v>
      </c>
      <c r="S397">
        <f t="shared" si="57"/>
        <v>0.75</v>
      </c>
      <c r="T397" t="str">
        <f t="shared" si="58"/>
        <v>On Time</v>
      </c>
      <c r="U397" t="str">
        <f t="shared" si="59"/>
        <v>Low</v>
      </c>
      <c r="V397" t="str">
        <f t="shared" si="60"/>
        <v>Low Risk</v>
      </c>
      <c r="W397" t="str">
        <f t="shared" si="61"/>
        <v>Feb</v>
      </c>
      <c r="X397">
        <f t="shared" si="62"/>
        <v>2025</v>
      </c>
    </row>
    <row r="398" spans="1:24" x14ac:dyDescent="0.35">
      <c r="A398" s="3">
        <v>45874</v>
      </c>
      <c r="B398" t="s">
        <v>349</v>
      </c>
      <c r="C398" t="s">
        <v>69</v>
      </c>
      <c r="D398" t="s">
        <v>544</v>
      </c>
      <c r="E398" t="s">
        <v>66</v>
      </c>
      <c r="F398" t="s">
        <v>54</v>
      </c>
      <c r="G398" t="s">
        <v>35</v>
      </c>
      <c r="H398">
        <v>42.6</v>
      </c>
      <c r="I398">
        <v>4782</v>
      </c>
      <c r="J398">
        <v>34</v>
      </c>
      <c r="K398">
        <v>17</v>
      </c>
      <c r="L398" t="s">
        <v>78</v>
      </c>
      <c r="M398">
        <v>29373.03</v>
      </c>
      <c r="N398">
        <v>18601</v>
      </c>
      <c r="O398" t="s">
        <v>59</v>
      </c>
      <c r="P398" t="str">
        <f t="shared" si="54"/>
        <v>No</v>
      </c>
      <c r="Q398">
        <f t="shared" si="55"/>
        <v>112.25</v>
      </c>
      <c r="R398">
        <f t="shared" si="56"/>
        <v>6.14</v>
      </c>
      <c r="S398">
        <f t="shared" si="57"/>
        <v>1.58</v>
      </c>
      <c r="T398" t="str">
        <f t="shared" si="58"/>
        <v>On Time</v>
      </c>
      <c r="U398" t="str">
        <f t="shared" si="59"/>
        <v>Medium</v>
      </c>
      <c r="V398" t="str">
        <f t="shared" si="60"/>
        <v>Low Risk</v>
      </c>
      <c r="W398" t="str">
        <f t="shared" si="61"/>
        <v>Aug</v>
      </c>
      <c r="X398">
        <f t="shared" si="62"/>
        <v>2025</v>
      </c>
    </row>
    <row r="399" spans="1:24" x14ac:dyDescent="0.35">
      <c r="A399" s="3">
        <v>45687</v>
      </c>
      <c r="B399" t="s">
        <v>317</v>
      </c>
      <c r="C399" t="s">
        <v>130</v>
      </c>
      <c r="D399" t="s">
        <v>545</v>
      </c>
      <c r="E399" t="s">
        <v>48</v>
      </c>
      <c r="F399" t="s">
        <v>41</v>
      </c>
      <c r="G399" t="s">
        <v>42</v>
      </c>
      <c r="H399">
        <v>55.3</v>
      </c>
      <c r="I399">
        <v>4950</v>
      </c>
      <c r="J399">
        <v>112</v>
      </c>
      <c r="K399">
        <v>14.4</v>
      </c>
      <c r="L399" t="s">
        <v>30</v>
      </c>
      <c r="M399">
        <v>31414.85</v>
      </c>
      <c r="N399">
        <v>12000</v>
      </c>
      <c r="O399" t="s">
        <v>50</v>
      </c>
      <c r="P399" t="str">
        <f t="shared" si="54"/>
        <v>Yes</v>
      </c>
      <c r="Q399">
        <f t="shared" si="55"/>
        <v>89.51</v>
      </c>
      <c r="R399">
        <f t="shared" si="56"/>
        <v>6.35</v>
      </c>
      <c r="S399">
        <f t="shared" si="57"/>
        <v>2.62</v>
      </c>
      <c r="T399" t="str">
        <f t="shared" si="58"/>
        <v>Delayed</v>
      </c>
      <c r="U399" t="str">
        <f t="shared" si="59"/>
        <v>Medium</v>
      </c>
      <c r="V399" t="str">
        <f t="shared" si="60"/>
        <v>Medium Risk</v>
      </c>
      <c r="W399" t="str">
        <f t="shared" si="61"/>
        <v>Jan</v>
      </c>
      <c r="X399">
        <f t="shared" si="62"/>
        <v>2025</v>
      </c>
    </row>
    <row r="400" spans="1:24" x14ac:dyDescent="0.35">
      <c r="A400" s="3">
        <v>45688</v>
      </c>
      <c r="B400" t="s">
        <v>106</v>
      </c>
      <c r="C400" t="s">
        <v>109</v>
      </c>
      <c r="D400" t="s">
        <v>546</v>
      </c>
      <c r="E400" t="s">
        <v>48</v>
      </c>
      <c r="F400" t="s">
        <v>27</v>
      </c>
      <c r="G400" t="s">
        <v>71</v>
      </c>
      <c r="H400">
        <v>66.900000000000006</v>
      </c>
      <c r="I400">
        <v>1105</v>
      </c>
      <c r="J400">
        <v>38</v>
      </c>
      <c r="K400">
        <v>18.8</v>
      </c>
      <c r="L400" t="s">
        <v>30</v>
      </c>
      <c r="M400">
        <v>36112.9</v>
      </c>
      <c r="N400">
        <v>23875</v>
      </c>
      <c r="O400" t="s">
        <v>44</v>
      </c>
      <c r="P400" t="str">
        <f t="shared" si="54"/>
        <v>Yes</v>
      </c>
      <c r="Q400">
        <f t="shared" si="55"/>
        <v>16.52</v>
      </c>
      <c r="R400">
        <f t="shared" si="56"/>
        <v>32.68</v>
      </c>
      <c r="S400">
        <f t="shared" si="57"/>
        <v>1.51</v>
      </c>
      <c r="T400" t="str">
        <f t="shared" si="58"/>
        <v>Delayed</v>
      </c>
      <c r="U400" t="str">
        <f t="shared" si="59"/>
        <v>High</v>
      </c>
      <c r="V400" t="str">
        <f t="shared" si="60"/>
        <v>Medium Risk</v>
      </c>
      <c r="W400" t="str">
        <f t="shared" si="61"/>
        <v>Jan</v>
      </c>
      <c r="X400">
        <f t="shared" si="62"/>
        <v>2025</v>
      </c>
    </row>
    <row r="401" spans="1:24" x14ac:dyDescent="0.35">
      <c r="A401" s="3">
        <v>45854</v>
      </c>
      <c r="B401" t="s">
        <v>214</v>
      </c>
      <c r="C401" t="s">
        <v>52</v>
      </c>
      <c r="D401" t="s">
        <v>547</v>
      </c>
      <c r="E401" t="s">
        <v>54</v>
      </c>
      <c r="F401" t="s">
        <v>66</v>
      </c>
      <c r="G401" t="s">
        <v>71</v>
      </c>
      <c r="H401">
        <v>24.9</v>
      </c>
      <c r="I401">
        <v>2214</v>
      </c>
      <c r="J401">
        <v>94</v>
      </c>
      <c r="K401">
        <v>19.100000000000001</v>
      </c>
      <c r="L401" t="s">
        <v>49</v>
      </c>
      <c r="M401">
        <v>13829.5</v>
      </c>
      <c r="N401">
        <v>26824</v>
      </c>
      <c r="O401" t="s">
        <v>31</v>
      </c>
      <c r="P401" t="str">
        <f t="shared" si="54"/>
        <v>Yes</v>
      </c>
      <c r="Q401">
        <f t="shared" si="55"/>
        <v>88.92</v>
      </c>
      <c r="R401">
        <f t="shared" si="56"/>
        <v>6.25</v>
      </c>
      <c r="S401">
        <f t="shared" si="57"/>
        <v>0.52</v>
      </c>
      <c r="T401" t="str">
        <f t="shared" si="58"/>
        <v>Delayed</v>
      </c>
      <c r="U401" t="str">
        <f t="shared" si="59"/>
        <v>Low</v>
      </c>
      <c r="V401" t="str">
        <f t="shared" si="60"/>
        <v>High Risk</v>
      </c>
      <c r="W401" t="str">
        <f t="shared" si="61"/>
        <v>Jul</v>
      </c>
      <c r="X401">
        <f t="shared" si="62"/>
        <v>2025</v>
      </c>
    </row>
    <row r="402" spans="1:24" x14ac:dyDescent="0.35">
      <c r="A402" s="3">
        <v>45668</v>
      </c>
      <c r="B402" t="s">
        <v>64</v>
      </c>
      <c r="C402" t="s">
        <v>130</v>
      </c>
      <c r="D402" t="s">
        <v>548</v>
      </c>
      <c r="E402" t="s">
        <v>54</v>
      </c>
      <c r="F402" t="s">
        <v>63</v>
      </c>
      <c r="G402" t="s">
        <v>29</v>
      </c>
      <c r="H402">
        <v>37.4</v>
      </c>
      <c r="I402">
        <v>535</v>
      </c>
      <c r="J402">
        <v>114</v>
      </c>
      <c r="K402">
        <v>13.4</v>
      </c>
      <c r="L402" t="s">
        <v>30</v>
      </c>
      <c r="M402">
        <v>26074.48</v>
      </c>
      <c r="N402">
        <v>7163</v>
      </c>
      <c r="O402" t="s">
        <v>91</v>
      </c>
      <c r="P402" t="str">
        <f t="shared" si="54"/>
        <v>Yes</v>
      </c>
      <c r="Q402">
        <f t="shared" si="55"/>
        <v>14.3</v>
      </c>
      <c r="R402">
        <f t="shared" si="56"/>
        <v>48.74</v>
      </c>
      <c r="S402">
        <f t="shared" si="57"/>
        <v>3.64</v>
      </c>
      <c r="T402" t="str">
        <f t="shared" si="58"/>
        <v>Delayed</v>
      </c>
      <c r="U402" t="str">
        <f t="shared" si="59"/>
        <v>Low</v>
      </c>
      <c r="V402" t="str">
        <f t="shared" si="60"/>
        <v>Medium Risk</v>
      </c>
      <c r="W402" t="str">
        <f t="shared" si="61"/>
        <v>Jan</v>
      </c>
      <c r="X402">
        <f t="shared" si="62"/>
        <v>2025</v>
      </c>
    </row>
    <row r="403" spans="1:24" x14ac:dyDescent="0.35">
      <c r="A403" s="3">
        <v>45937</v>
      </c>
      <c r="B403" t="s">
        <v>111</v>
      </c>
      <c r="C403" t="s">
        <v>109</v>
      </c>
      <c r="D403" t="s">
        <v>549</v>
      </c>
      <c r="E403" t="s">
        <v>66</v>
      </c>
      <c r="F403" t="s">
        <v>48</v>
      </c>
      <c r="G403" t="s">
        <v>29</v>
      </c>
      <c r="H403">
        <v>61.6</v>
      </c>
      <c r="I403">
        <v>3743</v>
      </c>
      <c r="J403">
        <v>94</v>
      </c>
      <c r="K403">
        <v>14.7</v>
      </c>
      <c r="L403" t="s">
        <v>30</v>
      </c>
      <c r="M403">
        <v>39915.25</v>
      </c>
      <c r="N403">
        <v>22450</v>
      </c>
      <c r="O403" t="s">
        <v>36</v>
      </c>
      <c r="P403" t="str">
        <f t="shared" si="54"/>
        <v>Yes</v>
      </c>
      <c r="Q403">
        <f t="shared" si="55"/>
        <v>60.76</v>
      </c>
      <c r="R403">
        <f t="shared" si="56"/>
        <v>10.66</v>
      </c>
      <c r="S403">
        <f t="shared" si="57"/>
        <v>1.78</v>
      </c>
      <c r="T403" t="str">
        <f t="shared" si="58"/>
        <v>Delayed</v>
      </c>
      <c r="U403" t="str">
        <f t="shared" si="59"/>
        <v>High</v>
      </c>
      <c r="V403" t="str">
        <f t="shared" si="60"/>
        <v>Medium Risk</v>
      </c>
      <c r="W403" t="str">
        <f t="shared" si="61"/>
        <v>Oct</v>
      </c>
      <c r="X403">
        <f t="shared" si="62"/>
        <v>2025</v>
      </c>
    </row>
    <row r="404" spans="1:24" x14ac:dyDescent="0.35">
      <c r="A404" s="3">
        <v>45759</v>
      </c>
      <c r="B404" t="s">
        <v>148</v>
      </c>
      <c r="C404" t="s">
        <v>52</v>
      </c>
      <c r="D404" t="s">
        <v>550</v>
      </c>
      <c r="E404" t="s">
        <v>63</v>
      </c>
      <c r="F404" t="s">
        <v>54</v>
      </c>
      <c r="G404" t="s">
        <v>35</v>
      </c>
      <c r="H404">
        <v>40.1</v>
      </c>
      <c r="I404">
        <v>1126</v>
      </c>
      <c r="J404">
        <v>98</v>
      </c>
      <c r="K404">
        <v>15.3</v>
      </c>
      <c r="L404" t="s">
        <v>49</v>
      </c>
      <c r="M404">
        <v>28050.26</v>
      </c>
      <c r="N404">
        <v>16976</v>
      </c>
      <c r="O404" t="s">
        <v>36</v>
      </c>
      <c r="P404" t="str">
        <f t="shared" si="54"/>
        <v>Yes</v>
      </c>
      <c r="Q404">
        <f t="shared" si="55"/>
        <v>28.08</v>
      </c>
      <c r="R404">
        <f t="shared" si="56"/>
        <v>24.91</v>
      </c>
      <c r="S404">
        <f t="shared" si="57"/>
        <v>1.65</v>
      </c>
      <c r="T404" t="str">
        <f t="shared" si="58"/>
        <v>Delayed</v>
      </c>
      <c r="U404" t="str">
        <f t="shared" si="59"/>
        <v>Medium</v>
      </c>
      <c r="V404" t="str">
        <f t="shared" si="60"/>
        <v>High Risk</v>
      </c>
      <c r="W404" t="str">
        <f t="shared" si="61"/>
        <v>Apr</v>
      </c>
      <c r="X404">
        <f t="shared" si="62"/>
        <v>2025</v>
      </c>
    </row>
    <row r="405" spans="1:24" x14ac:dyDescent="0.35">
      <c r="A405" s="3">
        <v>45691</v>
      </c>
      <c r="B405" t="s">
        <v>152</v>
      </c>
      <c r="C405" t="s">
        <v>39</v>
      </c>
      <c r="D405" t="s">
        <v>551</v>
      </c>
      <c r="E405" t="s">
        <v>48</v>
      </c>
      <c r="F405" t="s">
        <v>27</v>
      </c>
      <c r="G405" t="s">
        <v>35</v>
      </c>
      <c r="H405">
        <v>28.8</v>
      </c>
      <c r="I405">
        <v>3693</v>
      </c>
      <c r="J405">
        <v>86</v>
      </c>
      <c r="K405">
        <v>15.1</v>
      </c>
      <c r="L405" t="s">
        <v>30</v>
      </c>
      <c r="M405">
        <v>16683.849999999999</v>
      </c>
      <c r="N405">
        <v>23440</v>
      </c>
      <c r="O405" t="s">
        <v>31</v>
      </c>
      <c r="P405" t="str">
        <f t="shared" si="54"/>
        <v>Yes</v>
      </c>
      <c r="Q405">
        <f t="shared" si="55"/>
        <v>128.22999999999999</v>
      </c>
      <c r="R405">
        <f t="shared" si="56"/>
        <v>4.5199999999999996</v>
      </c>
      <c r="S405">
        <f t="shared" si="57"/>
        <v>0.71</v>
      </c>
      <c r="T405" t="str">
        <f t="shared" si="58"/>
        <v>Delayed</v>
      </c>
      <c r="U405" t="str">
        <f t="shared" si="59"/>
        <v>Low</v>
      </c>
      <c r="V405" t="str">
        <f t="shared" si="60"/>
        <v>Medium Risk</v>
      </c>
      <c r="W405" t="str">
        <f t="shared" si="61"/>
        <v>Feb</v>
      </c>
      <c r="X405">
        <f t="shared" si="62"/>
        <v>2025</v>
      </c>
    </row>
    <row r="406" spans="1:24" x14ac:dyDescent="0.35">
      <c r="A406" s="3">
        <v>45662</v>
      </c>
      <c r="B406" t="s">
        <v>139</v>
      </c>
      <c r="C406" t="s">
        <v>39</v>
      </c>
      <c r="D406" t="s">
        <v>552</v>
      </c>
      <c r="E406" t="s">
        <v>66</v>
      </c>
      <c r="F406" t="s">
        <v>54</v>
      </c>
      <c r="G406" t="s">
        <v>29</v>
      </c>
      <c r="H406">
        <v>79.2</v>
      </c>
      <c r="I406">
        <v>2634</v>
      </c>
      <c r="J406">
        <v>61</v>
      </c>
      <c r="K406">
        <v>21.7</v>
      </c>
      <c r="L406" t="s">
        <v>49</v>
      </c>
      <c r="M406">
        <v>38833.449999999997</v>
      </c>
      <c r="N406">
        <v>17158</v>
      </c>
      <c r="O406" t="s">
        <v>50</v>
      </c>
      <c r="P406" t="str">
        <f t="shared" si="54"/>
        <v>Yes</v>
      </c>
      <c r="Q406">
        <f t="shared" si="55"/>
        <v>33.26</v>
      </c>
      <c r="R406">
        <f t="shared" si="56"/>
        <v>14.74</v>
      </c>
      <c r="S406">
        <f t="shared" si="57"/>
        <v>2.2599999999999998</v>
      </c>
      <c r="T406" t="str">
        <f t="shared" si="58"/>
        <v>Delayed</v>
      </c>
      <c r="U406" t="str">
        <f t="shared" si="59"/>
        <v>High</v>
      </c>
      <c r="V406" t="str">
        <f t="shared" si="60"/>
        <v>High Risk</v>
      </c>
      <c r="W406" t="str">
        <f t="shared" si="61"/>
        <v>Jan</v>
      </c>
      <c r="X406">
        <f t="shared" si="62"/>
        <v>2025</v>
      </c>
    </row>
    <row r="407" spans="1:24" x14ac:dyDescent="0.35">
      <c r="A407" s="3">
        <v>46006</v>
      </c>
      <c r="B407" t="s">
        <v>173</v>
      </c>
      <c r="C407" t="s">
        <v>39</v>
      </c>
      <c r="D407" t="s">
        <v>553</v>
      </c>
      <c r="E407" t="s">
        <v>63</v>
      </c>
      <c r="F407" t="s">
        <v>55</v>
      </c>
      <c r="G407" t="s">
        <v>42</v>
      </c>
      <c r="H407">
        <v>25.8</v>
      </c>
      <c r="I407">
        <v>4861</v>
      </c>
      <c r="J407">
        <v>39</v>
      </c>
      <c r="K407">
        <v>21.2</v>
      </c>
      <c r="L407" t="s">
        <v>43</v>
      </c>
      <c r="M407">
        <v>17830.34</v>
      </c>
      <c r="N407">
        <v>20252</v>
      </c>
      <c r="O407" t="s">
        <v>44</v>
      </c>
      <c r="P407" t="str">
        <f t="shared" si="54"/>
        <v>Yes</v>
      </c>
      <c r="Q407">
        <f t="shared" si="55"/>
        <v>188.41</v>
      </c>
      <c r="R407">
        <f t="shared" si="56"/>
        <v>3.67</v>
      </c>
      <c r="S407">
        <f t="shared" si="57"/>
        <v>0.88</v>
      </c>
      <c r="T407" t="str">
        <f t="shared" si="58"/>
        <v>Delayed</v>
      </c>
      <c r="U407" t="str">
        <f t="shared" si="59"/>
        <v>Low</v>
      </c>
      <c r="V407" t="str">
        <f t="shared" si="60"/>
        <v>Low Risk</v>
      </c>
      <c r="W407" t="str">
        <f t="shared" si="61"/>
        <v>Dec</v>
      </c>
      <c r="X407">
        <f t="shared" si="62"/>
        <v>2025</v>
      </c>
    </row>
    <row r="408" spans="1:24" x14ac:dyDescent="0.35">
      <c r="A408" s="3">
        <v>45753</v>
      </c>
      <c r="B408" t="s">
        <v>246</v>
      </c>
      <c r="C408" t="s">
        <v>52</v>
      </c>
      <c r="D408" t="s">
        <v>554</v>
      </c>
      <c r="E408" t="s">
        <v>54</v>
      </c>
      <c r="F408" t="s">
        <v>28</v>
      </c>
      <c r="G408" t="s">
        <v>35</v>
      </c>
      <c r="H408">
        <v>69.8</v>
      </c>
      <c r="I408">
        <v>2743</v>
      </c>
      <c r="J408">
        <v>94</v>
      </c>
      <c r="K408">
        <v>14.2</v>
      </c>
      <c r="L408" t="s">
        <v>49</v>
      </c>
      <c r="M408">
        <v>43496.55</v>
      </c>
      <c r="N408">
        <v>22311</v>
      </c>
      <c r="O408" t="s">
        <v>50</v>
      </c>
      <c r="P408" t="str">
        <f t="shared" si="54"/>
        <v>Yes</v>
      </c>
      <c r="Q408">
        <f t="shared" si="55"/>
        <v>39.299999999999997</v>
      </c>
      <c r="R408">
        <f t="shared" si="56"/>
        <v>15.86</v>
      </c>
      <c r="S408">
        <f t="shared" si="57"/>
        <v>1.95</v>
      </c>
      <c r="T408" t="str">
        <f t="shared" si="58"/>
        <v>Delayed</v>
      </c>
      <c r="U408" t="str">
        <f t="shared" si="59"/>
        <v>High</v>
      </c>
      <c r="V408" t="str">
        <f t="shared" si="60"/>
        <v>High Risk</v>
      </c>
      <c r="W408" t="str">
        <f t="shared" si="61"/>
        <v>Apr</v>
      </c>
      <c r="X408">
        <f t="shared" si="62"/>
        <v>2025</v>
      </c>
    </row>
    <row r="409" spans="1:24" x14ac:dyDescent="0.35">
      <c r="A409" s="3">
        <v>45810</v>
      </c>
      <c r="B409" t="s">
        <v>366</v>
      </c>
      <c r="C409" t="s">
        <v>95</v>
      </c>
      <c r="D409" t="s">
        <v>555</v>
      </c>
      <c r="E409" t="s">
        <v>63</v>
      </c>
      <c r="F409" t="s">
        <v>41</v>
      </c>
      <c r="G409" t="s">
        <v>42</v>
      </c>
      <c r="H409">
        <v>23.7</v>
      </c>
      <c r="I409">
        <v>3198</v>
      </c>
      <c r="J409">
        <v>69</v>
      </c>
      <c r="K409">
        <v>14.2</v>
      </c>
      <c r="L409" t="s">
        <v>43</v>
      </c>
      <c r="M409">
        <v>12328.06</v>
      </c>
      <c r="N409">
        <v>16756</v>
      </c>
      <c r="O409" t="s">
        <v>36</v>
      </c>
      <c r="P409" t="str">
        <f t="shared" si="54"/>
        <v>Yes</v>
      </c>
      <c r="Q409">
        <f t="shared" si="55"/>
        <v>134.94</v>
      </c>
      <c r="R409">
        <f t="shared" si="56"/>
        <v>3.85</v>
      </c>
      <c r="S409">
        <f t="shared" si="57"/>
        <v>0.74</v>
      </c>
      <c r="T409" t="str">
        <f t="shared" si="58"/>
        <v>Delayed</v>
      </c>
      <c r="U409" t="str">
        <f t="shared" si="59"/>
        <v>Low</v>
      </c>
      <c r="V409" t="str">
        <f t="shared" si="60"/>
        <v>Low Risk</v>
      </c>
      <c r="W409" t="str">
        <f t="shared" si="61"/>
        <v>Jun</v>
      </c>
      <c r="X409">
        <f t="shared" si="62"/>
        <v>2025</v>
      </c>
    </row>
    <row r="410" spans="1:24" x14ac:dyDescent="0.35">
      <c r="A410" s="3">
        <v>45833</v>
      </c>
      <c r="B410" t="s">
        <v>148</v>
      </c>
      <c r="C410" t="s">
        <v>52</v>
      </c>
      <c r="D410" t="s">
        <v>556</v>
      </c>
      <c r="E410" t="s">
        <v>54</v>
      </c>
      <c r="F410" t="s">
        <v>27</v>
      </c>
      <c r="G410" t="s">
        <v>35</v>
      </c>
      <c r="H410">
        <v>24.7</v>
      </c>
      <c r="I410">
        <v>2059</v>
      </c>
      <c r="J410">
        <v>103</v>
      </c>
      <c r="K410">
        <v>12.3</v>
      </c>
      <c r="L410" t="s">
        <v>49</v>
      </c>
      <c r="M410">
        <v>11621.28</v>
      </c>
      <c r="N410">
        <v>6347</v>
      </c>
      <c r="O410" t="s">
        <v>67</v>
      </c>
      <c r="P410" t="str">
        <f t="shared" si="54"/>
        <v>Yes</v>
      </c>
      <c r="Q410">
        <f t="shared" si="55"/>
        <v>83.36</v>
      </c>
      <c r="R410">
        <f t="shared" si="56"/>
        <v>5.64</v>
      </c>
      <c r="S410">
        <f t="shared" si="57"/>
        <v>1.83</v>
      </c>
      <c r="T410" t="str">
        <f t="shared" si="58"/>
        <v>Delayed</v>
      </c>
      <c r="U410" t="str">
        <f t="shared" si="59"/>
        <v>Low</v>
      </c>
      <c r="V410" t="str">
        <f t="shared" si="60"/>
        <v>High Risk</v>
      </c>
      <c r="W410" t="str">
        <f t="shared" si="61"/>
        <v>Jun</v>
      </c>
      <c r="X410">
        <f t="shared" si="62"/>
        <v>2025</v>
      </c>
    </row>
    <row r="411" spans="1:24" x14ac:dyDescent="0.35">
      <c r="A411" s="3">
        <v>45663</v>
      </c>
      <c r="B411" t="s">
        <v>159</v>
      </c>
      <c r="C411" t="s">
        <v>25</v>
      </c>
      <c r="D411" t="s">
        <v>557</v>
      </c>
      <c r="E411" t="s">
        <v>48</v>
      </c>
      <c r="F411" t="s">
        <v>41</v>
      </c>
      <c r="G411" t="s">
        <v>42</v>
      </c>
      <c r="H411">
        <v>24.9</v>
      </c>
      <c r="I411">
        <v>2247</v>
      </c>
      <c r="J411">
        <v>24</v>
      </c>
      <c r="K411">
        <v>12.8</v>
      </c>
      <c r="L411" t="s">
        <v>78</v>
      </c>
      <c r="M411">
        <v>11995.87</v>
      </c>
      <c r="N411">
        <v>24303</v>
      </c>
      <c r="O411" t="s">
        <v>31</v>
      </c>
      <c r="P411" t="str">
        <f t="shared" si="54"/>
        <v>No</v>
      </c>
      <c r="Q411">
        <f t="shared" si="55"/>
        <v>90.24</v>
      </c>
      <c r="R411">
        <f t="shared" si="56"/>
        <v>5.34</v>
      </c>
      <c r="S411">
        <f t="shared" si="57"/>
        <v>0.49</v>
      </c>
      <c r="T411" t="str">
        <f t="shared" si="58"/>
        <v>On Time</v>
      </c>
      <c r="U411" t="str">
        <f t="shared" si="59"/>
        <v>Low</v>
      </c>
      <c r="V411" t="str">
        <f t="shared" si="60"/>
        <v>Low Risk</v>
      </c>
      <c r="W411" t="str">
        <f t="shared" si="61"/>
        <v>Jan</v>
      </c>
      <c r="X411">
        <f t="shared" si="62"/>
        <v>2025</v>
      </c>
    </row>
    <row r="412" spans="1:24" x14ac:dyDescent="0.35">
      <c r="A412" s="3">
        <v>45919</v>
      </c>
      <c r="B412" t="s">
        <v>38</v>
      </c>
      <c r="C412" t="s">
        <v>52</v>
      </c>
      <c r="D412" t="s">
        <v>558</v>
      </c>
      <c r="E412" t="s">
        <v>66</v>
      </c>
      <c r="F412" t="s">
        <v>63</v>
      </c>
      <c r="G412" t="s">
        <v>71</v>
      </c>
      <c r="H412">
        <v>55.2</v>
      </c>
      <c r="I412">
        <v>3785</v>
      </c>
      <c r="J412">
        <v>22</v>
      </c>
      <c r="K412">
        <v>20.7</v>
      </c>
      <c r="L412" t="s">
        <v>78</v>
      </c>
      <c r="M412">
        <v>34301.279999999999</v>
      </c>
      <c r="N412">
        <v>16320</v>
      </c>
      <c r="O412" t="s">
        <v>50</v>
      </c>
      <c r="P412" t="str">
        <f t="shared" si="54"/>
        <v>No</v>
      </c>
      <c r="Q412">
        <f t="shared" si="55"/>
        <v>68.569999999999993</v>
      </c>
      <c r="R412">
        <f t="shared" si="56"/>
        <v>9.06</v>
      </c>
      <c r="S412">
        <f t="shared" si="57"/>
        <v>2.1</v>
      </c>
      <c r="T412" t="str">
        <f t="shared" si="58"/>
        <v>On Time</v>
      </c>
      <c r="U412" t="str">
        <f t="shared" si="59"/>
        <v>Medium</v>
      </c>
      <c r="V412" t="str">
        <f t="shared" si="60"/>
        <v>Low Risk</v>
      </c>
      <c r="W412" t="str">
        <f t="shared" si="61"/>
        <v>Sep</v>
      </c>
      <c r="X412">
        <f t="shared" si="62"/>
        <v>2025</v>
      </c>
    </row>
    <row r="413" spans="1:24" x14ac:dyDescent="0.35">
      <c r="A413" s="3">
        <v>45668</v>
      </c>
      <c r="B413" t="s">
        <v>221</v>
      </c>
      <c r="C413" t="s">
        <v>39</v>
      </c>
      <c r="D413" t="s">
        <v>559</v>
      </c>
      <c r="E413" t="s">
        <v>48</v>
      </c>
      <c r="F413" t="s">
        <v>55</v>
      </c>
      <c r="G413" t="s">
        <v>71</v>
      </c>
      <c r="H413">
        <v>76.5</v>
      </c>
      <c r="I413">
        <v>805</v>
      </c>
      <c r="J413">
        <v>86</v>
      </c>
      <c r="K413">
        <v>21.9</v>
      </c>
      <c r="L413" t="s">
        <v>30</v>
      </c>
      <c r="M413">
        <v>38657.39</v>
      </c>
      <c r="N413">
        <v>19081</v>
      </c>
      <c r="O413" t="s">
        <v>44</v>
      </c>
      <c r="P413" t="str">
        <f t="shared" si="54"/>
        <v>Yes</v>
      </c>
      <c r="Q413">
        <f t="shared" si="55"/>
        <v>10.52</v>
      </c>
      <c r="R413">
        <f t="shared" si="56"/>
        <v>48.02</v>
      </c>
      <c r="S413">
        <f t="shared" si="57"/>
        <v>2.0299999999999998</v>
      </c>
      <c r="T413" t="str">
        <f t="shared" si="58"/>
        <v>Delayed</v>
      </c>
      <c r="U413" t="str">
        <f t="shared" si="59"/>
        <v>High</v>
      </c>
      <c r="V413" t="str">
        <f t="shared" si="60"/>
        <v>Medium Risk</v>
      </c>
      <c r="W413" t="str">
        <f t="shared" si="61"/>
        <v>Jan</v>
      </c>
      <c r="X413">
        <f t="shared" si="62"/>
        <v>2025</v>
      </c>
    </row>
    <row r="414" spans="1:24" x14ac:dyDescent="0.35">
      <c r="A414" s="3">
        <v>45680</v>
      </c>
      <c r="B414" t="s">
        <v>100</v>
      </c>
      <c r="C414" t="s">
        <v>57</v>
      </c>
      <c r="D414" t="s">
        <v>560</v>
      </c>
      <c r="E414" t="s">
        <v>27</v>
      </c>
      <c r="F414" t="s">
        <v>28</v>
      </c>
      <c r="G414" t="s">
        <v>29</v>
      </c>
      <c r="H414">
        <v>46.6</v>
      </c>
      <c r="I414">
        <v>3278</v>
      </c>
      <c r="J414">
        <v>100</v>
      </c>
      <c r="K414">
        <v>19</v>
      </c>
      <c r="L414" t="s">
        <v>30</v>
      </c>
      <c r="M414">
        <v>26221.07</v>
      </c>
      <c r="N414">
        <v>7174</v>
      </c>
      <c r="O414" t="s">
        <v>36</v>
      </c>
      <c r="P414" t="str">
        <f t="shared" si="54"/>
        <v>Yes</v>
      </c>
      <c r="Q414">
        <f t="shared" si="55"/>
        <v>70.34</v>
      </c>
      <c r="R414">
        <f t="shared" si="56"/>
        <v>8</v>
      </c>
      <c r="S414">
        <f t="shared" si="57"/>
        <v>3.66</v>
      </c>
      <c r="T414" t="str">
        <f t="shared" si="58"/>
        <v>Delayed</v>
      </c>
      <c r="U414" t="str">
        <f t="shared" si="59"/>
        <v>Medium</v>
      </c>
      <c r="V414" t="str">
        <f t="shared" si="60"/>
        <v>Medium Risk</v>
      </c>
      <c r="W414" t="str">
        <f t="shared" si="61"/>
        <v>Jan</v>
      </c>
      <c r="X414">
        <f t="shared" si="62"/>
        <v>2025</v>
      </c>
    </row>
    <row r="415" spans="1:24" x14ac:dyDescent="0.35">
      <c r="A415" s="3">
        <v>45968</v>
      </c>
      <c r="B415" t="s">
        <v>167</v>
      </c>
      <c r="C415" t="s">
        <v>57</v>
      </c>
      <c r="D415" t="s">
        <v>561</v>
      </c>
      <c r="E415" t="s">
        <v>66</v>
      </c>
      <c r="F415" t="s">
        <v>28</v>
      </c>
      <c r="G415" t="s">
        <v>71</v>
      </c>
      <c r="H415">
        <v>49.1</v>
      </c>
      <c r="I415">
        <v>2517</v>
      </c>
      <c r="J415">
        <v>114</v>
      </c>
      <c r="K415">
        <v>11.9</v>
      </c>
      <c r="L415" t="s">
        <v>49</v>
      </c>
      <c r="M415">
        <v>26460.65</v>
      </c>
      <c r="N415">
        <v>26638</v>
      </c>
      <c r="O415" t="s">
        <v>59</v>
      </c>
      <c r="P415" t="str">
        <f t="shared" si="54"/>
        <v>Yes</v>
      </c>
      <c r="Q415">
        <f t="shared" si="55"/>
        <v>51.26</v>
      </c>
      <c r="R415">
        <f t="shared" si="56"/>
        <v>10.51</v>
      </c>
      <c r="S415">
        <f t="shared" si="57"/>
        <v>0.99</v>
      </c>
      <c r="T415" t="str">
        <f t="shared" si="58"/>
        <v>Delayed</v>
      </c>
      <c r="U415" t="str">
        <f t="shared" si="59"/>
        <v>Medium</v>
      </c>
      <c r="V415" t="str">
        <f t="shared" si="60"/>
        <v>High Risk</v>
      </c>
      <c r="W415" t="str">
        <f t="shared" si="61"/>
        <v>Nov</v>
      </c>
      <c r="X415">
        <f t="shared" si="62"/>
        <v>2025</v>
      </c>
    </row>
    <row r="416" spans="1:24" x14ac:dyDescent="0.35">
      <c r="A416" s="3">
        <v>45779</v>
      </c>
      <c r="B416" t="s">
        <v>309</v>
      </c>
      <c r="C416" t="s">
        <v>69</v>
      </c>
      <c r="D416" t="s">
        <v>562</v>
      </c>
      <c r="E416" t="s">
        <v>28</v>
      </c>
      <c r="F416" t="s">
        <v>27</v>
      </c>
      <c r="G416" t="s">
        <v>71</v>
      </c>
      <c r="H416">
        <v>50.3</v>
      </c>
      <c r="I416">
        <v>3545</v>
      </c>
      <c r="J416">
        <v>40</v>
      </c>
      <c r="K416">
        <v>10.5</v>
      </c>
      <c r="L416" t="s">
        <v>49</v>
      </c>
      <c r="M416">
        <v>33777.96</v>
      </c>
      <c r="N416">
        <v>5370</v>
      </c>
      <c r="O416" t="s">
        <v>67</v>
      </c>
      <c r="P416" t="str">
        <f t="shared" si="54"/>
        <v>Yes</v>
      </c>
      <c r="Q416">
        <f t="shared" si="55"/>
        <v>70.48</v>
      </c>
      <c r="R416">
        <f t="shared" si="56"/>
        <v>9.5299999999999994</v>
      </c>
      <c r="S416">
        <f t="shared" si="57"/>
        <v>6.29</v>
      </c>
      <c r="T416" t="str">
        <f t="shared" si="58"/>
        <v>Delayed</v>
      </c>
      <c r="U416" t="str">
        <f t="shared" si="59"/>
        <v>Medium</v>
      </c>
      <c r="V416" t="str">
        <f t="shared" si="60"/>
        <v>High Risk</v>
      </c>
      <c r="W416" t="str">
        <f t="shared" si="61"/>
        <v>May</v>
      </c>
      <c r="X416">
        <f t="shared" si="62"/>
        <v>2025</v>
      </c>
    </row>
    <row r="417" spans="1:24" x14ac:dyDescent="0.35">
      <c r="A417" s="3">
        <v>45723</v>
      </c>
      <c r="B417" t="s">
        <v>210</v>
      </c>
      <c r="C417" t="s">
        <v>25</v>
      </c>
      <c r="D417" t="s">
        <v>563</v>
      </c>
      <c r="E417" t="s">
        <v>63</v>
      </c>
      <c r="F417" t="s">
        <v>66</v>
      </c>
      <c r="G417" t="s">
        <v>71</v>
      </c>
      <c r="H417">
        <v>39.6</v>
      </c>
      <c r="I417">
        <v>4578</v>
      </c>
      <c r="J417">
        <v>118</v>
      </c>
      <c r="K417">
        <v>19.399999999999999</v>
      </c>
      <c r="L417" t="s">
        <v>49</v>
      </c>
      <c r="M417">
        <v>23040.03</v>
      </c>
      <c r="N417">
        <v>23605</v>
      </c>
      <c r="O417" t="s">
        <v>31</v>
      </c>
      <c r="P417" t="str">
        <f t="shared" si="54"/>
        <v>Yes</v>
      </c>
      <c r="Q417">
        <f t="shared" si="55"/>
        <v>115.61</v>
      </c>
      <c r="R417">
        <f t="shared" si="56"/>
        <v>5.03</v>
      </c>
      <c r="S417">
        <f t="shared" si="57"/>
        <v>0.98</v>
      </c>
      <c r="T417" t="str">
        <f t="shared" si="58"/>
        <v>Delayed</v>
      </c>
      <c r="U417" t="str">
        <f t="shared" si="59"/>
        <v>Low</v>
      </c>
      <c r="V417" t="str">
        <f t="shared" si="60"/>
        <v>High Risk</v>
      </c>
      <c r="W417" t="str">
        <f t="shared" si="61"/>
        <v>Mar</v>
      </c>
      <c r="X417">
        <f t="shared" si="62"/>
        <v>2025</v>
      </c>
    </row>
    <row r="418" spans="1:24" x14ac:dyDescent="0.35">
      <c r="A418" s="3">
        <v>45747</v>
      </c>
      <c r="B418" t="s">
        <v>64</v>
      </c>
      <c r="C418" t="s">
        <v>52</v>
      </c>
      <c r="D418" t="s">
        <v>564</v>
      </c>
      <c r="E418" t="s">
        <v>41</v>
      </c>
      <c r="F418" t="s">
        <v>48</v>
      </c>
      <c r="G418" t="s">
        <v>35</v>
      </c>
      <c r="H418">
        <v>47.1</v>
      </c>
      <c r="I418">
        <v>2927</v>
      </c>
      <c r="J418">
        <v>30</v>
      </c>
      <c r="K418">
        <v>17.399999999999999</v>
      </c>
      <c r="L418" t="s">
        <v>49</v>
      </c>
      <c r="M418">
        <v>23300.080000000002</v>
      </c>
      <c r="N418">
        <v>24754</v>
      </c>
      <c r="O418" t="s">
        <v>44</v>
      </c>
      <c r="P418" t="str">
        <f t="shared" si="54"/>
        <v>Yes</v>
      </c>
      <c r="Q418">
        <f t="shared" si="55"/>
        <v>62.14</v>
      </c>
      <c r="R418">
        <f t="shared" si="56"/>
        <v>7.96</v>
      </c>
      <c r="S418">
        <f t="shared" si="57"/>
        <v>0.94</v>
      </c>
      <c r="T418" t="str">
        <f t="shared" si="58"/>
        <v>Delayed</v>
      </c>
      <c r="U418" t="str">
        <f t="shared" si="59"/>
        <v>Medium</v>
      </c>
      <c r="V418" t="str">
        <f t="shared" si="60"/>
        <v>High Risk</v>
      </c>
      <c r="W418" t="str">
        <f t="shared" si="61"/>
        <v>Mar</v>
      </c>
      <c r="X418">
        <f t="shared" si="62"/>
        <v>2025</v>
      </c>
    </row>
    <row r="419" spans="1:24" x14ac:dyDescent="0.35">
      <c r="A419" s="3">
        <v>45945</v>
      </c>
      <c r="B419" t="s">
        <v>146</v>
      </c>
      <c r="C419" t="s">
        <v>130</v>
      </c>
      <c r="D419" t="s">
        <v>565</v>
      </c>
      <c r="E419" t="s">
        <v>63</v>
      </c>
      <c r="F419" t="s">
        <v>27</v>
      </c>
      <c r="G419" t="s">
        <v>35</v>
      </c>
      <c r="H419">
        <v>70</v>
      </c>
      <c r="I419">
        <v>1262</v>
      </c>
      <c r="J419">
        <v>100</v>
      </c>
      <c r="K419">
        <v>21.8</v>
      </c>
      <c r="L419" t="s">
        <v>78</v>
      </c>
      <c r="M419">
        <v>48680.85</v>
      </c>
      <c r="N419">
        <v>22798</v>
      </c>
      <c r="O419" t="s">
        <v>67</v>
      </c>
      <c r="P419" t="str">
        <f t="shared" si="54"/>
        <v>No</v>
      </c>
      <c r="Q419">
        <f t="shared" si="55"/>
        <v>18.03</v>
      </c>
      <c r="R419">
        <f t="shared" si="56"/>
        <v>38.57</v>
      </c>
      <c r="S419">
        <f t="shared" si="57"/>
        <v>2.14</v>
      </c>
      <c r="T419" t="str">
        <f t="shared" si="58"/>
        <v>On Time</v>
      </c>
      <c r="U419" t="str">
        <f t="shared" si="59"/>
        <v>High</v>
      </c>
      <c r="V419" t="str">
        <f t="shared" si="60"/>
        <v>Low Risk</v>
      </c>
      <c r="W419" t="str">
        <f t="shared" si="61"/>
        <v>Oct</v>
      </c>
      <c r="X419">
        <f t="shared" si="62"/>
        <v>2025</v>
      </c>
    </row>
    <row r="420" spans="1:24" x14ac:dyDescent="0.35">
      <c r="A420" s="3">
        <v>45923</v>
      </c>
      <c r="B420" t="s">
        <v>129</v>
      </c>
      <c r="C420" t="s">
        <v>39</v>
      </c>
      <c r="D420" t="s">
        <v>566</v>
      </c>
      <c r="E420" t="s">
        <v>48</v>
      </c>
      <c r="F420" t="s">
        <v>55</v>
      </c>
      <c r="G420" t="s">
        <v>42</v>
      </c>
      <c r="H420">
        <v>66.5</v>
      </c>
      <c r="I420">
        <v>3016</v>
      </c>
      <c r="J420">
        <v>66</v>
      </c>
      <c r="K420">
        <v>14.5</v>
      </c>
      <c r="L420" t="s">
        <v>30</v>
      </c>
      <c r="M420">
        <v>30061.96</v>
      </c>
      <c r="N420">
        <v>5240</v>
      </c>
      <c r="O420" t="s">
        <v>91</v>
      </c>
      <c r="P420" t="str">
        <f t="shared" si="54"/>
        <v>Yes</v>
      </c>
      <c r="Q420">
        <f t="shared" si="55"/>
        <v>45.35</v>
      </c>
      <c r="R420">
        <f t="shared" si="56"/>
        <v>9.9700000000000006</v>
      </c>
      <c r="S420">
        <f t="shared" si="57"/>
        <v>5.74</v>
      </c>
      <c r="T420" t="str">
        <f t="shared" si="58"/>
        <v>Delayed</v>
      </c>
      <c r="U420" t="str">
        <f t="shared" si="59"/>
        <v>High</v>
      </c>
      <c r="V420" t="str">
        <f t="shared" si="60"/>
        <v>Medium Risk</v>
      </c>
      <c r="W420" t="str">
        <f t="shared" si="61"/>
        <v>Sep</v>
      </c>
      <c r="X420">
        <f t="shared" si="62"/>
        <v>2025</v>
      </c>
    </row>
    <row r="421" spans="1:24" x14ac:dyDescent="0.35">
      <c r="A421" s="3">
        <v>45770</v>
      </c>
      <c r="B421" t="s">
        <v>157</v>
      </c>
      <c r="C421" t="s">
        <v>39</v>
      </c>
      <c r="D421" t="s">
        <v>567</v>
      </c>
      <c r="E421" t="s">
        <v>28</v>
      </c>
      <c r="F421" t="s">
        <v>63</v>
      </c>
      <c r="G421" t="s">
        <v>42</v>
      </c>
      <c r="H421">
        <v>35</v>
      </c>
      <c r="I421">
        <v>4777</v>
      </c>
      <c r="J421">
        <v>119</v>
      </c>
      <c r="K421">
        <v>12.8</v>
      </c>
      <c r="L421" t="s">
        <v>49</v>
      </c>
      <c r="M421">
        <v>20488.62</v>
      </c>
      <c r="N421">
        <v>20904</v>
      </c>
      <c r="O421" t="s">
        <v>67</v>
      </c>
      <c r="P421" t="str">
        <f t="shared" si="54"/>
        <v>Yes</v>
      </c>
      <c r="Q421">
        <f t="shared" si="55"/>
        <v>136.49</v>
      </c>
      <c r="R421">
        <f t="shared" si="56"/>
        <v>4.29</v>
      </c>
      <c r="S421">
        <f t="shared" si="57"/>
        <v>0.98</v>
      </c>
      <c r="T421" t="str">
        <f t="shared" si="58"/>
        <v>Delayed</v>
      </c>
      <c r="U421" t="str">
        <f t="shared" si="59"/>
        <v>Low</v>
      </c>
      <c r="V421" t="str">
        <f t="shared" si="60"/>
        <v>High Risk</v>
      </c>
      <c r="W421" t="str">
        <f t="shared" si="61"/>
        <v>Apr</v>
      </c>
      <c r="X421">
        <f t="shared" si="62"/>
        <v>2025</v>
      </c>
    </row>
    <row r="422" spans="1:24" x14ac:dyDescent="0.35">
      <c r="A422" s="3">
        <v>46022</v>
      </c>
      <c r="B422" t="s">
        <v>214</v>
      </c>
      <c r="C422" t="s">
        <v>25</v>
      </c>
      <c r="D422" t="s">
        <v>568</v>
      </c>
      <c r="E422" t="s">
        <v>54</v>
      </c>
      <c r="F422" t="s">
        <v>48</v>
      </c>
      <c r="G422" t="s">
        <v>35</v>
      </c>
      <c r="H422">
        <v>76</v>
      </c>
      <c r="I422">
        <v>1154</v>
      </c>
      <c r="J422">
        <v>21</v>
      </c>
      <c r="K422">
        <v>18.5</v>
      </c>
      <c r="L422" t="s">
        <v>43</v>
      </c>
      <c r="M422">
        <v>48761.02</v>
      </c>
      <c r="N422">
        <v>21523</v>
      </c>
      <c r="O422" t="s">
        <v>67</v>
      </c>
      <c r="P422" t="str">
        <f t="shared" si="54"/>
        <v>Yes</v>
      </c>
      <c r="Q422">
        <f t="shared" si="55"/>
        <v>15.18</v>
      </c>
      <c r="R422">
        <f t="shared" si="56"/>
        <v>42.25</v>
      </c>
      <c r="S422">
        <f t="shared" si="57"/>
        <v>2.27</v>
      </c>
      <c r="T422" t="str">
        <f t="shared" si="58"/>
        <v>Delayed</v>
      </c>
      <c r="U422" t="str">
        <f t="shared" si="59"/>
        <v>High</v>
      </c>
      <c r="V422" t="str">
        <f t="shared" si="60"/>
        <v>Low Risk</v>
      </c>
      <c r="W422" t="str">
        <f t="shared" si="61"/>
        <v>Dec</v>
      </c>
      <c r="X422">
        <f t="shared" si="62"/>
        <v>2025</v>
      </c>
    </row>
    <row r="423" spans="1:24" x14ac:dyDescent="0.35">
      <c r="A423" s="3">
        <v>45812</v>
      </c>
      <c r="B423" t="s">
        <v>46</v>
      </c>
      <c r="C423" t="s">
        <v>57</v>
      </c>
      <c r="D423" t="s">
        <v>569</v>
      </c>
      <c r="E423" t="s">
        <v>28</v>
      </c>
      <c r="F423" t="s">
        <v>66</v>
      </c>
      <c r="G423" t="s">
        <v>35</v>
      </c>
      <c r="H423">
        <v>49.6</v>
      </c>
      <c r="I423">
        <v>1480</v>
      </c>
      <c r="J423">
        <v>56</v>
      </c>
      <c r="K423">
        <v>17.399999999999999</v>
      </c>
      <c r="L423" t="s">
        <v>43</v>
      </c>
      <c r="M423">
        <v>24170</v>
      </c>
      <c r="N423">
        <v>24207</v>
      </c>
      <c r="O423" t="s">
        <v>44</v>
      </c>
      <c r="P423" t="str">
        <f t="shared" si="54"/>
        <v>Yes</v>
      </c>
      <c r="Q423">
        <f t="shared" si="55"/>
        <v>29.84</v>
      </c>
      <c r="R423">
        <f t="shared" si="56"/>
        <v>16.329999999999998</v>
      </c>
      <c r="S423">
        <f t="shared" si="57"/>
        <v>1</v>
      </c>
      <c r="T423" t="str">
        <f t="shared" si="58"/>
        <v>Delayed</v>
      </c>
      <c r="U423" t="str">
        <f t="shared" si="59"/>
        <v>Medium</v>
      </c>
      <c r="V423" t="str">
        <f t="shared" si="60"/>
        <v>Low Risk</v>
      </c>
      <c r="W423" t="str">
        <f t="shared" si="61"/>
        <v>Jun</v>
      </c>
      <c r="X423">
        <f t="shared" si="62"/>
        <v>2025</v>
      </c>
    </row>
    <row r="424" spans="1:24" x14ac:dyDescent="0.35">
      <c r="A424" s="3">
        <v>45687</v>
      </c>
      <c r="B424" t="s">
        <v>76</v>
      </c>
      <c r="C424" t="s">
        <v>95</v>
      </c>
      <c r="D424" t="s">
        <v>570</v>
      </c>
      <c r="E424" t="s">
        <v>54</v>
      </c>
      <c r="F424" t="s">
        <v>41</v>
      </c>
      <c r="G424" t="s">
        <v>29</v>
      </c>
      <c r="H424">
        <v>79.7</v>
      </c>
      <c r="I424">
        <v>1056</v>
      </c>
      <c r="J424">
        <v>76</v>
      </c>
      <c r="K424">
        <v>16.399999999999999</v>
      </c>
      <c r="L424" t="s">
        <v>49</v>
      </c>
      <c r="M424">
        <v>45728.88</v>
      </c>
      <c r="N424">
        <v>15717</v>
      </c>
      <c r="O424" t="s">
        <v>59</v>
      </c>
      <c r="P424" t="str">
        <f t="shared" si="54"/>
        <v>Yes</v>
      </c>
      <c r="Q424">
        <f t="shared" si="55"/>
        <v>13.25</v>
      </c>
      <c r="R424">
        <f t="shared" si="56"/>
        <v>43.3</v>
      </c>
      <c r="S424">
        <f t="shared" si="57"/>
        <v>2.91</v>
      </c>
      <c r="T424" t="str">
        <f t="shared" si="58"/>
        <v>Delayed</v>
      </c>
      <c r="U424" t="str">
        <f t="shared" si="59"/>
        <v>High</v>
      </c>
      <c r="V424" t="str">
        <f t="shared" si="60"/>
        <v>High Risk</v>
      </c>
      <c r="W424" t="str">
        <f t="shared" si="61"/>
        <v>Jan</v>
      </c>
      <c r="X424">
        <f t="shared" si="62"/>
        <v>2025</v>
      </c>
    </row>
    <row r="425" spans="1:24" x14ac:dyDescent="0.35">
      <c r="A425" s="3">
        <v>45818</v>
      </c>
      <c r="B425" t="s">
        <v>463</v>
      </c>
      <c r="C425" t="s">
        <v>25</v>
      </c>
      <c r="D425" t="s">
        <v>571</v>
      </c>
      <c r="E425" t="s">
        <v>54</v>
      </c>
      <c r="F425" t="s">
        <v>27</v>
      </c>
      <c r="G425" t="s">
        <v>42</v>
      </c>
      <c r="H425">
        <v>47.7</v>
      </c>
      <c r="I425">
        <v>4413</v>
      </c>
      <c r="J425">
        <v>30</v>
      </c>
      <c r="K425">
        <v>16.5</v>
      </c>
      <c r="L425" t="s">
        <v>49</v>
      </c>
      <c r="M425">
        <v>28436.46</v>
      </c>
      <c r="N425">
        <v>12942</v>
      </c>
      <c r="O425" t="s">
        <v>44</v>
      </c>
      <c r="P425" t="str">
        <f t="shared" si="54"/>
        <v>Yes</v>
      </c>
      <c r="Q425">
        <f t="shared" si="55"/>
        <v>92.52</v>
      </c>
      <c r="R425">
        <f t="shared" si="56"/>
        <v>6.44</v>
      </c>
      <c r="S425">
        <f t="shared" si="57"/>
        <v>2.2000000000000002</v>
      </c>
      <c r="T425" t="str">
        <f t="shared" si="58"/>
        <v>Delayed</v>
      </c>
      <c r="U425" t="str">
        <f t="shared" si="59"/>
        <v>Medium</v>
      </c>
      <c r="V425" t="str">
        <f t="shared" si="60"/>
        <v>High Risk</v>
      </c>
      <c r="W425" t="str">
        <f t="shared" si="61"/>
        <v>Jun</v>
      </c>
      <c r="X425">
        <f t="shared" si="62"/>
        <v>2025</v>
      </c>
    </row>
    <row r="426" spans="1:24" x14ac:dyDescent="0.35">
      <c r="A426" s="3">
        <v>46010</v>
      </c>
      <c r="B426" t="s">
        <v>82</v>
      </c>
      <c r="C426" t="s">
        <v>25</v>
      </c>
      <c r="D426" t="s">
        <v>572</v>
      </c>
      <c r="E426" t="s">
        <v>27</v>
      </c>
      <c r="F426" t="s">
        <v>66</v>
      </c>
      <c r="G426" t="s">
        <v>35</v>
      </c>
      <c r="H426">
        <v>36.1</v>
      </c>
      <c r="I426">
        <v>2307</v>
      </c>
      <c r="J426">
        <v>38</v>
      </c>
      <c r="K426">
        <v>11.8</v>
      </c>
      <c r="L426" t="s">
        <v>43</v>
      </c>
      <c r="M426">
        <v>17700.39</v>
      </c>
      <c r="N426">
        <v>27469</v>
      </c>
      <c r="O426" t="s">
        <v>59</v>
      </c>
      <c r="P426" t="str">
        <f t="shared" si="54"/>
        <v>Yes</v>
      </c>
      <c r="Q426">
        <f t="shared" si="55"/>
        <v>63.91</v>
      </c>
      <c r="R426">
        <f t="shared" si="56"/>
        <v>7.67</v>
      </c>
      <c r="S426">
        <f t="shared" si="57"/>
        <v>0.64</v>
      </c>
      <c r="T426" t="str">
        <f t="shared" si="58"/>
        <v>Delayed</v>
      </c>
      <c r="U426" t="str">
        <f t="shared" si="59"/>
        <v>Low</v>
      </c>
      <c r="V426" t="str">
        <f t="shared" si="60"/>
        <v>Low Risk</v>
      </c>
      <c r="W426" t="str">
        <f t="shared" si="61"/>
        <v>Dec</v>
      </c>
      <c r="X426">
        <f t="shared" si="62"/>
        <v>2025</v>
      </c>
    </row>
    <row r="427" spans="1:24" x14ac:dyDescent="0.35">
      <c r="A427" s="3">
        <v>45977</v>
      </c>
      <c r="B427" t="s">
        <v>98</v>
      </c>
      <c r="C427" t="s">
        <v>39</v>
      </c>
      <c r="D427" t="s">
        <v>573</v>
      </c>
      <c r="E427" t="s">
        <v>27</v>
      </c>
      <c r="F427" t="s">
        <v>41</v>
      </c>
      <c r="G427" t="s">
        <v>29</v>
      </c>
      <c r="H427">
        <v>43.1</v>
      </c>
      <c r="I427">
        <v>3279</v>
      </c>
      <c r="J427">
        <v>67</v>
      </c>
      <c r="K427">
        <v>15.3</v>
      </c>
      <c r="L427" t="s">
        <v>49</v>
      </c>
      <c r="M427">
        <v>20515.11</v>
      </c>
      <c r="N427">
        <v>26026</v>
      </c>
      <c r="O427" t="s">
        <v>59</v>
      </c>
      <c r="P427" t="str">
        <f t="shared" si="54"/>
        <v>Yes</v>
      </c>
      <c r="Q427">
        <f t="shared" si="55"/>
        <v>76.08</v>
      </c>
      <c r="R427">
        <f t="shared" si="56"/>
        <v>6.26</v>
      </c>
      <c r="S427">
        <f t="shared" si="57"/>
        <v>0.79</v>
      </c>
      <c r="T427" t="str">
        <f t="shared" si="58"/>
        <v>Delayed</v>
      </c>
      <c r="U427" t="str">
        <f t="shared" si="59"/>
        <v>Medium</v>
      </c>
      <c r="V427" t="str">
        <f t="shared" si="60"/>
        <v>High Risk</v>
      </c>
      <c r="W427" t="str">
        <f t="shared" si="61"/>
        <v>Nov</v>
      </c>
      <c r="X427">
        <f t="shared" si="62"/>
        <v>2025</v>
      </c>
    </row>
    <row r="428" spans="1:24" x14ac:dyDescent="0.35">
      <c r="A428" s="3">
        <v>45923</v>
      </c>
      <c r="B428" t="s">
        <v>100</v>
      </c>
      <c r="C428" t="s">
        <v>25</v>
      </c>
      <c r="D428" t="s">
        <v>574</v>
      </c>
      <c r="E428" t="s">
        <v>27</v>
      </c>
      <c r="F428" t="s">
        <v>48</v>
      </c>
      <c r="G428" t="s">
        <v>29</v>
      </c>
      <c r="H428">
        <v>57.2</v>
      </c>
      <c r="I428">
        <v>982</v>
      </c>
      <c r="J428">
        <v>72</v>
      </c>
      <c r="K428">
        <v>19.7</v>
      </c>
      <c r="L428" t="s">
        <v>30</v>
      </c>
      <c r="M428">
        <v>34320.620000000003</v>
      </c>
      <c r="N428">
        <v>19130</v>
      </c>
      <c r="O428" t="s">
        <v>36</v>
      </c>
      <c r="P428" t="str">
        <f t="shared" si="54"/>
        <v>Yes</v>
      </c>
      <c r="Q428">
        <f t="shared" si="55"/>
        <v>17.170000000000002</v>
      </c>
      <c r="R428">
        <f t="shared" si="56"/>
        <v>34.950000000000003</v>
      </c>
      <c r="S428">
        <f t="shared" si="57"/>
        <v>1.79</v>
      </c>
      <c r="T428" t="str">
        <f t="shared" si="58"/>
        <v>Delayed</v>
      </c>
      <c r="U428" t="str">
        <f t="shared" si="59"/>
        <v>Medium</v>
      </c>
      <c r="V428" t="str">
        <f t="shared" si="60"/>
        <v>Medium Risk</v>
      </c>
      <c r="W428" t="str">
        <f t="shared" si="61"/>
        <v>Sep</v>
      </c>
      <c r="X428">
        <f t="shared" si="62"/>
        <v>2025</v>
      </c>
    </row>
    <row r="429" spans="1:24" x14ac:dyDescent="0.35">
      <c r="A429" s="3">
        <v>45716</v>
      </c>
      <c r="B429" t="s">
        <v>100</v>
      </c>
      <c r="C429" t="s">
        <v>130</v>
      </c>
      <c r="D429" t="s">
        <v>575</v>
      </c>
      <c r="E429" t="s">
        <v>48</v>
      </c>
      <c r="F429" t="s">
        <v>63</v>
      </c>
      <c r="G429" t="s">
        <v>29</v>
      </c>
      <c r="H429">
        <v>48.1</v>
      </c>
      <c r="I429">
        <v>2617</v>
      </c>
      <c r="J429">
        <v>61</v>
      </c>
      <c r="K429">
        <v>13.1</v>
      </c>
      <c r="L429" t="s">
        <v>43</v>
      </c>
      <c r="M429">
        <v>24843.35</v>
      </c>
      <c r="N429">
        <v>24531</v>
      </c>
      <c r="O429" t="s">
        <v>36</v>
      </c>
      <c r="P429" t="str">
        <f t="shared" si="54"/>
        <v>Yes</v>
      </c>
      <c r="Q429">
        <f t="shared" si="55"/>
        <v>54.41</v>
      </c>
      <c r="R429">
        <f t="shared" si="56"/>
        <v>9.49</v>
      </c>
      <c r="S429">
        <f t="shared" si="57"/>
        <v>1.01</v>
      </c>
      <c r="T429" t="str">
        <f t="shared" si="58"/>
        <v>Delayed</v>
      </c>
      <c r="U429" t="str">
        <f t="shared" si="59"/>
        <v>Medium</v>
      </c>
      <c r="V429" t="str">
        <f t="shared" si="60"/>
        <v>Low Risk</v>
      </c>
      <c r="W429" t="str">
        <f t="shared" si="61"/>
        <v>Feb</v>
      </c>
      <c r="X429">
        <f t="shared" si="62"/>
        <v>2025</v>
      </c>
    </row>
    <row r="430" spans="1:24" x14ac:dyDescent="0.35">
      <c r="A430" s="3">
        <v>45995</v>
      </c>
      <c r="B430" t="s">
        <v>139</v>
      </c>
      <c r="C430" t="s">
        <v>39</v>
      </c>
      <c r="D430" t="s">
        <v>576</v>
      </c>
      <c r="E430" t="s">
        <v>66</v>
      </c>
      <c r="F430" t="s">
        <v>27</v>
      </c>
      <c r="G430" t="s">
        <v>42</v>
      </c>
      <c r="H430">
        <v>52.9</v>
      </c>
      <c r="I430">
        <v>4868</v>
      </c>
      <c r="J430">
        <v>44</v>
      </c>
      <c r="K430">
        <v>19.8</v>
      </c>
      <c r="L430" t="s">
        <v>49</v>
      </c>
      <c r="M430">
        <v>32853.839999999997</v>
      </c>
      <c r="N430">
        <v>20053</v>
      </c>
      <c r="O430" t="s">
        <v>44</v>
      </c>
      <c r="P430" t="str">
        <f t="shared" si="54"/>
        <v>Yes</v>
      </c>
      <c r="Q430">
        <f t="shared" si="55"/>
        <v>92.02</v>
      </c>
      <c r="R430">
        <f t="shared" si="56"/>
        <v>6.75</v>
      </c>
      <c r="S430">
        <f t="shared" si="57"/>
        <v>1.64</v>
      </c>
      <c r="T430" t="str">
        <f t="shared" si="58"/>
        <v>Delayed</v>
      </c>
      <c r="U430" t="str">
        <f t="shared" si="59"/>
        <v>Medium</v>
      </c>
      <c r="V430" t="str">
        <f t="shared" si="60"/>
        <v>High Risk</v>
      </c>
      <c r="W430" t="str">
        <f t="shared" si="61"/>
        <v>Dec</v>
      </c>
      <c r="X430">
        <f t="shared" si="62"/>
        <v>2025</v>
      </c>
    </row>
    <row r="431" spans="1:24" x14ac:dyDescent="0.35">
      <c r="A431" s="3">
        <v>45990</v>
      </c>
      <c r="B431" t="s">
        <v>246</v>
      </c>
      <c r="C431" t="s">
        <v>52</v>
      </c>
      <c r="D431" t="s">
        <v>577</v>
      </c>
      <c r="E431" t="s">
        <v>66</v>
      </c>
      <c r="F431" t="s">
        <v>28</v>
      </c>
      <c r="G431" t="s">
        <v>29</v>
      </c>
      <c r="H431">
        <v>44.2</v>
      </c>
      <c r="I431">
        <v>1145</v>
      </c>
      <c r="J431">
        <v>55</v>
      </c>
      <c r="K431">
        <v>14.9</v>
      </c>
      <c r="L431" t="s">
        <v>30</v>
      </c>
      <c r="M431">
        <v>30433.25</v>
      </c>
      <c r="N431">
        <v>8425</v>
      </c>
      <c r="O431" t="s">
        <v>59</v>
      </c>
      <c r="P431" t="str">
        <f t="shared" si="54"/>
        <v>Yes</v>
      </c>
      <c r="Q431">
        <f t="shared" si="55"/>
        <v>25.9</v>
      </c>
      <c r="R431">
        <f t="shared" si="56"/>
        <v>26.58</v>
      </c>
      <c r="S431">
        <f t="shared" si="57"/>
        <v>3.61</v>
      </c>
      <c r="T431" t="str">
        <f t="shared" si="58"/>
        <v>Delayed</v>
      </c>
      <c r="U431" t="str">
        <f t="shared" si="59"/>
        <v>Medium</v>
      </c>
      <c r="V431" t="str">
        <f t="shared" si="60"/>
        <v>Medium Risk</v>
      </c>
      <c r="W431" t="str">
        <f t="shared" si="61"/>
        <v>Nov</v>
      </c>
      <c r="X431">
        <f t="shared" si="62"/>
        <v>2025</v>
      </c>
    </row>
    <row r="432" spans="1:24" x14ac:dyDescent="0.35">
      <c r="A432" s="3">
        <v>45982</v>
      </c>
      <c r="B432" t="s">
        <v>171</v>
      </c>
      <c r="C432" t="s">
        <v>95</v>
      </c>
      <c r="D432" t="s">
        <v>578</v>
      </c>
      <c r="E432" t="s">
        <v>48</v>
      </c>
      <c r="F432" t="s">
        <v>63</v>
      </c>
      <c r="G432" t="s">
        <v>71</v>
      </c>
      <c r="H432">
        <v>26.6</v>
      </c>
      <c r="I432">
        <v>4948</v>
      </c>
      <c r="J432">
        <v>112</v>
      </c>
      <c r="K432">
        <v>18.5</v>
      </c>
      <c r="L432" t="s">
        <v>30</v>
      </c>
      <c r="M432">
        <v>13983.85</v>
      </c>
      <c r="N432">
        <v>7404</v>
      </c>
      <c r="O432" t="s">
        <v>59</v>
      </c>
      <c r="P432" t="str">
        <f t="shared" si="54"/>
        <v>Yes</v>
      </c>
      <c r="Q432">
        <f t="shared" si="55"/>
        <v>186.02</v>
      </c>
      <c r="R432">
        <f t="shared" si="56"/>
        <v>2.83</v>
      </c>
      <c r="S432">
        <f t="shared" si="57"/>
        <v>1.89</v>
      </c>
      <c r="T432" t="str">
        <f t="shared" si="58"/>
        <v>Delayed</v>
      </c>
      <c r="U432" t="str">
        <f t="shared" si="59"/>
        <v>Low</v>
      </c>
      <c r="V432" t="str">
        <f t="shared" si="60"/>
        <v>Medium Risk</v>
      </c>
      <c r="W432" t="str">
        <f t="shared" si="61"/>
        <v>Nov</v>
      </c>
      <c r="X432">
        <f t="shared" si="62"/>
        <v>2025</v>
      </c>
    </row>
    <row r="433" spans="1:24" x14ac:dyDescent="0.35">
      <c r="A433" s="3">
        <v>45852</v>
      </c>
      <c r="B433" t="s">
        <v>311</v>
      </c>
      <c r="C433" t="s">
        <v>109</v>
      </c>
      <c r="D433" t="s">
        <v>579</v>
      </c>
      <c r="E433" t="s">
        <v>63</v>
      </c>
      <c r="F433" t="s">
        <v>41</v>
      </c>
      <c r="G433" t="s">
        <v>35</v>
      </c>
      <c r="H433">
        <v>37</v>
      </c>
      <c r="I433">
        <v>1535</v>
      </c>
      <c r="J433">
        <v>43</v>
      </c>
      <c r="K433">
        <v>11.7</v>
      </c>
      <c r="L433" t="s">
        <v>49</v>
      </c>
      <c r="M433">
        <v>17041.66</v>
      </c>
      <c r="N433">
        <v>13467</v>
      </c>
      <c r="O433" t="s">
        <v>84</v>
      </c>
      <c r="P433" t="str">
        <f t="shared" si="54"/>
        <v>Yes</v>
      </c>
      <c r="Q433">
        <f t="shared" si="55"/>
        <v>41.49</v>
      </c>
      <c r="R433">
        <f t="shared" si="56"/>
        <v>11.1</v>
      </c>
      <c r="S433">
        <f t="shared" si="57"/>
        <v>1.27</v>
      </c>
      <c r="T433" t="str">
        <f t="shared" si="58"/>
        <v>Delayed</v>
      </c>
      <c r="U433" t="str">
        <f t="shared" si="59"/>
        <v>Low</v>
      </c>
      <c r="V433" t="str">
        <f t="shared" si="60"/>
        <v>High Risk</v>
      </c>
      <c r="W433" t="str">
        <f t="shared" si="61"/>
        <v>Jul</v>
      </c>
      <c r="X433">
        <f t="shared" si="62"/>
        <v>2025</v>
      </c>
    </row>
    <row r="434" spans="1:24" x14ac:dyDescent="0.35">
      <c r="A434" s="3">
        <v>45896</v>
      </c>
      <c r="B434" t="s">
        <v>256</v>
      </c>
      <c r="C434" t="s">
        <v>130</v>
      </c>
      <c r="D434" t="s">
        <v>580</v>
      </c>
      <c r="E434" t="s">
        <v>63</v>
      </c>
      <c r="F434" t="s">
        <v>27</v>
      </c>
      <c r="G434" t="s">
        <v>42</v>
      </c>
      <c r="H434">
        <v>23.3</v>
      </c>
      <c r="I434">
        <v>2940</v>
      </c>
      <c r="J434">
        <v>66</v>
      </c>
      <c r="K434">
        <v>12.4</v>
      </c>
      <c r="L434" t="s">
        <v>78</v>
      </c>
      <c r="M434">
        <v>10612.58</v>
      </c>
      <c r="N434">
        <v>20673</v>
      </c>
      <c r="O434" t="s">
        <v>59</v>
      </c>
      <c r="P434" t="str">
        <f t="shared" si="54"/>
        <v>No</v>
      </c>
      <c r="Q434">
        <f t="shared" si="55"/>
        <v>126.18</v>
      </c>
      <c r="R434">
        <f t="shared" si="56"/>
        <v>3.61</v>
      </c>
      <c r="S434">
        <f t="shared" si="57"/>
        <v>0.51</v>
      </c>
      <c r="T434" t="str">
        <f t="shared" si="58"/>
        <v>On Time</v>
      </c>
      <c r="U434" t="str">
        <f t="shared" si="59"/>
        <v>Low</v>
      </c>
      <c r="V434" t="str">
        <f t="shared" si="60"/>
        <v>Low Risk</v>
      </c>
      <c r="W434" t="str">
        <f t="shared" si="61"/>
        <v>Aug</v>
      </c>
      <c r="X434">
        <f t="shared" si="62"/>
        <v>2025</v>
      </c>
    </row>
    <row r="435" spans="1:24" x14ac:dyDescent="0.35">
      <c r="A435" s="3">
        <v>45786</v>
      </c>
      <c r="B435" t="s">
        <v>317</v>
      </c>
      <c r="C435" t="s">
        <v>39</v>
      </c>
      <c r="D435" t="s">
        <v>581</v>
      </c>
      <c r="E435" t="s">
        <v>48</v>
      </c>
      <c r="F435" t="s">
        <v>55</v>
      </c>
      <c r="G435" t="s">
        <v>42</v>
      </c>
      <c r="H435">
        <v>37.200000000000003</v>
      </c>
      <c r="I435">
        <v>1935</v>
      </c>
      <c r="J435">
        <v>117</v>
      </c>
      <c r="K435">
        <v>11.5</v>
      </c>
      <c r="L435" t="s">
        <v>30</v>
      </c>
      <c r="M435">
        <v>20263.63</v>
      </c>
      <c r="N435">
        <v>21322</v>
      </c>
      <c r="O435" t="s">
        <v>31</v>
      </c>
      <c r="P435" t="str">
        <f t="shared" si="54"/>
        <v>Yes</v>
      </c>
      <c r="Q435">
        <f t="shared" si="55"/>
        <v>52.02</v>
      </c>
      <c r="R435">
        <f t="shared" si="56"/>
        <v>10.47</v>
      </c>
      <c r="S435">
        <f t="shared" si="57"/>
        <v>0.95</v>
      </c>
      <c r="T435" t="str">
        <f t="shared" si="58"/>
        <v>Delayed</v>
      </c>
      <c r="U435" t="str">
        <f t="shared" si="59"/>
        <v>Low</v>
      </c>
      <c r="V435" t="str">
        <f t="shared" si="60"/>
        <v>Medium Risk</v>
      </c>
      <c r="W435" t="str">
        <f t="shared" si="61"/>
        <v>May</v>
      </c>
      <c r="X435">
        <f t="shared" si="62"/>
        <v>2025</v>
      </c>
    </row>
    <row r="436" spans="1:24" x14ac:dyDescent="0.35">
      <c r="A436" s="3">
        <v>45658</v>
      </c>
      <c r="B436" t="s">
        <v>223</v>
      </c>
      <c r="C436" t="s">
        <v>57</v>
      </c>
      <c r="D436" t="s">
        <v>582</v>
      </c>
      <c r="E436" t="s">
        <v>28</v>
      </c>
      <c r="F436" t="s">
        <v>63</v>
      </c>
      <c r="G436" t="s">
        <v>29</v>
      </c>
      <c r="H436">
        <v>25.2</v>
      </c>
      <c r="I436">
        <v>2957</v>
      </c>
      <c r="J436">
        <v>35</v>
      </c>
      <c r="K436">
        <v>12.8</v>
      </c>
      <c r="L436" t="s">
        <v>30</v>
      </c>
      <c r="M436">
        <v>12847.75</v>
      </c>
      <c r="N436">
        <v>10956</v>
      </c>
      <c r="O436" t="s">
        <v>36</v>
      </c>
      <c r="P436" t="str">
        <f t="shared" si="54"/>
        <v>Yes</v>
      </c>
      <c r="Q436">
        <f t="shared" si="55"/>
        <v>117.34</v>
      </c>
      <c r="R436">
        <f t="shared" si="56"/>
        <v>4.34</v>
      </c>
      <c r="S436">
        <f t="shared" si="57"/>
        <v>1.17</v>
      </c>
      <c r="T436" t="str">
        <f t="shared" si="58"/>
        <v>Delayed</v>
      </c>
      <c r="U436" t="str">
        <f t="shared" si="59"/>
        <v>Low</v>
      </c>
      <c r="V436" t="str">
        <f t="shared" si="60"/>
        <v>Medium Risk</v>
      </c>
      <c r="W436" t="str">
        <f t="shared" si="61"/>
        <v>Jan</v>
      </c>
      <c r="X436">
        <f t="shared" si="62"/>
        <v>2025</v>
      </c>
    </row>
    <row r="437" spans="1:24" x14ac:dyDescent="0.35">
      <c r="A437" s="3">
        <v>45938</v>
      </c>
      <c r="B437" t="s">
        <v>139</v>
      </c>
      <c r="C437" t="s">
        <v>130</v>
      </c>
      <c r="D437" t="s">
        <v>583</v>
      </c>
      <c r="E437" t="s">
        <v>63</v>
      </c>
      <c r="F437" t="s">
        <v>48</v>
      </c>
      <c r="G437" t="s">
        <v>29</v>
      </c>
      <c r="H437">
        <v>54.4</v>
      </c>
      <c r="I437">
        <v>831</v>
      </c>
      <c r="J437">
        <v>43</v>
      </c>
      <c r="K437">
        <v>16.100000000000001</v>
      </c>
      <c r="L437" t="s">
        <v>49</v>
      </c>
      <c r="M437">
        <v>33889.31</v>
      </c>
      <c r="N437">
        <v>27697</v>
      </c>
      <c r="O437" t="s">
        <v>91</v>
      </c>
      <c r="P437" t="str">
        <f t="shared" si="54"/>
        <v>Yes</v>
      </c>
      <c r="Q437">
        <f t="shared" si="55"/>
        <v>15.28</v>
      </c>
      <c r="R437">
        <f t="shared" si="56"/>
        <v>40.78</v>
      </c>
      <c r="S437">
        <f t="shared" si="57"/>
        <v>1.22</v>
      </c>
      <c r="T437" t="str">
        <f t="shared" si="58"/>
        <v>Delayed</v>
      </c>
      <c r="U437" t="str">
        <f t="shared" si="59"/>
        <v>Medium</v>
      </c>
      <c r="V437" t="str">
        <f t="shared" si="60"/>
        <v>High Risk</v>
      </c>
      <c r="W437" t="str">
        <f t="shared" si="61"/>
        <v>Oct</v>
      </c>
      <c r="X437">
        <f t="shared" si="62"/>
        <v>2025</v>
      </c>
    </row>
    <row r="438" spans="1:24" x14ac:dyDescent="0.35">
      <c r="A438" s="3">
        <v>45872</v>
      </c>
      <c r="B438" t="s">
        <v>233</v>
      </c>
      <c r="C438" t="s">
        <v>69</v>
      </c>
      <c r="D438" t="s">
        <v>584</v>
      </c>
      <c r="E438" t="s">
        <v>55</v>
      </c>
      <c r="F438" t="s">
        <v>54</v>
      </c>
      <c r="G438" t="s">
        <v>42</v>
      </c>
      <c r="H438">
        <v>35.6</v>
      </c>
      <c r="I438">
        <v>4366</v>
      </c>
      <c r="J438">
        <v>51</v>
      </c>
      <c r="K438">
        <v>15.6</v>
      </c>
      <c r="L438" t="s">
        <v>78</v>
      </c>
      <c r="M438">
        <v>20482.98</v>
      </c>
      <c r="N438">
        <v>9191</v>
      </c>
      <c r="O438" t="s">
        <v>50</v>
      </c>
      <c r="P438" t="str">
        <f t="shared" si="54"/>
        <v>No</v>
      </c>
      <c r="Q438">
        <f t="shared" si="55"/>
        <v>122.64</v>
      </c>
      <c r="R438">
        <f t="shared" si="56"/>
        <v>4.6900000000000004</v>
      </c>
      <c r="S438">
        <f t="shared" si="57"/>
        <v>2.23</v>
      </c>
      <c r="T438" t="str">
        <f t="shared" si="58"/>
        <v>On Time</v>
      </c>
      <c r="U438" t="str">
        <f t="shared" si="59"/>
        <v>Low</v>
      </c>
      <c r="V438" t="str">
        <f t="shared" si="60"/>
        <v>Low Risk</v>
      </c>
      <c r="W438" t="str">
        <f t="shared" si="61"/>
        <v>Aug</v>
      </c>
      <c r="X438">
        <f t="shared" si="62"/>
        <v>2025</v>
      </c>
    </row>
    <row r="439" spans="1:24" x14ac:dyDescent="0.35">
      <c r="A439" s="3">
        <v>45987</v>
      </c>
      <c r="B439" t="s">
        <v>33</v>
      </c>
      <c r="C439" t="s">
        <v>39</v>
      </c>
      <c r="D439" t="s">
        <v>585</v>
      </c>
      <c r="E439" t="s">
        <v>41</v>
      </c>
      <c r="F439" t="s">
        <v>54</v>
      </c>
      <c r="G439" t="s">
        <v>29</v>
      </c>
      <c r="H439">
        <v>39.4</v>
      </c>
      <c r="I439">
        <v>1238</v>
      </c>
      <c r="J439">
        <v>26</v>
      </c>
      <c r="K439">
        <v>19.3</v>
      </c>
      <c r="L439" t="s">
        <v>49</v>
      </c>
      <c r="M439">
        <v>20140.72</v>
      </c>
      <c r="N439">
        <v>9236</v>
      </c>
      <c r="O439" t="s">
        <v>67</v>
      </c>
      <c r="P439" t="str">
        <f t="shared" si="54"/>
        <v>Yes</v>
      </c>
      <c r="Q439">
        <f t="shared" si="55"/>
        <v>31.42</v>
      </c>
      <c r="R439">
        <f t="shared" si="56"/>
        <v>16.27</v>
      </c>
      <c r="S439">
        <f t="shared" si="57"/>
        <v>2.1800000000000002</v>
      </c>
      <c r="T439" t="str">
        <f t="shared" si="58"/>
        <v>Delayed</v>
      </c>
      <c r="U439" t="str">
        <f t="shared" si="59"/>
        <v>Low</v>
      </c>
      <c r="V439" t="str">
        <f t="shared" si="60"/>
        <v>High Risk</v>
      </c>
      <c r="W439" t="str">
        <f t="shared" si="61"/>
        <v>Nov</v>
      </c>
      <c r="X439">
        <f t="shared" si="62"/>
        <v>2025</v>
      </c>
    </row>
    <row r="440" spans="1:24" x14ac:dyDescent="0.35">
      <c r="A440" s="3">
        <v>45784</v>
      </c>
      <c r="B440" t="s">
        <v>167</v>
      </c>
      <c r="C440" t="s">
        <v>69</v>
      </c>
      <c r="D440" t="s">
        <v>586</v>
      </c>
      <c r="E440" t="s">
        <v>27</v>
      </c>
      <c r="F440" t="s">
        <v>63</v>
      </c>
      <c r="G440" t="s">
        <v>71</v>
      </c>
      <c r="H440">
        <v>30.3</v>
      </c>
      <c r="I440">
        <v>2229</v>
      </c>
      <c r="J440">
        <v>33</v>
      </c>
      <c r="K440">
        <v>16.100000000000001</v>
      </c>
      <c r="L440" t="s">
        <v>43</v>
      </c>
      <c r="M440">
        <v>16224.66</v>
      </c>
      <c r="N440">
        <v>21042</v>
      </c>
      <c r="O440" t="s">
        <v>31</v>
      </c>
      <c r="P440" t="str">
        <f t="shared" si="54"/>
        <v>Yes</v>
      </c>
      <c r="Q440">
        <f t="shared" si="55"/>
        <v>73.56</v>
      </c>
      <c r="R440">
        <f t="shared" si="56"/>
        <v>7.28</v>
      </c>
      <c r="S440">
        <f t="shared" si="57"/>
        <v>0.77</v>
      </c>
      <c r="T440" t="str">
        <f t="shared" si="58"/>
        <v>Delayed</v>
      </c>
      <c r="U440" t="str">
        <f t="shared" si="59"/>
        <v>Low</v>
      </c>
      <c r="V440" t="str">
        <f t="shared" si="60"/>
        <v>Low Risk</v>
      </c>
      <c r="W440" t="str">
        <f t="shared" si="61"/>
        <v>May</v>
      </c>
      <c r="X440">
        <f t="shared" si="62"/>
        <v>2025</v>
      </c>
    </row>
    <row r="441" spans="1:24" x14ac:dyDescent="0.35">
      <c r="A441" s="3">
        <v>45670</v>
      </c>
      <c r="B441" t="s">
        <v>223</v>
      </c>
      <c r="C441" t="s">
        <v>52</v>
      </c>
      <c r="D441" t="s">
        <v>587</v>
      </c>
      <c r="E441" t="s">
        <v>27</v>
      </c>
      <c r="F441" t="s">
        <v>48</v>
      </c>
      <c r="G441" t="s">
        <v>35</v>
      </c>
      <c r="H441">
        <v>75.400000000000006</v>
      </c>
      <c r="I441">
        <v>3966</v>
      </c>
      <c r="J441">
        <v>115</v>
      </c>
      <c r="K441">
        <v>19.2</v>
      </c>
      <c r="L441" t="s">
        <v>78</v>
      </c>
      <c r="M441">
        <v>52045.62</v>
      </c>
      <c r="N441">
        <v>20790</v>
      </c>
      <c r="O441" t="s">
        <v>67</v>
      </c>
      <c r="P441" t="str">
        <f t="shared" si="54"/>
        <v>No</v>
      </c>
      <c r="Q441">
        <f t="shared" si="55"/>
        <v>52.6</v>
      </c>
      <c r="R441">
        <f t="shared" si="56"/>
        <v>13.12</v>
      </c>
      <c r="S441">
        <f t="shared" si="57"/>
        <v>2.5</v>
      </c>
      <c r="T441" t="str">
        <f t="shared" si="58"/>
        <v>On Time</v>
      </c>
      <c r="U441" t="str">
        <f t="shared" si="59"/>
        <v>High</v>
      </c>
      <c r="V441" t="str">
        <f t="shared" si="60"/>
        <v>Low Risk</v>
      </c>
      <c r="W441" t="str">
        <f t="shared" si="61"/>
        <v>Jan</v>
      </c>
      <c r="X441">
        <f t="shared" si="62"/>
        <v>2025</v>
      </c>
    </row>
    <row r="442" spans="1:24" x14ac:dyDescent="0.35">
      <c r="A442" s="3">
        <v>45766</v>
      </c>
      <c r="B442" t="s">
        <v>246</v>
      </c>
      <c r="C442" t="s">
        <v>39</v>
      </c>
      <c r="D442" t="s">
        <v>588</v>
      </c>
      <c r="E442" t="s">
        <v>55</v>
      </c>
      <c r="F442" t="s">
        <v>54</v>
      </c>
      <c r="G442" t="s">
        <v>35</v>
      </c>
      <c r="H442">
        <v>38.200000000000003</v>
      </c>
      <c r="I442">
        <v>1248</v>
      </c>
      <c r="J442">
        <v>79</v>
      </c>
      <c r="K442">
        <v>11</v>
      </c>
      <c r="L442" t="s">
        <v>49</v>
      </c>
      <c r="M442">
        <v>18614.63</v>
      </c>
      <c r="N442">
        <v>29317</v>
      </c>
      <c r="O442" t="s">
        <v>91</v>
      </c>
      <c r="P442" t="str">
        <f t="shared" si="54"/>
        <v>Yes</v>
      </c>
      <c r="Q442">
        <f t="shared" si="55"/>
        <v>32.67</v>
      </c>
      <c r="R442">
        <f t="shared" si="56"/>
        <v>14.92</v>
      </c>
      <c r="S442">
        <f t="shared" si="57"/>
        <v>0.63</v>
      </c>
      <c r="T442" t="str">
        <f t="shared" si="58"/>
        <v>Delayed</v>
      </c>
      <c r="U442" t="str">
        <f t="shared" si="59"/>
        <v>Low</v>
      </c>
      <c r="V442" t="str">
        <f t="shared" si="60"/>
        <v>High Risk</v>
      </c>
      <c r="W442" t="str">
        <f t="shared" si="61"/>
        <v>Apr</v>
      </c>
      <c r="X442">
        <f t="shared" si="62"/>
        <v>2025</v>
      </c>
    </row>
    <row r="443" spans="1:24" x14ac:dyDescent="0.35">
      <c r="A443" s="3">
        <v>45689</v>
      </c>
      <c r="B443" t="s">
        <v>157</v>
      </c>
      <c r="C443" t="s">
        <v>130</v>
      </c>
      <c r="D443" t="s">
        <v>589</v>
      </c>
      <c r="E443" t="s">
        <v>63</v>
      </c>
      <c r="F443" t="s">
        <v>66</v>
      </c>
      <c r="G443" t="s">
        <v>35</v>
      </c>
      <c r="H443">
        <v>68.2</v>
      </c>
      <c r="I443">
        <v>514</v>
      </c>
      <c r="J443">
        <v>66</v>
      </c>
      <c r="K443">
        <v>13.9</v>
      </c>
      <c r="L443" t="s">
        <v>30</v>
      </c>
      <c r="M443">
        <v>35348.480000000003</v>
      </c>
      <c r="N443">
        <v>11722</v>
      </c>
      <c r="O443" t="s">
        <v>36</v>
      </c>
      <c r="P443" t="str">
        <f t="shared" si="54"/>
        <v>Yes</v>
      </c>
      <c r="Q443">
        <f t="shared" si="55"/>
        <v>7.54</v>
      </c>
      <c r="R443">
        <f t="shared" si="56"/>
        <v>68.77</v>
      </c>
      <c r="S443">
        <f t="shared" si="57"/>
        <v>3.02</v>
      </c>
      <c r="T443" t="str">
        <f t="shared" si="58"/>
        <v>Delayed</v>
      </c>
      <c r="U443" t="str">
        <f t="shared" si="59"/>
        <v>High</v>
      </c>
      <c r="V443" t="str">
        <f t="shared" si="60"/>
        <v>Medium Risk</v>
      </c>
      <c r="W443" t="str">
        <f t="shared" si="61"/>
        <v>Feb</v>
      </c>
      <c r="X443">
        <f t="shared" si="62"/>
        <v>2025</v>
      </c>
    </row>
    <row r="444" spans="1:24" x14ac:dyDescent="0.35">
      <c r="A444" s="3">
        <v>45967</v>
      </c>
      <c r="B444" t="s">
        <v>275</v>
      </c>
      <c r="C444" t="s">
        <v>39</v>
      </c>
      <c r="D444" t="s">
        <v>590</v>
      </c>
      <c r="E444" t="s">
        <v>55</v>
      </c>
      <c r="F444" t="s">
        <v>28</v>
      </c>
      <c r="G444" t="s">
        <v>42</v>
      </c>
      <c r="H444">
        <v>46.2</v>
      </c>
      <c r="I444">
        <v>2839</v>
      </c>
      <c r="J444">
        <v>70</v>
      </c>
      <c r="K444">
        <v>20.6</v>
      </c>
      <c r="L444" t="s">
        <v>49</v>
      </c>
      <c r="M444">
        <v>25198.959999999999</v>
      </c>
      <c r="N444">
        <v>19496</v>
      </c>
      <c r="O444" t="s">
        <v>36</v>
      </c>
      <c r="P444" t="str">
        <f t="shared" si="54"/>
        <v>Yes</v>
      </c>
      <c r="Q444">
        <f t="shared" si="55"/>
        <v>61.45</v>
      </c>
      <c r="R444">
        <f t="shared" si="56"/>
        <v>8.8800000000000008</v>
      </c>
      <c r="S444">
        <f t="shared" si="57"/>
        <v>1.29</v>
      </c>
      <c r="T444" t="str">
        <f t="shared" si="58"/>
        <v>Delayed</v>
      </c>
      <c r="U444" t="str">
        <f t="shared" si="59"/>
        <v>Medium</v>
      </c>
      <c r="V444" t="str">
        <f t="shared" si="60"/>
        <v>High Risk</v>
      </c>
      <c r="W444" t="str">
        <f t="shared" si="61"/>
        <v>Nov</v>
      </c>
      <c r="X444">
        <f t="shared" si="62"/>
        <v>2025</v>
      </c>
    </row>
    <row r="445" spans="1:24" x14ac:dyDescent="0.35">
      <c r="A445" s="3">
        <v>45713</v>
      </c>
      <c r="B445" t="s">
        <v>171</v>
      </c>
      <c r="C445" t="s">
        <v>95</v>
      </c>
      <c r="D445" t="s">
        <v>591</v>
      </c>
      <c r="E445" t="s">
        <v>48</v>
      </c>
      <c r="F445" t="s">
        <v>55</v>
      </c>
      <c r="G445" t="s">
        <v>29</v>
      </c>
      <c r="H445">
        <v>42.7</v>
      </c>
      <c r="I445">
        <v>1862</v>
      </c>
      <c r="J445">
        <v>96</v>
      </c>
      <c r="K445">
        <v>11.9</v>
      </c>
      <c r="L445" t="s">
        <v>49</v>
      </c>
      <c r="M445">
        <v>23447.4</v>
      </c>
      <c r="N445">
        <v>11455</v>
      </c>
      <c r="O445" t="s">
        <v>84</v>
      </c>
      <c r="P445" t="str">
        <f t="shared" si="54"/>
        <v>Yes</v>
      </c>
      <c r="Q445">
        <f t="shared" si="55"/>
        <v>43.61</v>
      </c>
      <c r="R445">
        <f t="shared" si="56"/>
        <v>12.59</v>
      </c>
      <c r="S445">
        <f t="shared" si="57"/>
        <v>2.0499999999999998</v>
      </c>
      <c r="T445" t="str">
        <f t="shared" si="58"/>
        <v>Delayed</v>
      </c>
      <c r="U445" t="str">
        <f t="shared" si="59"/>
        <v>Medium</v>
      </c>
      <c r="V445" t="str">
        <f t="shared" si="60"/>
        <v>High Risk</v>
      </c>
      <c r="W445" t="str">
        <f t="shared" si="61"/>
        <v>Feb</v>
      </c>
      <c r="X445">
        <f t="shared" si="62"/>
        <v>2025</v>
      </c>
    </row>
    <row r="446" spans="1:24" x14ac:dyDescent="0.35">
      <c r="A446" s="3">
        <v>45920</v>
      </c>
      <c r="B446" t="s">
        <v>111</v>
      </c>
      <c r="C446" t="s">
        <v>95</v>
      </c>
      <c r="D446" t="s">
        <v>592</v>
      </c>
      <c r="E446" t="s">
        <v>66</v>
      </c>
      <c r="F446" t="s">
        <v>28</v>
      </c>
      <c r="G446" t="s">
        <v>35</v>
      </c>
      <c r="H446">
        <v>47.8</v>
      </c>
      <c r="I446">
        <v>2144</v>
      </c>
      <c r="J446">
        <v>76</v>
      </c>
      <c r="K446">
        <v>20.399999999999999</v>
      </c>
      <c r="L446" t="s">
        <v>30</v>
      </c>
      <c r="M446">
        <v>32629.85</v>
      </c>
      <c r="N446">
        <v>14215</v>
      </c>
      <c r="O446" t="s">
        <v>91</v>
      </c>
      <c r="P446" t="str">
        <f t="shared" si="54"/>
        <v>Yes</v>
      </c>
      <c r="Q446">
        <f t="shared" si="55"/>
        <v>44.85</v>
      </c>
      <c r="R446">
        <f t="shared" si="56"/>
        <v>15.22</v>
      </c>
      <c r="S446">
        <f t="shared" si="57"/>
        <v>2.2999999999999998</v>
      </c>
      <c r="T446" t="str">
        <f t="shared" si="58"/>
        <v>Delayed</v>
      </c>
      <c r="U446" t="str">
        <f t="shared" si="59"/>
        <v>Medium</v>
      </c>
      <c r="V446" t="str">
        <f t="shared" si="60"/>
        <v>Medium Risk</v>
      </c>
      <c r="W446" t="str">
        <f t="shared" si="61"/>
        <v>Sep</v>
      </c>
      <c r="X446">
        <f t="shared" si="62"/>
        <v>2025</v>
      </c>
    </row>
    <row r="447" spans="1:24" x14ac:dyDescent="0.35">
      <c r="A447" s="3">
        <v>45686</v>
      </c>
      <c r="B447" t="s">
        <v>246</v>
      </c>
      <c r="C447" t="s">
        <v>69</v>
      </c>
      <c r="D447" t="s">
        <v>593</v>
      </c>
      <c r="E447" t="s">
        <v>28</v>
      </c>
      <c r="F447" t="s">
        <v>55</v>
      </c>
      <c r="G447" t="s">
        <v>42</v>
      </c>
      <c r="H447">
        <v>73.2</v>
      </c>
      <c r="I447">
        <v>4179</v>
      </c>
      <c r="J447">
        <v>93</v>
      </c>
      <c r="K447">
        <v>18.100000000000001</v>
      </c>
      <c r="L447" t="s">
        <v>43</v>
      </c>
      <c r="M447">
        <v>45567.98</v>
      </c>
      <c r="N447">
        <v>17834</v>
      </c>
      <c r="O447" t="s">
        <v>31</v>
      </c>
      <c r="P447" t="str">
        <f t="shared" si="54"/>
        <v>Yes</v>
      </c>
      <c r="Q447">
        <f t="shared" si="55"/>
        <v>57.09</v>
      </c>
      <c r="R447">
        <f t="shared" si="56"/>
        <v>10.9</v>
      </c>
      <c r="S447">
        <f t="shared" si="57"/>
        <v>2.56</v>
      </c>
      <c r="T447" t="str">
        <f t="shared" si="58"/>
        <v>Delayed</v>
      </c>
      <c r="U447" t="str">
        <f t="shared" si="59"/>
        <v>High</v>
      </c>
      <c r="V447" t="str">
        <f t="shared" si="60"/>
        <v>Low Risk</v>
      </c>
      <c r="W447" t="str">
        <f t="shared" si="61"/>
        <v>Jan</v>
      </c>
      <c r="X447">
        <f t="shared" si="62"/>
        <v>2025</v>
      </c>
    </row>
    <row r="448" spans="1:24" x14ac:dyDescent="0.35">
      <c r="A448" s="3">
        <v>45737</v>
      </c>
      <c r="B448" t="s">
        <v>250</v>
      </c>
      <c r="C448" t="s">
        <v>130</v>
      </c>
      <c r="D448" t="s">
        <v>594</v>
      </c>
      <c r="E448" t="s">
        <v>55</v>
      </c>
      <c r="F448" t="s">
        <v>41</v>
      </c>
      <c r="G448" t="s">
        <v>42</v>
      </c>
      <c r="H448">
        <v>75.400000000000006</v>
      </c>
      <c r="I448">
        <v>4361</v>
      </c>
      <c r="J448">
        <v>85</v>
      </c>
      <c r="K448">
        <v>20.5</v>
      </c>
      <c r="L448" t="s">
        <v>30</v>
      </c>
      <c r="M448">
        <v>50105.67</v>
      </c>
      <c r="N448">
        <v>15464</v>
      </c>
      <c r="O448" t="s">
        <v>50</v>
      </c>
      <c r="P448" t="str">
        <f t="shared" si="54"/>
        <v>Yes</v>
      </c>
      <c r="Q448">
        <f t="shared" si="55"/>
        <v>57.84</v>
      </c>
      <c r="R448">
        <f t="shared" si="56"/>
        <v>11.49</v>
      </c>
      <c r="S448">
        <f t="shared" si="57"/>
        <v>3.24</v>
      </c>
      <c r="T448" t="str">
        <f t="shared" si="58"/>
        <v>Delayed</v>
      </c>
      <c r="U448" t="str">
        <f t="shared" si="59"/>
        <v>High</v>
      </c>
      <c r="V448" t="str">
        <f t="shared" si="60"/>
        <v>Medium Risk</v>
      </c>
      <c r="W448" t="str">
        <f t="shared" si="61"/>
        <v>Mar</v>
      </c>
      <c r="X448">
        <f t="shared" si="62"/>
        <v>2025</v>
      </c>
    </row>
    <row r="449" spans="1:24" x14ac:dyDescent="0.35">
      <c r="A449" s="3">
        <v>46012</v>
      </c>
      <c r="B449" t="s">
        <v>256</v>
      </c>
      <c r="C449" t="s">
        <v>25</v>
      </c>
      <c r="D449" t="s">
        <v>595</v>
      </c>
      <c r="E449" t="s">
        <v>55</v>
      </c>
      <c r="F449" t="s">
        <v>27</v>
      </c>
      <c r="G449" t="s">
        <v>29</v>
      </c>
      <c r="H449">
        <v>62.8</v>
      </c>
      <c r="I449">
        <v>1487</v>
      </c>
      <c r="J449">
        <v>46</v>
      </c>
      <c r="K449">
        <v>17.5</v>
      </c>
      <c r="L449" t="s">
        <v>43</v>
      </c>
      <c r="M449">
        <v>38609.64</v>
      </c>
      <c r="N449">
        <v>7381</v>
      </c>
      <c r="O449" t="s">
        <v>36</v>
      </c>
      <c r="P449" t="str">
        <f t="shared" si="54"/>
        <v>Yes</v>
      </c>
      <c r="Q449">
        <f t="shared" si="55"/>
        <v>23.68</v>
      </c>
      <c r="R449">
        <f t="shared" si="56"/>
        <v>25.96</v>
      </c>
      <c r="S449">
        <f t="shared" si="57"/>
        <v>5.23</v>
      </c>
      <c r="T449" t="str">
        <f t="shared" si="58"/>
        <v>Delayed</v>
      </c>
      <c r="U449" t="str">
        <f t="shared" si="59"/>
        <v>High</v>
      </c>
      <c r="V449" t="str">
        <f t="shared" si="60"/>
        <v>Low Risk</v>
      </c>
      <c r="W449" t="str">
        <f t="shared" si="61"/>
        <v>Dec</v>
      </c>
      <c r="X449">
        <f t="shared" si="62"/>
        <v>2025</v>
      </c>
    </row>
    <row r="450" spans="1:24" x14ac:dyDescent="0.35">
      <c r="A450" s="3">
        <v>45983</v>
      </c>
      <c r="B450" t="s">
        <v>190</v>
      </c>
      <c r="C450" t="s">
        <v>109</v>
      </c>
      <c r="D450" t="s">
        <v>596</v>
      </c>
      <c r="E450" t="s">
        <v>66</v>
      </c>
      <c r="F450" t="s">
        <v>54</v>
      </c>
      <c r="G450" t="s">
        <v>29</v>
      </c>
      <c r="H450">
        <v>68.400000000000006</v>
      </c>
      <c r="I450">
        <v>3967</v>
      </c>
      <c r="J450">
        <v>57</v>
      </c>
      <c r="K450">
        <v>16.7</v>
      </c>
      <c r="L450" t="s">
        <v>43</v>
      </c>
      <c r="M450">
        <v>39718.230000000003</v>
      </c>
      <c r="N450">
        <v>27518</v>
      </c>
      <c r="O450" t="s">
        <v>44</v>
      </c>
      <c r="P450" t="str">
        <f t="shared" ref="P450:P513" si="63">IF(OR(L450="Rain",L450="Fog",L450="Storm"),"Yes","No")</f>
        <v>Yes</v>
      </c>
      <c r="Q450">
        <f t="shared" ref="Q450:Q513" si="64">ROUND(I450/H450,2)</f>
        <v>58</v>
      </c>
      <c r="R450">
        <f t="shared" ref="R450:R513" si="65">ROUND(M450/I450,2)</f>
        <v>10.01</v>
      </c>
      <c r="S450">
        <f t="shared" ref="S450:S513" si="66">ROUND(M450/N450,2)</f>
        <v>1.44</v>
      </c>
      <c r="T450" t="str">
        <f t="shared" ref="T450:T513" si="67">IF(P450="Yes","Delayed","On Time")</f>
        <v>Delayed</v>
      </c>
      <c r="U450" t="str">
        <f t="shared" ref="U450:U513" si="68">IF(H450&gt;=60,"High",IF(H450&gt;=40,"Medium","Low"))</f>
        <v>High</v>
      </c>
      <c r="V450" t="str">
        <f t="shared" ref="V450:V513" si="69">IF(L450="Storm","High Risk",IF(L450="Rain","Medium Risk","Low Risk"))</f>
        <v>Low Risk</v>
      </c>
      <c r="W450" t="str">
        <f t="shared" ref="W450:W513" si="70">TEXT(A450,"mmm")</f>
        <v>Nov</v>
      </c>
      <c r="X450">
        <f t="shared" si="62"/>
        <v>2025</v>
      </c>
    </row>
    <row r="451" spans="1:24" x14ac:dyDescent="0.35">
      <c r="A451" s="3">
        <v>45962</v>
      </c>
      <c r="B451" t="s">
        <v>185</v>
      </c>
      <c r="C451" t="s">
        <v>95</v>
      </c>
      <c r="D451" t="s">
        <v>597</v>
      </c>
      <c r="E451" t="s">
        <v>54</v>
      </c>
      <c r="F451" t="s">
        <v>63</v>
      </c>
      <c r="G451" t="s">
        <v>71</v>
      </c>
      <c r="H451">
        <v>75.5</v>
      </c>
      <c r="I451">
        <v>4476</v>
      </c>
      <c r="J451">
        <v>91</v>
      </c>
      <c r="K451">
        <v>11.5</v>
      </c>
      <c r="L451" t="s">
        <v>30</v>
      </c>
      <c r="M451">
        <v>38502.32</v>
      </c>
      <c r="N451">
        <v>16514</v>
      </c>
      <c r="O451" t="s">
        <v>84</v>
      </c>
      <c r="P451" t="str">
        <f t="shared" si="63"/>
        <v>Yes</v>
      </c>
      <c r="Q451">
        <f t="shared" si="64"/>
        <v>59.28</v>
      </c>
      <c r="R451">
        <f t="shared" si="65"/>
        <v>8.6</v>
      </c>
      <c r="S451">
        <f t="shared" si="66"/>
        <v>2.33</v>
      </c>
      <c r="T451" t="str">
        <f t="shared" si="67"/>
        <v>Delayed</v>
      </c>
      <c r="U451" t="str">
        <f t="shared" si="68"/>
        <v>High</v>
      </c>
      <c r="V451" t="str">
        <f t="shared" si="69"/>
        <v>Medium Risk</v>
      </c>
      <c r="W451" t="str">
        <f t="shared" si="70"/>
        <v>Nov</v>
      </c>
      <c r="X451">
        <f t="shared" ref="X451:X514" si="71">YEAR(A451)</f>
        <v>2025</v>
      </c>
    </row>
    <row r="452" spans="1:24" x14ac:dyDescent="0.35">
      <c r="A452" s="3">
        <v>45869</v>
      </c>
      <c r="B452" t="s">
        <v>193</v>
      </c>
      <c r="C452" t="s">
        <v>69</v>
      </c>
      <c r="D452" t="s">
        <v>598</v>
      </c>
      <c r="E452" t="s">
        <v>27</v>
      </c>
      <c r="F452" t="s">
        <v>41</v>
      </c>
      <c r="G452" t="s">
        <v>29</v>
      </c>
      <c r="H452">
        <v>24</v>
      </c>
      <c r="I452">
        <v>4791</v>
      </c>
      <c r="J452">
        <v>67</v>
      </c>
      <c r="K452">
        <v>10.199999999999999</v>
      </c>
      <c r="L452" t="s">
        <v>43</v>
      </c>
      <c r="M452">
        <v>12411.23</v>
      </c>
      <c r="N452">
        <v>10445</v>
      </c>
      <c r="O452" t="s">
        <v>50</v>
      </c>
      <c r="P452" t="str">
        <f t="shared" si="63"/>
        <v>Yes</v>
      </c>
      <c r="Q452">
        <f t="shared" si="64"/>
        <v>199.63</v>
      </c>
      <c r="R452">
        <f t="shared" si="65"/>
        <v>2.59</v>
      </c>
      <c r="S452">
        <f t="shared" si="66"/>
        <v>1.19</v>
      </c>
      <c r="T452" t="str">
        <f t="shared" si="67"/>
        <v>Delayed</v>
      </c>
      <c r="U452" t="str">
        <f t="shared" si="68"/>
        <v>Low</v>
      </c>
      <c r="V452" t="str">
        <f t="shared" si="69"/>
        <v>Low Risk</v>
      </c>
      <c r="W452" t="str">
        <f t="shared" si="70"/>
        <v>Jul</v>
      </c>
      <c r="X452">
        <f t="shared" si="71"/>
        <v>2025</v>
      </c>
    </row>
    <row r="453" spans="1:24" x14ac:dyDescent="0.35">
      <c r="A453" s="3">
        <v>45689</v>
      </c>
      <c r="B453" t="s">
        <v>80</v>
      </c>
      <c r="C453" t="s">
        <v>57</v>
      </c>
      <c r="D453" t="s">
        <v>599</v>
      </c>
      <c r="E453" t="s">
        <v>27</v>
      </c>
      <c r="F453" t="s">
        <v>63</v>
      </c>
      <c r="G453" t="s">
        <v>29</v>
      </c>
      <c r="H453">
        <v>61</v>
      </c>
      <c r="I453">
        <v>803</v>
      </c>
      <c r="J453">
        <v>20</v>
      </c>
      <c r="K453">
        <v>19</v>
      </c>
      <c r="L453" t="s">
        <v>78</v>
      </c>
      <c r="M453">
        <v>37745.379999999997</v>
      </c>
      <c r="N453">
        <v>28065</v>
      </c>
      <c r="O453" t="s">
        <v>84</v>
      </c>
      <c r="P453" t="str">
        <f t="shared" si="63"/>
        <v>No</v>
      </c>
      <c r="Q453">
        <f t="shared" si="64"/>
        <v>13.16</v>
      </c>
      <c r="R453">
        <f t="shared" si="65"/>
        <v>47.01</v>
      </c>
      <c r="S453">
        <f t="shared" si="66"/>
        <v>1.34</v>
      </c>
      <c r="T453" t="str">
        <f t="shared" si="67"/>
        <v>On Time</v>
      </c>
      <c r="U453" t="str">
        <f t="shared" si="68"/>
        <v>High</v>
      </c>
      <c r="V453" t="str">
        <f t="shared" si="69"/>
        <v>Low Risk</v>
      </c>
      <c r="W453" t="str">
        <f t="shared" si="70"/>
        <v>Feb</v>
      </c>
      <c r="X453">
        <f t="shared" si="71"/>
        <v>2025</v>
      </c>
    </row>
    <row r="454" spans="1:24" x14ac:dyDescent="0.35">
      <c r="A454" s="3">
        <v>45742</v>
      </c>
      <c r="B454" t="s">
        <v>256</v>
      </c>
      <c r="C454" t="s">
        <v>69</v>
      </c>
      <c r="D454" t="s">
        <v>600</v>
      </c>
      <c r="E454" t="s">
        <v>55</v>
      </c>
      <c r="F454" t="s">
        <v>66</v>
      </c>
      <c r="G454" t="s">
        <v>35</v>
      </c>
      <c r="H454">
        <v>45.6</v>
      </c>
      <c r="I454">
        <v>1214</v>
      </c>
      <c r="J454">
        <v>87</v>
      </c>
      <c r="K454">
        <v>19.5</v>
      </c>
      <c r="L454" t="s">
        <v>78</v>
      </c>
      <c r="M454">
        <v>20580.71</v>
      </c>
      <c r="N454">
        <v>13239</v>
      </c>
      <c r="O454" t="s">
        <v>84</v>
      </c>
      <c r="P454" t="str">
        <f t="shared" si="63"/>
        <v>No</v>
      </c>
      <c r="Q454">
        <f t="shared" si="64"/>
        <v>26.62</v>
      </c>
      <c r="R454">
        <f t="shared" si="65"/>
        <v>16.95</v>
      </c>
      <c r="S454">
        <f t="shared" si="66"/>
        <v>1.55</v>
      </c>
      <c r="T454" t="str">
        <f t="shared" si="67"/>
        <v>On Time</v>
      </c>
      <c r="U454" t="str">
        <f t="shared" si="68"/>
        <v>Medium</v>
      </c>
      <c r="V454" t="str">
        <f t="shared" si="69"/>
        <v>Low Risk</v>
      </c>
      <c r="W454" t="str">
        <f t="shared" si="70"/>
        <v>Mar</v>
      </c>
      <c r="X454">
        <f t="shared" si="71"/>
        <v>2025</v>
      </c>
    </row>
    <row r="455" spans="1:24" x14ac:dyDescent="0.35">
      <c r="A455" s="3">
        <v>45660</v>
      </c>
      <c r="B455" t="s">
        <v>123</v>
      </c>
      <c r="C455" t="s">
        <v>39</v>
      </c>
      <c r="D455" t="s">
        <v>601</v>
      </c>
      <c r="E455" t="s">
        <v>55</v>
      </c>
      <c r="F455" t="s">
        <v>27</v>
      </c>
      <c r="G455" t="s">
        <v>35</v>
      </c>
      <c r="H455">
        <v>51.6</v>
      </c>
      <c r="I455">
        <v>1334</v>
      </c>
      <c r="J455">
        <v>30</v>
      </c>
      <c r="K455">
        <v>17.7</v>
      </c>
      <c r="L455" t="s">
        <v>49</v>
      </c>
      <c r="M455">
        <v>27342.19</v>
      </c>
      <c r="N455">
        <v>5681</v>
      </c>
      <c r="O455" t="s">
        <v>36</v>
      </c>
      <c r="P455" t="str">
        <f t="shared" si="63"/>
        <v>Yes</v>
      </c>
      <c r="Q455">
        <f t="shared" si="64"/>
        <v>25.85</v>
      </c>
      <c r="R455">
        <f t="shared" si="65"/>
        <v>20.5</v>
      </c>
      <c r="S455">
        <f t="shared" si="66"/>
        <v>4.8099999999999996</v>
      </c>
      <c r="T455" t="str">
        <f t="shared" si="67"/>
        <v>Delayed</v>
      </c>
      <c r="U455" t="str">
        <f t="shared" si="68"/>
        <v>Medium</v>
      </c>
      <c r="V455" t="str">
        <f t="shared" si="69"/>
        <v>High Risk</v>
      </c>
      <c r="W455" t="str">
        <f t="shared" si="70"/>
        <v>Jan</v>
      </c>
      <c r="X455">
        <f t="shared" si="71"/>
        <v>2025</v>
      </c>
    </row>
    <row r="456" spans="1:24" x14ac:dyDescent="0.35">
      <c r="A456" s="3">
        <v>45945</v>
      </c>
      <c r="B456" t="s">
        <v>210</v>
      </c>
      <c r="C456" t="s">
        <v>57</v>
      </c>
      <c r="D456" t="s">
        <v>602</v>
      </c>
      <c r="E456" t="s">
        <v>41</v>
      </c>
      <c r="F456" t="s">
        <v>66</v>
      </c>
      <c r="G456" t="s">
        <v>71</v>
      </c>
      <c r="H456">
        <v>66.099999999999994</v>
      </c>
      <c r="I456">
        <v>1718</v>
      </c>
      <c r="J456">
        <v>111</v>
      </c>
      <c r="K456">
        <v>21.1</v>
      </c>
      <c r="L456" t="s">
        <v>30</v>
      </c>
      <c r="M456">
        <v>37437.78</v>
      </c>
      <c r="N456">
        <v>13490</v>
      </c>
      <c r="O456" t="s">
        <v>50</v>
      </c>
      <c r="P456" t="str">
        <f t="shared" si="63"/>
        <v>Yes</v>
      </c>
      <c r="Q456">
        <f t="shared" si="64"/>
        <v>25.99</v>
      </c>
      <c r="R456">
        <f t="shared" si="65"/>
        <v>21.79</v>
      </c>
      <c r="S456">
        <f t="shared" si="66"/>
        <v>2.78</v>
      </c>
      <c r="T456" t="str">
        <f t="shared" si="67"/>
        <v>Delayed</v>
      </c>
      <c r="U456" t="str">
        <f t="shared" si="68"/>
        <v>High</v>
      </c>
      <c r="V456" t="str">
        <f t="shared" si="69"/>
        <v>Medium Risk</v>
      </c>
      <c r="W456" t="str">
        <f t="shared" si="70"/>
        <v>Oct</v>
      </c>
      <c r="X456">
        <f t="shared" si="71"/>
        <v>2025</v>
      </c>
    </row>
    <row r="457" spans="1:24" x14ac:dyDescent="0.35">
      <c r="A457" s="3">
        <v>45814</v>
      </c>
      <c r="B457" t="s">
        <v>152</v>
      </c>
      <c r="C457" t="s">
        <v>25</v>
      </c>
      <c r="D457" t="s">
        <v>603</v>
      </c>
      <c r="E457" t="s">
        <v>48</v>
      </c>
      <c r="F457" t="s">
        <v>28</v>
      </c>
      <c r="G457" t="s">
        <v>42</v>
      </c>
      <c r="H457">
        <v>22.5</v>
      </c>
      <c r="I457">
        <v>1429</v>
      </c>
      <c r="J457">
        <v>45</v>
      </c>
      <c r="K457">
        <v>18.2</v>
      </c>
      <c r="L457" t="s">
        <v>78</v>
      </c>
      <c r="M457">
        <v>11213.37</v>
      </c>
      <c r="N457">
        <v>28320</v>
      </c>
      <c r="O457" t="s">
        <v>84</v>
      </c>
      <c r="P457" t="str">
        <f t="shared" si="63"/>
        <v>No</v>
      </c>
      <c r="Q457">
        <f t="shared" si="64"/>
        <v>63.51</v>
      </c>
      <c r="R457">
        <f t="shared" si="65"/>
        <v>7.85</v>
      </c>
      <c r="S457">
        <f t="shared" si="66"/>
        <v>0.4</v>
      </c>
      <c r="T457" t="str">
        <f t="shared" si="67"/>
        <v>On Time</v>
      </c>
      <c r="U457" t="str">
        <f t="shared" si="68"/>
        <v>Low</v>
      </c>
      <c r="V457" t="str">
        <f t="shared" si="69"/>
        <v>Low Risk</v>
      </c>
      <c r="W457" t="str">
        <f t="shared" si="70"/>
        <v>Jun</v>
      </c>
      <c r="X457">
        <f t="shared" si="71"/>
        <v>2025</v>
      </c>
    </row>
    <row r="458" spans="1:24" x14ac:dyDescent="0.35">
      <c r="A458" s="3">
        <v>45903</v>
      </c>
      <c r="B458" t="s">
        <v>125</v>
      </c>
      <c r="C458" t="s">
        <v>39</v>
      </c>
      <c r="D458" t="s">
        <v>604</v>
      </c>
      <c r="E458" t="s">
        <v>27</v>
      </c>
      <c r="F458" t="s">
        <v>54</v>
      </c>
      <c r="G458" t="s">
        <v>29</v>
      </c>
      <c r="H458">
        <v>79</v>
      </c>
      <c r="I458">
        <v>4430</v>
      </c>
      <c r="J458">
        <v>20</v>
      </c>
      <c r="K458">
        <v>14.5</v>
      </c>
      <c r="L458" t="s">
        <v>78</v>
      </c>
      <c r="M458">
        <v>42362.81</v>
      </c>
      <c r="N458">
        <v>5097</v>
      </c>
      <c r="O458" t="s">
        <v>67</v>
      </c>
      <c r="P458" t="str">
        <f t="shared" si="63"/>
        <v>No</v>
      </c>
      <c r="Q458">
        <f t="shared" si="64"/>
        <v>56.08</v>
      </c>
      <c r="R458">
        <f t="shared" si="65"/>
        <v>9.56</v>
      </c>
      <c r="S458">
        <f t="shared" si="66"/>
        <v>8.31</v>
      </c>
      <c r="T458" t="str">
        <f t="shared" si="67"/>
        <v>On Time</v>
      </c>
      <c r="U458" t="str">
        <f t="shared" si="68"/>
        <v>High</v>
      </c>
      <c r="V458" t="str">
        <f t="shared" si="69"/>
        <v>Low Risk</v>
      </c>
      <c r="W458" t="str">
        <f t="shared" si="70"/>
        <v>Sep</v>
      </c>
      <c r="X458">
        <f t="shared" si="71"/>
        <v>2025</v>
      </c>
    </row>
    <row r="459" spans="1:24" x14ac:dyDescent="0.35">
      <c r="A459" s="3">
        <v>45937</v>
      </c>
      <c r="B459" t="s">
        <v>221</v>
      </c>
      <c r="C459" t="s">
        <v>25</v>
      </c>
      <c r="D459" t="s">
        <v>605</v>
      </c>
      <c r="E459" t="s">
        <v>63</v>
      </c>
      <c r="F459" t="s">
        <v>28</v>
      </c>
      <c r="G459" t="s">
        <v>29</v>
      </c>
      <c r="H459">
        <v>55.2</v>
      </c>
      <c r="I459">
        <v>3502</v>
      </c>
      <c r="J459">
        <v>21</v>
      </c>
      <c r="K459">
        <v>10.199999999999999</v>
      </c>
      <c r="L459" t="s">
        <v>43</v>
      </c>
      <c r="M459">
        <v>38257.08</v>
      </c>
      <c r="N459">
        <v>15882</v>
      </c>
      <c r="O459" t="s">
        <v>50</v>
      </c>
      <c r="P459" t="str">
        <f t="shared" si="63"/>
        <v>Yes</v>
      </c>
      <c r="Q459">
        <f t="shared" si="64"/>
        <v>63.44</v>
      </c>
      <c r="R459">
        <f t="shared" si="65"/>
        <v>10.92</v>
      </c>
      <c r="S459">
        <f t="shared" si="66"/>
        <v>2.41</v>
      </c>
      <c r="T459" t="str">
        <f t="shared" si="67"/>
        <v>Delayed</v>
      </c>
      <c r="U459" t="str">
        <f t="shared" si="68"/>
        <v>Medium</v>
      </c>
      <c r="V459" t="str">
        <f t="shared" si="69"/>
        <v>Low Risk</v>
      </c>
      <c r="W459" t="str">
        <f t="shared" si="70"/>
        <v>Oct</v>
      </c>
      <c r="X459">
        <f t="shared" si="71"/>
        <v>2025</v>
      </c>
    </row>
    <row r="460" spans="1:24" x14ac:dyDescent="0.35">
      <c r="A460" s="3">
        <v>45784</v>
      </c>
      <c r="B460" t="s">
        <v>188</v>
      </c>
      <c r="C460" t="s">
        <v>39</v>
      </c>
      <c r="D460" t="s">
        <v>606</v>
      </c>
      <c r="E460" t="s">
        <v>28</v>
      </c>
      <c r="F460" t="s">
        <v>55</v>
      </c>
      <c r="G460" t="s">
        <v>42</v>
      </c>
      <c r="H460">
        <v>23.3</v>
      </c>
      <c r="I460">
        <v>4738</v>
      </c>
      <c r="J460">
        <v>80</v>
      </c>
      <c r="K460">
        <v>18.3</v>
      </c>
      <c r="L460" t="s">
        <v>30</v>
      </c>
      <c r="M460">
        <v>13981.74</v>
      </c>
      <c r="N460">
        <v>27625</v>
      </c>
      <c r="O460" t="s">
        <v>84</v>
      </c>
      <c r="P460" t="str">
        <f t="shared" si="63"/>
        <v>Yes</v>
      </c>
      <c r="Q460">
        <f t="shared" si="64"/>
        <v>203.35</v>
      </c>
      <c r="R460">
        <f t="shared" si="65"/>
        <v>2.95</v>
      </c>
      <c r="S460">
        <f t="shared" si="66"/>
        <v>0.51</v>
      </c>
      <c r="T460" t="str">
        <f t="shared" si="67"/>
        <v>Delayed</v>
      </c>
      <c r="U460" t="str">
        <f t="shared" si="68"/>
        <v>Low</v>
      </c>
      <c r="V460" t="str">
        <f t="shared" si="69"/>
        <v>Medium Risk</v>
      </c>
      <c r="W460" t="str">
        <f t="shared" si="70"/>
        <v>May</v>
      </c>
      <c r="X460">
        <f t="shared" si="71"/>
        <v>2025</v>
      </c>
    </row>
    <row r="461" spans="1:24" x14ac:dyDescent="0.35">
      <c r="A461" s="3">
        <v>45942</v>
      </c>
      <c r="B461" t="s">
        <v>366</v>
      </c>
      <c r="C461" t="s">
        <v>39</v>
      </c>
      <c r="D461" t="s">
        <v>607</v>
      </c>
      <c r="E461" t="s">
        <v>55</v>
      </c>
      <c r="F461" t="s">
        <v>28</v>
      </c>
      <c r="G461" t="s">
        <v>42</v>
      </c>
      <c r="H461">
        <v>79.7</v>
      </c>
      <c r="I461">
        <v>1425</v>
      </c>
      <c r="J461">
        <v>62</v>
      </c>
      <c r="K461">
        <v>10.3</v>
      </c>
      <c r="L461" t="s">
        <v>78</v>
      </c>
      <c r="M461">
        <v>42648.29</v>
      </c>
      <c r="N461">
        <v>10144</v>
      </c>
      <c r="O461" t="s">
        <v>36</v>
      </c>
      <c r="P461" t="str">
        <f t="shared" si="63"/>
        <v>No</v>
      </c>
      <c r="Q461">
        <f t="shared" si="64"/>
        <v>17.88</v>
      </c>
      <c r="R461">
        <f t="shared" si="65"/>
        <v>29.93</v>
      </c>
      <c r="S461">
        <f t="shared" si="66"/>
        <v>4.2</v>
      </c>
      <c r="T461" t="str">
        <f t="shared" si="67"/>
        <v>On Time</v>
      </c>
      <c r="U461" t="str">
        <f t="shared" si="68"/>
        <v>High</v>
      </c>
      <c r="V461" t="str">
        <f t="shared" si="69"/>
        <v>Low Risk</v>
      </c>
      <c r="W461" t="str">
        <f t="shared" si="70"/>
        <v>Oct</v>
      </c>
      <c r="X461">
        <f t="shared" si="71"/>
        <v>2025</v>
      </c>
    </row>
    <row r="462" spans="1:24" x14ac:dyDescent="0.35">
      <c r="A462" s="3">
        <v>45914</v>
      </c>
      <c r="B462" t="s">
        <v>24</v>
      </c>
      <c r="C462" t="s">
        <v>52</v>
      </c>
      <c r="D462" t="s">
        <v>608</v>
      </c>
      <c r="E462" t="s">
        <v>55</v>
      </c>
      <c r="F462" t="s">
        <v>41</v>
      </c>
      <c r="G462" t="s">
        <v>42</v>
      </c>
      <c r="H462">
        <v>68.3</v>
      </c>
      <c r="I462">
        <v>2526</v>
      </c>
      <c r="J462">
        <v>63</v>
      </c>
      <c r="K462">
        <v>15.2</v>
      </c>
      <c r="L462" t="s">
        <v>43</v>
      </c>
      <c r="M462">
        <v>42641.49</v>
      </c>
      <c r="N462">
        <v>25169</v>
      </c>
      <c r="O462" t="s">
        <v>44</v>
      </c>
      <c r="P462" t="str">
        <f t="shared" si="63"/>
        <v>Yes</v>
      </c>
      <c r="Q462">
        <f t="shared" si="64"/>
        <v>36.979999999999997</v>
      </c>
      <c r="R462">
        <f t="shared" si="65"/>
        <v>16.88</v>
      </c>
      <c r="S462">
        <f t="shared" si="66"/>
        <v>1.69</v>
      </c>
      <c r="T462" t="str">
        <f t="shared" si="67"/>
        <v>Delayed</v>
      </c>
      <c r="U462" t="str">
        <f t="shared" si="68"/>
        <v>High</v>
      </c>
      <c r="V462" t="str">
        <f t="shared" si="69"/>
        <v>Low Risk</v>
      </c>
      <c r="W462" t="str">
        <f t="shared" si="70"/>
        <v>Sep</v>
      </c>
      <c r="X462">
        <f t="shared" si="71"/>
        <v>2025</v>
      </c>
    </row>
    <row r="463" spans="1:24" x14ac:dyDescent="0.35">
      <c r="A463" s="3">
        <v>45954</v>
      </c>
      <c r="B463" t="s">
        <v>120</v>
      </c>
      <c r="C463" t="s">
        <v>109</v>
      </c>
      <c r="D463" t="s">
        <v>609</v>
      </c>
      <c r="E463" t="s">
        <v>27</v>
      </c>
      <c r="F463" t="s">
        <v>54</v>
      </c>
      <c r="G463" t="s">
        <v>71</v>
      </c>
      <c r="H463">
        <v>28.6</v>
      </c>
      <c r="I463">
        <v>3347</v>
      </c>
      <c r="J463">
        <v>57</v>
      </c>
      <c r="K463">
        <v>13.8</v>
      </c>
      <c r="L463" t="s">
        <v>78</v>
      </c>
      <c r="M463">
        <v>17380.96</v>
      </c>
      <c r="N463">
        <v>11819</v>
      </c>
      <c r="O463" t="s">
        <v>67</v>
      </c>
      <c r="P463" t="str">
        <f t="shared" si="63"/>
        <v>No</v>
      </c>
      <c r="Q463">
        <f t="shared" si="64"/>
        <v>117.03</v>
      </c>
      <c r="R463">
        <f t="shared" si="65"/>
        <v>5.19</v>
      </c>
      <c r="S463">
        <f t="shared" si="66"/>
        <v>1.47</v>
      </c>
      <c r="T463" t="str">
        <f t="shared" si="67"/>
        <v>On Time</v>
      </c>
      <c r="U463" t="str">
        <f t="shared" si="68"/>
        <v>Low</v>
      </c>
      <c r="V463" t="str">
        <f t="shared" si="69"/>
        <v>Low Risk</v>
      </c>
      <c r="W463" t="str">
        <f t="shared" si="70"/>
        <v>Oct</v>
      </c>
      <c r="X463">
        <f t="shared" si="71"/>
        <v>2025</v>
      </c>
    </row>
    <row r="464" spans="1:24" x14ac:dyDescent="0.35">
      <c r="A464" s="3">
        <v>45969</v>
      </c>
      <c r="B464" t="s">
        <v>221</v>
      </c>
      <c r="C464" t="s">
        <v>130</v>
      </c>
      <c r="D464" t="s">
        <v>610</v>
      </c>
      <c r="E464" t="s">
        <v>63</v>
      </c>
      <c r="F464" t="s">
        <v>27</v>
      </c>
      <c r="G464" t="s">
        <v>42</v>
      </c>
      <c r="H464">
        <v>71.5</v>
      </c>
      <c r="I464">
        <v>1827</v>
      </c>
      <c r="J464">
        <v>46</v>
      </c>
      <c r="K464">
        <v>13.6</v>
      </c>
      <c r="L464" t="s">
        <v>78</v>
      </c>
      <c r="M464">
        <v>42161.65</v>
      </c>
      <c r="N464">
        <v>24840</v>
      </c>
      <c r="O464" t="s">
        <v>84</v>
      </c>
      <c r="P464" t="str">
        <f t="shared" si="63"/>
        <v>No</v>
      </c>
      <c r="Q464">
        <f t="shared" si="64"/>
        <v>25.55</v>
      </c>
      <c r="R464">
        <f t="shared" si="65"/>
        <v>23.08</v>
      </c>
      <c r="S464">
        <f t="shared" si="66"/>
        <v>1.7</v>
      </c>
      <c r="T464" t="str">
        <f t="shared" si="67"/>
        <v>On Time</v>
      </c>
      <c r="U464" t="str">
        <f t="shared" si="68"/>
        <v>High</v>
      </c>
      <c r="V464" t="str">
        <f t="shared" si="69"/>
        <v>Low Risk</v>
      </c>
      <c r="W464" t="str">
        <f t="shared" si="70"/>
        <v>Nov</v>
      </c>
      <c r="X464">
        <f t="shared" si="71"/>
        <v>2025</v>
      </c>
    </row>
    <row r="465" spans="1:24" x14ac:dyDescent="0.35">
      <c r="A465" s="3">
        <v>45988</v>
      </c>
      <c r="B465" t="s">
        <v>125</v>
      </c>
      <c r="C465" t="s">
        <v>109</v>
      </c>
      <c r="D465" t="s">
        <v>611</v>
      </c>
      <c r="E465" t="s">
        <v>41</v>
      </c>
      <c r="F465" t="s">
        <v>48</v>
      </c>
      <c r="G465" t="s">
        <v>35</v>
      </c>
      <c r="H465">
        <v>73.900000000000006</v>
      </c>
      <c r="I465">
        <v>2309</v>
      </c>
      <c r="J465">
        <v>81</v>
      </c>
      <c r="K465">
        <v>16.5</v>
      </c>
      <c r="L465" t="s">
        <v>30</v>
      </c>
      <c r="M465">
        <v>46981.47</v>
      </c>
      <c r="N465">
        <v>19787</v>
      </c>
      <c r="O465" t="s">
        <v>31</v>
      </c>
      <c r="P465" t="str">
        <f t="shared" si="63"/>
        <v>Yes</v>
      </c>
      <c r="Q465">
        <f t="shared" si="64"/>
        <v>31.24</v>
      </c>
      <c r="R465">
        <f t="shared" si="65"/>
        <v>20.350000000000001</v>
      </c>
      <c r="S465">
        <f t="shared" si="66"/>
        <v>2.37</v>
      </c>
      <c r="T465" t="str">
        <f t="shared" si="67"/>
        <v>Delayed</v>
      </c>
      <c r="U465" t="str">
        <f t="shared" si="68"/>
        <v>High</v>
      </c>
      <c r="V465" t="str">
        <f t="shared" si="69"/>
        <v>Medium Risk</v>
      </c>
      <c r="W465" t="str">
        <f t="shared" si="70"/>
        <v>Nov</v>
      </c>
      <c r="X465">
        <f t="shared" si="71"/>
        <v>2025</v>
      </c>
    </row>
    <row r="466" spans="1:24" x14ac:dyDescent="0.35">
      <c r="A466" s="3">
        <v>45990</v>
      </c>
      <c r="B466" t="s">
        <v>76</v>
      </c>
      <c r="C466" t="s">
        <v>109</v>
      </c>
      <c r="D466" t="s">
        <v>612</v>
      </c>
      <c r="E466" t="s">
        <v>63</v>
      </c>
      <c r="F466" t="s">
        <v>66</v>
      </c>
      <c r="G466" t="s">
        <v>42</v>
      </c>
      <c r="H466">
        <v>44.2</v>
      </c>
      <c r="I466">
        <v>821</v>
      </c>
      <c r="J466">
        <v>74</v>
      </c>
      <c r="K466">
        <v>21.3</v>
      </c>
      <c r="L466" t="s">
        <v>49</v>
      </c>
      <c r="M466">
        <v>30421.17</v>
      </c>
      <c r="N466">
        <v>6228</v>
      </c>
      <c r="O466" t="s">
        <v>36</v>
      </c>
      <c r="P466" t="str">
        <f t="shared" si="63"/>
        <v>Yes</v>
      </c>
      <c r="Q466">
        <f t="shared" si="64"/>
        <v>18.57</v>
      </c>
      <c r="R466">
        <f t="shared" si="65"/>
        <v>37.049999999999997</v>
      </c>
      <c r="S466">
        <f t="shared" si="66"/>
        <v>4.88</v>
      </c>
      <c r="T466" t="str">
        <f t="shared" si="67"/>
        <v>Delayed</v>
      </c>
      <c r="U466" t="str">
        <f t="shared" si="68"/>
        <v>Medium</v>
      </c>
      <c r="V466" t="str">
        <f t="shared" si="69"/>
        <v>High Risk</v>
      </c>
      <c r="W466" t="str">
        <f t="shared" si="70"/>
        <v>Nov</v>
      </c>
      <c r="X466">
        <f t="shared" si="71"/>
        <v>2025</v>
      </c>
    </row>
    <row r="467" spans="1:24" x14ac:dyDescent="0.35">
      <c r="A467" s="3">
        <v>45955</v>
      </c>
      <c r="B467" t="s">
        <v>68</v>
      </c>
      <c r="C467" t="s">
        <v>95</v>
      </c>
      <c r="D467" t="s">
        <v>613</v>
      </c>
      <c r="E467" t="s">
        <v>63</v>
      </c>
      <c r="F467" t="s">
        <v>41</v>
      </c>
      <c r="G467" t="s">
        <v>35</v>
      </c>
      <c r="H467">
        <v>21</v>
      </c>
      <c r="I467">
        <v>3427</v>
      </c>
      <c r="J467">
        <v>35</v>
      </c>
      <c r="K467">
        <v>20.7</v>
      </c>
      <c r="L467" t="s">
        <v>43</v>
      </c>
      <c r="M467">
        <v>11220.84</v>
      </c>
      <c r="N467">
        <v>11489</v>
      </c>
      <c r="O467" t="s">
        <v>44</v>
      </c>
      <c r="P467" t="str">
        <f t="shared" si="63"/>
        <v>Yes</v>
      </c>
      <c r="Q467">
        <f t="shared" si="64"/>
        <v>163.19</v>
      </c>
      <c r="R467">
        <f t="shared" si="65"/>
        <v>3.27</v>
      </c>
      <c r="S467">
        <f t="shared" si="66"/>
        <v>0.98</v>
      </c>
      <c r="T467" t="str">
        <f t="shared" si="67"/>
        <v>Delayed</v>
      </c>
      <c r="U467" t="str">
        <f t="shared" si="68"/>
        <v>Low</v>
      </c>
      <c r="V467" t="str">
        <f t="shared" si="69"/>
        <v>Low Risk</v>
      </c>
      <c r="W467" t="str">
        <f t="shared" si="70"/>
        <v>Oct</v>
      </c>
      <c r="X467">
        <f t="shared" si="71"/>
        <v>2025</v>
      </c>
    </row>
    <row r="468" spans="1:24" x14ac:dyDescent="0.35">
      <c r="A468" s="3">
        <v>45812</v>
      </c>
      <c r="B468" t="s">
        <v>236</v>
      </c>
      <c r="C468" t="s">
        <v>52</v>
      </c>
      <c r="D468" t="s">
        <v>614</v>
      </c>
      <c r="E468" t="s">
        <v>28</v>
      </c>
      <c r="F468" t="s">
        <v>27</v>
      </c>
      <c r="G468" t="s">
        <v>42</v>
      </c>
      <c r="H468">
        <v>73.3</v>
      </c>
      <c r="I468">
        <v>3977</v>
      </c>
      <c r="J468">
        <v>68</v>
      </c>
      <c r="K468">
        <v>15.4</v>
      </c>
      <c r="L468" t="s">
        <v>49</v>
      </c>
      <c r="M468">
        <v>51119.14</v>
      </c>
      <c r="N468">
        <v>26993</v>
      </c>
      <c r="O468" t="s">
        <v>36</v>
      </c>
      <c r="P468" t="str">
        <f t="shared" si="63"/>
        <v>Yes</v>
      </c>
      <c r="Q468">
        <f t="shared" si="64"/>
        <v>54.26</v>
      </c>
      <c r="R468">
        <f t="shared" si="65"/>
        <v>12.85</v>
      </c>
      <c r="S468">
        <f t="shared" si="66"/>
        <v>1.89</v>
      </c>
      <c r="T468" t="str">
        <f t="shared" si="67"/>
        <v>Delayed</v>
      </c>
      <c r="U468" t="str">
        <f t="shared" si="68"/>
        <v>High</v>
      </c>
      <c r="V468" t="str">
        <f t="shared" si="69"/>
        <v>High Risk</v>
      </c>
      <c r="W468" t="str">
        <f t="shared" si="70"/>
        <v>Jun</v>
      </c>
      <c r="X468">
        <f t="shared" si="71"/>
        <v>2025</v>
      </c>
    </row>
    <row r="469" spans="1:24" x14ac:dyDescent="0.35">
      <c r="A469" s="3">
        <v>45864</v>
      </c>
      <c r="B469" t="s">
        <v>108</v>
      </c>
      <c r="C469" t="s">
        <v>95</v>
      </c>
      <c r="D469" t="s">
        <v>615</v>
      </c>
      <c r="E469" t="s">
        <v>66</v>
      </c>
      <c r="F469" t="s">
        <v>55</v>
      </c>
      <c r="G469" t="s">
        <v>29</v>
      </c>
      <c r="H469">
        <v>67.900000000000006</v>
      </c>
      <c r="I469">
        <v>2836</v>
      </c>
      <c r="J469">
        <v>30</v>
      </c>
      <c r="K469">
        <v>18</v>
      </c>
      <c r="L469" t="s">
        <v>43</v>
      </c>
      <c r="M469">
        <v>40476.49</v>
      </c>
      <c r="N469">
        <v>29454</v>
      </c>
      <c r="O469" t="s">
        <v>44</v>
      </c>
      <c r="P469" t="str">
        <f t="shared" si="63"/>
        <v>Yes</v>
      </c>
      <c r="Q469">
        <f t="shared" si="64"/>
        <v>41.77</v>
      </c>
      <c r="R469">
        <f t="shared" si="65"/>
        <v>14.27</v>
      </c>
      <c r="S469">
        <f t="shared" si="66"/>
        <v>1.37</v>
      </c>
      <c r="T469" t="str">
        <f t="shared" si="67"/>
        <v>Delayed</v>
      </c>
      <c r="U469" t="str">
        <f t="shared" si="68"/>
        <v>High</v>
      </c>
      <c r="V469" t="str">
        <f t="shared" si="69"/>
        <v>Low Risk</v>
      </c>
      <c r="W469" t="str">
        <f t="shared" si="70"/>
        <v>Jul</v>
      </c>
      <c r="X469">
        <f t="shared" si="71"/>
        <v>2025</v>
      </c>
    </row>
    <row r="470" spans="1:24" x14ac:dyDescent="0.35">
      <c r="A470" s="3">
        <v>45861</v>
      </c>
      <c r="B470" t="s">
        <v>136</v>
      </c>
      <c r="C470" t="s">
        <v>69</v>
      </c>
      <c r="D470" t="s">
        <v>616</v>
      </c>
      <c r="E470" t="s">
        <v>28</v>
      </c>
      <c r="F470" t="s">
        <v>55</v>
      </c>
      <c r="G470" t="s">
        <v>42</v>
      </c>
      <c r="H470">
        <v>39.799999999999997</v>
      </c>
      <c r="I470">
        <v>1179</v>
      </c>
      <c r="J470">
        <v>100</v>
      </c>
      <c r="K470">
        <v>15.9</v>
      </c>
      <c r="L470" t="s">
        <v>78</v>
      </c>
      <c r="M470">
        <v>21257.86</v>
      </c>
      <c r="N470">
        <v>13958</v>
      </c>
      <c r="O470" t="s">
        <v>84</v>
      </c>
      <c r="P470" t="str">
        <f t="shared" si="63"/>
        <v>No</v>
      </c>
      <c r="Q470">
        <f t="shared" si="64"/>
        <v>29.62</v>
      </c>
      <c r="R470">
        <f t="shared" si="65"/>
        <v>18.03</v>
      </c>
      <c r="S470">
        <f t="shared" si="66"/>
        <v>1.52</v>
      </c>
      <c r="T470" t="str">
        <f t="shared" si="67"/>
        <v>On Time</v>
      </c>
      <c r="U470" t="str">
        <f t="shared" si="68"/>
        <v>Low</v>
      </c>
      <c r="V470" t="str">
        <f t="shared" si="69"/>
        <v>Low Risk</v>
      </c>
      <c r="W470" t="str">
        <f t="shared" si="70"/>
        <v>Jul</v>
      </c>
      <c r="X470">
        <f t="shared" si="71"/>
        <v>2025</v>
      </c>
    </row>
    <row r="471" spans="1:24" x14ac:dyDescent="0.35">
      <c r="A471" s="3">
        <v>45718</v>
      </c>
      <c r="B471" t="s">
        <v>167</v>
      </c>
      <c r="C471" t="s">
        <v>25</v>
      </c>
      <c r="D471" t="s">
        <v>617</v>
      </c>
      <c r="E471" t="s">
        <v>48</v>
      </c>
      <c r="F471" t="s">
        <v>54</v>
      </c>
      <c r="G471" t="s">
        <v>71</v>
      </c>
      <c r="H471">
        <v>70</v>
      </c>
      <c r="I471">
        <v>2312</v>
      </c>
      <c r="J471">
        <v>37</v>
      </c>
      <c r="K471">
        <v>16.899999999999999</v>
      </c>
      <c r="L471" t="s">
        <v>30</v>
      </c>
      <c r="M471">
        <v>33456.29</v>
      </c>
      <c r="N471">
        <v>29288</v>
      </c>
      <c r="O471" t="s">
        <v>44</v>
      </c>
      <c r="P471" t="str">
        <f t="shared" si="63"/>
        <v>Yes</v>
      </c>
      <c r="Q471">
        <f t="shared" si="64"/>
        <v>33.03</v>
      </c>
      <c r="R471">
        <f t="shared" si="65"/>
        <v>14.47</v>
      </c>
      <c r="S471">
        <f t="shared" si="66"/>
        <v>1.1399999999999999</v>
      </c>
      <c r="T471" t="str">
        <f t="shared" si="67"/>
        <v>Delayed</v>
      </c>
      <c r="U471" t="str">
        <f t="shared" si="68"/>
        <v>High</v>
      </c>
      <c r="V471" t="str">
        <f t="shared" si="69"/>
        <v>Medium Risk</v>
      </c>
      <c r="W471" t="str">
        <f t="shared" si="70"/>
        <v>Mar</v>
      </c>
      <c r="X471">
        <f t="shared" si="71"/>
        <v>2025</v>
      </c>
    </row>
    <row r="472" spans="1:24" x14ac:dyDescent="0.35">
      <c r="A472" s="3">
        <v>45934</v>
      </c>
      <c r="B472" t="s">
        <v>98</v>
      </c>
      <c r="C472" t="s">
        <v>130</v>
      </c>
      <c r="D472" t="s">
        <v>618</v>
      </c>
      <c r="E472" t="s">
        <v>66</v>
      </c>
      <c r="F472" t="s">
        <v>63</v>
      </c>
      <c r="G472" t="s">
        <v>71</v>
      </c>
      <c r="H472">
        <v>31.5</v>
      </c>
      <c r="I472">
        <v>3250</v>
      </c>
      <c r="J472">
        <v>20</v>
      </c>
      <c r="K472">
        <v>15.9</v>
      </c>
      <c r="L472" t="s">
        <v>43</v>
      </c>
      <c r="M472">
        <v>15181.75</v>
      </c>
      <c r="N472">
        <v>6307</v>
      </c>
      <c r="O472" t="s">
        <v>59</v>
      </c>
      <c r="P472" t="str">
        <f t="shared" si="63"/>
        <v>Yes</v>
      </c>
      <c r="Q472">
        <f t="shared" si="64"/>
        <v>103.17</v>
      </c>
      <c r="R472">
        <f t="shared" si="65"/>
        <v>4.67</v>
      </c>
      <c r="S472">
        <f t="shared" si="66"/>
        <v>2.41</v>
      </c>
      <c r="T472" t="str">
        <f t="shared" si="67"/>
        <v>Delayed</v>
      </c>
      <c r="U472" t="str">
        <f t="shared" si="68"/>
        <v>Low</v>
      </c>
      <c r="V472" t="str">
        <f t="shared" si="69"/>
        <v>Low Risk</v>
      </c>
      <c r="W472" t="str">
        <f t="shared" si="70"/>
        <v>Oct</v>
      </c>
      <c r="X472">
        <f t="shared" si="71"/>
        <v>2025</v>
      </c>
    </row>
    <row r="473" spans="1:24" x14ac:dyDescent="0.35">
      <c r="A473" s="3">
        <v>45974</v>
      </c>
      <c r="B473" t="s">
        <v>73</v>
      </c>
      <c r="C473" t="s">
        <v>109</v>
      </c>
      <c r="D473" t="s">
        <v>619</v>
      </c>
      <c r="E473" t="s">
        <v>55</v>
      </c>
      <c r="F473" t="s">
        <v>63</v>
      </c>
      <c r="G473" t="s">
        <v>35</v>
      </c>
      <c r="H473">
        <v>64.8</v>
      </c>
      <c r="I473">
        <v>2302</v>
      </c>
      <c r="J473">
        <v>33</v>
      </c>
      <c r="K473">
        <v>19.8</v>
      </c>
      <c r="L473" t="s">
        <v>78</v>
      </c>
      <c r="M473">
        <v>32014.639999999999</v>
      </c>
      <c r="N473">
        <v>15677</v>
      </c>
      <c r="O473" t="s">
        <v>91</v>
      </c>
      <c r="P473" t="str">
        <f t="shared" si="63"/>
        <v>No</v>
      </c>
      <c r="Q473">
        <f t="shared" si="64"/>
        <v>35.520000000000003</v>
      </c>
      <c r="R473">
        <f t="shared" si="65"/>
        <v>13.91</v>
      </c>
      <c r="S473">
        <f t="shared" si="66"/>
        <v>2.04</v>
      </c>
      <c r="T473" t="str">
        <f t="shared" si="67"/>
        <v>On Time</v>
      </c>
      <c r="U473" t="str">
        <f t="shared" si="68"/>
        <v>High</v>
      </c>
      <c r="V473" t="str">
        <f t="shared" si="69"/>
        <v>Low Risk</v>
      </c>
      <c r="W473" t="str">
        <f t="shared" si="70"/>
        <v>Nov</v>
      </c>
      <c r="X473">
        <f t="shared" si="71"/>
        <v>2025</v>
      </c>
    </row>
    <row r="474" spans="1:24" x14ac:dyDescent="0.35">
      <c r="A474" s="3">
        <v>45677</v>
      </c>
      <c r="B474" t="s">
        <v>201</v>
      </c>
      <c r="C474" t="s">
        <v>69</v>
      </c>
      <c r="D474" t="s">
        <v>620</v>
      </c>
      <c r="E474" t="s">
        <v>48</v>
      </c>
      <c r="F474" t="s">
        <v>27</v>
      </c>
      <c r="G474" t="s">
        <v>42</v>
      </c>
      <c r="H474">
        <v>62.3</v>
      </c>
      <c r="I474">
        <v>3061</v>
      </c>
      <c r="J474">
        <v>115</v>
      </c>
      <c r="K474">
        <v>15.6</v>
      </c>
      <c r="L474" t="s">
        <v>78</v>
      </c>
      <c r="M474">
        <v>34292.01</v>
      </c>
      <c r="N474">
        <v>13292</v>
      </c>
      <c r="O474" t="s">
        <v>84</v>
      </c>
      <c r="P474" t="str">
        <f t="shared" si="63"/>
        <v>No</v>
      </c>
      <c r="Q474">
        <f t="shared" si="64"/>
        <v>49.13</v>
      </c>
      <c r="R474">
        <f t="shared" si="65"/>
        <v>11.2</v>
      </c>
      <c r="S474">
        <f t="shared" si="66"/>
        <v>2.58</v>
      </c>
      <c r="T474" t="str">
        <f t="shared" si="67"/>
        <v>On Time</v>
      </c>
      <c r="U474" t="str">
        <f t="shared" si="68"/>
        <v>High</v>
      </c>
      <c r="V474" t="str">
        <f t="shared" si="69"/>
        <v>Low Risk</v>
      </c>
      <c r="W474" t="str">
        <f t="shared" si="70"/>
        <v>Jan</v>
      </c>
      <c r="X474">
        <f t="shared" si="71"/>
        <v>2025</v>
      </c>
    </row>
    <row r="475" spans="1:24" x14ac:dyDescent="0.35">
      <c r="A475" s="3">
        <v>45933</v>
      </c>
      <c r="B475" t="s">
        <v>159</v>
      </c>
      <c r="C475" t="s">
        <v>69</v>
      </c>
      <c r="D475" t="s">
        <v>621</v>
      </c>
      <c r="E475" t="s">
        <v>55</v>
      </c>
      <c r="F475" t="s">
        <v>27</v>
      </c>
      <c r="G475" t="s">
        <v>42</v>
      </c>
      <c r="H475">
        <v>38.6</v>
      </c>
      <c r="I475">
        <v>1544</v>
      </c>
      <c r="J475">
        <v>39</v>
      </c>
      <c r="K475">
        <v>15.5</v>
      </c>
      <c r="L475" t="s">
        <v>49</v>
      </c>
      <c r="M475">
        <v>19442.919999999998</v>
      </c>
      <c r="N475">
        <v>21224</v>
      </c>
      <c r="O475" t="s">
        <v>31</v>
      </c>
      <c r="P475" t="str">
        <f t="shared" si="63"/>
        <v>Yes</v>
      </c>
      <c r="Q475">
        <f t="shared" si="64"/>
        <v>40</v>
      </c>
      <c r="R475">
        <f t="shared" si="65"/>
        <v>12.59</v>
      </c>
      <c r="S475">
        <f t="shared" si="66"/>
        <v>0.92</v>
      </c>
      <c r="T475" t="str">
        <f t="shared" si="67"/>
        <v>Delayed</v>
      </c>
      <c r="U475" t="str">
        <f t="shared" si="68"/>
        <v>Low</v>
      </c>
      <c r="V475" t="str">
        <f t="shared" si="69"/>
        <v>High Risk</v>
      </c>
      <c r="W475" t="str">
        <f t="shared" si="70"/>
        <v>Oct</v>
      </c>
      <c r="X475">
        <f t="shared" si="71"/>
        <v>2025</v>
      </c>
    </row>
    <row r="476" spans="1:24" x14ac:dyDescent="0.35">
      <c r="A476" s="3">
        <v>45794</v>
      </c>
      <c r="B476" t="s">
        <v>317</v>
      </c>
      <c r="C476" t="s">
        <v>69</v>
      </c>
      <c r="D476" t="s">
        <v>622</v>
      </c>
      <c r="E476" t="s">
        <v>27</v>
      </c>
      <c r="F476" t="s">
        <v>55</v>
      </c>
      <c r="G476" t="s">
        <v>35</v>
      </c>
      <c r="H476">
        <v>42.8</v>
      </c>
      <c r="I476">
        <v>1401</v>
      </c>
      <c r="J476">
        <v>82</v>
      </c>
      <c r="K476">
        <v>21.6</v>
      </c>
      <c r="L476" t="s">
        <v>43</v>
      </c>
      <c r="M476">
        <v>25617.42</v>
      </c>
      <c r="N476">
        <v>24449</v>
      </c>
      <c r="O476" t="s">
        <v>91</v>
      </c>
      <c r="P476" t="str">
        <f t="shared" si="63"/>
        <v>Yes</v>
      </c>
      <c r="Q476">
        <f t="shared" si="64"/>
        <v>32.729999999999997</v>
      </c>
      <c r="R476">
        <f t="shared" si="65"/>
        <v>18.29</v>
      </c>
      <c r="S476">
        <f t="shared" si="66"/>
        <v>1.05</v>
      </c>
      <c r="T476" t="str">
        <f t="shared" si="67"/>
        <v>Delayed</v>
      </c>
      <c r="U476" t="str">
        <f t="shared" si="68"/>
        <v>Medium</v>
      </c>
      <c r="V476" t="str">
        <f t="shared" si="69"/>
        <v>Low Risk</v>
      </c>
      <c r="W476" t="str">
        <f t="shared" si="70"/>
        <v>May</v>
      </c>
      <c r="X476">
        <f t="shared" si="71"/>
        <v>2025</v>
      </c>
    </row>
    <row r="477" spans="1:24" x14ac:dyDescent="0.35">
      <c r="A477" s="3">
        <v>45678</v>
      </c>
      <c r="B477" t="s">
        <v>94</v>
      </c>
      <c r="C477" t="s">
        <v>130</v>
      </c>
      <c r="D477" t="s">
        <v>623</v>
      </c>
      <c r="E477" t="s">
        <v>63</v>
      </c>
      <c r="F477" t="s">
        <v>66</v>
      </c>
      <c r="G477" t="s">
        <v>35</v>
      </c>
      <c r="H477">
        <v>69.8</v>
      </c>
      <c r="I477">
        <v>3773</v>
      </c>
      <c r="J477">
        <v>54</v>
      </c>
      <c r="K477">
        <v>15.9</v>
      </c>
      <c r="L477" t="s">
        <v>30</v>
      </c>
      <c r="M477">
        <v>45369.38</v>
      </c>
      <c r="N477">
        <v>28398</v>
      </c>
      <c r="O477" t="s">
        <v>67</v>
      </c>
      <c r="P477" t="str">
        <f t="shared" si="63"/>
        <v>Yes</v>
      </c>
      <c r="Q477">
        <f t="shared" si="64"/>
        <v>54.05</v>
      </c>
      <c r="R477">
        <f t="shared" si="65"/>
        <v>12.02</v>
      </c>
      <c r="S477">
        <f t="shared" si="66"/>
        <v>1.6</v>
      </c>
      <c r="T477" t="str">
        <f t="shared" si="67"/>
        <v>Delayed</v>
      </c>
      <c r="U477" t="str">
        <f t="shared" si="68"/>
        <v>High</v>
      </c>
      <c r="V477" t="str">
        <f t="shared" si="69"/>
        <v>Medium Risk</v>
      </c>
      <c r="W477" t="str">
        <f t="shared" si="70"/>
        <v>Jan</v>
      </c>
      <c r="X477">
        <f t="shared" si="71"/>
        <v>2025</v>
      </c>
    </row>
    <row r="478" spans="1:24" x14ac:dyDescent="0.35">
      <c r="A478" s="3">
        <v>46019</v>
      </c>
      <c r="B478" t="s">
        <v>111</v>
      </c>
      <c r="C478" t="s">
        <v>109</v>
      </c>
      <c r="D478" t="s">
        <v>624</v>
      </c>
      <c r="E478" t="s">
        <v>63</v>
      </c>
      <c r="F478" t="s">
        <v>54</v>
      </c>
      <c r="G478" t="s">
        <v>42</v>
      </c>
      <c r="H478">
        <v>64.400000000000006</v>
      </c>
      <c r="I478">
        <v>4794</v>
      </c>
      <c r="J478">
        <v>49</v>
      </c>
      <c r="K478">
        <v>18.399999999999999</v>
      </c>
      <c r="L478" t="s">
        <v>30</v>
      </c>
      <c r="M478">
        <v>36290.18</v>
      </c>
      <c r="N478">
        <v>9890</v>
      </c>
      <c r="O478" t="s">
        <v>36</v>
      </c>
      <c r="P478" t="str">
        <f t="shared" si="63"/>
        <v>Yes</v>
      </c>
      <c r="Q478">
        <f t="shared" si="64"/>
        <v>74.44</v>
      </c>
      <c r="R478">
        <f t="shared" si="65"/>
        <v>7.57</v>
      </c>
      <c r="S478">
        <f t="shared" si="66"/>
        <v>3.67</v>
      </c>
      <c r="T478" t="str">
        <f t="shared" si="67"/>
        <v>Delayed</v>
      </c>
      <c r="U478" t="str">
        <f t="shared" si="68"/>
        <v>High</v>
      </c>
      <c r="V478" t="str">
        <f t="shared" si="69"/>
        <v>Medium Risk</v>
      </c>
      <c r="W478" t="str">
        <f t="shared" si="70"/>
        <v>Dec</v>
      </c>
      <c r="X478">
        <f t="shared" si="71"/>
        <v>2025</v>
      </c>
    </row>
    <row r="479" spans="1:24" x14ac:dyDescent="0.35">
      <c r="A479" s="3">
        <v>45707</v>
      </c>
      <c r="B479" t="s">
        <v>193</v>
      </c>
      <c r="C479" t="s">
        <v>69</v>
      </c>
      <c r="D479" t="s">
        <v>625</v>
      </c>
      <c r="E479" t="s">
        <v>63</v>
      </c>
      <c r="F479" t="s">
        <v>66</v>
      </c>
      <c r="G479" t="s">
        <v>35</v>
      </c>
      <c r="H479">
        <v>75.099999999999994</v>
      </c>
      <c r="I479">
        <v>1371</v>
      </c>
      <c r="J479">
        <v>103</v>
      </c>
      <c r="K479">
        <v>19.3</v>
      </c>
      <c r="L479" t="s">
        <v>49</v>
      </c>
      <c r="M479">
        <v>34460.120000000003</v>
      </c>
      <c r="N479">
        <v>6425</v>
      </c>
      <c r="O479" t="s">
        <v>44</v>
      </c>
      <c r="P479" t="str">
        <f t="shared" si="63"/>
        <v>Yes</v>
      </c>
      <c r="Q479">
        <f t="shared" si="64"/>
        <v>18.260000000000002</v>
      </c>
      <c r="R479">
        <f t="shared" si="65"/>
        <v>25.14</v>
      </c>
      <c r="S479">
        <f t="shared" si="66"/>
        <v>5.36</v>
      </c>
      <c r="T479" t="str">
        <f t="shared" si="67"/>
        <v>Delayed</v>
      </c>
      <c r="U479" t="str">
        <f t="shared" si="68"/>
        <v>High</v>
      </c>
      <c r="V479" t="str">
        <f t="shared" si="69"/>
        <v>High Risk</v>
      </c>
      <c r="W479" t="str">
        <f t="shared" si="70"/>
        <v>Feb</v>
      </c>
      <c r="X479">
        <f t="shared" si="71"/>
        <v>2025</v>
      </c>
    </row>
    <row r="480" spans="1:24" x14ac:dyDescent="0.35">
      <c r="A480" s="3">
        <v>45826</v>
      </c>
      <c r="B480" t="s">
        <v>207</v>
      </c>
      <c r="C480" t="s">
        <v>57</v>
      </c>
      <c r="D480" t="s">
        <v>626</v>
      </c>
      <c r="E480" t="s">
        <v>28</v>
      </c>
      <c r="F480" t="s">
        <v>66</v>
      </c>
      <c r="G480" t="s">
        <v>42</v>
      </c>
      <c r="H480">
        <v>70.3</v>
      </c>
      <c r="I480">
        <v>2499</v>
      </c>
      <c r="J480">
        <v>92</v>
      </c>
      <c r="K480">
        <v>12</v>
      </c>
      <c r="L480" t="s">
        <v>78</v>
      </c>
      <c r="M480">
        <v>48314.79</v>
      </c>
      <c r="N480">
        <v>19416</v>
      </c>
      <c r="O480" t="s">
        <v>50</v>
      </c>
      <c r="P480" t="str">
        <f t="shared" si="63"/>
        <v>No</v>
      </c>
      <c r="Q480">
        <f t="shared" si="64"/>
        <v>35.549999999999997</v>
      </c>
      <c r="R480">
        <f t="shared" si="65"/>
        <v>19.329999999999998</v>
      </c>
      <c r="S480">
        <f t="shared" si="66"/>
        <v>2.4900000000000002</v>
      </c>
      <c r="T480" t="str">
        <f t="shared" si="67"/>
        <v>On Time</v>
      </c>
      <c r="U480" t="str">
        <f t="shared" si="68"/>
        <v>High</v>
      </c>
      <c r="V480" t="str">
        <f t="shared" si="69"/>
        <v>Low Risk</v>
      </c>
      <c r="W480" t="str">
        <f t="shared" si="70"/>
        <v>Jun</v>
      </c>
      <c r="X480">
        <f t="shared" si="71"/>
        <v>2025</v>
      </c>
    </row>
    <row r="481" spans="1:24" x14ac:dyDescent="0.35">
      <c r="A481" s="3">
        <v>45776</v>
      </c>
      <c r="B481" t="s">
        <v>162</v>
      </c>
      <c r="C481" t="s">
        <v>109</v>
      </c>
      <c r="D481" t="s">
        <v>627</v>
      </c>
      <c r="E481" t="s">
        <v>28</v>
      </c>
      <c r="F481" t="s">
        <v>66</v>
      </c>
      <c r="G481" t="s">
        <v>35</v>
      </c>
      <c r="H481">
        <v>75.3</v>
      </c>
      <c r="I481">
        <v>3828</v>
      </c>
      <c r="J481">
        <v>94</v>
      </c>
      <c r="K481">
        <v>12.8</v>
      </c>
      <c r="L481" t="s">
        <v>78</v>
      </c>
      <c r="M481">
        <v>35314.839999999997</v>
      </c>
      <c r="N481">
        <v>12888</v>
      </c>
      <c r="O481" t="s">
        <v>31</v>
      </c>
      <c r="P481" t="str">
        <f t="shared" si="63"/>
        <v>No</v>
      </c>
      <c r="Q481">
        <f t="shared" si="64"/>
        <v>50.84</v>
      </c>
      <c r="R481">
        <f t="shared" si="65"/>
        <v>9.23</v>
      </c>
      <c r="S481">
        <f t="shared" si="66"/>
        <v>2.74</v>
      </c>
      <c r="T481" t="str">
        <f t="shared" si="67"/>
        <v>On Time</v>
      </c>
      <c r="U481" t="str">
        <f t="shared" si="68"/>
        <v>High</v>
      </c>
      <c r="V481" t="str">
        <f t="shared" si="69"/>
        <v>Low Risk</v>
      </c>
      <c r="W481" t="str">
        <f t="shared" si="70"/>
        <v>Apr</v>
      </c>
      <c r="X481">
        <f t="shared" si="71"/>
        <v>2025</v>
      </c>
    </row>
    <row r="482" spans="1:24" x14ac:dyDescent="0.35">
      <c r="A482" s="3">
        <v>45693</v>
      </c>
      <c r="B482" t="s">
        <v>154</v>
      </c>
      <c r="C482" t="s">
        <v>109</v>
      </c>
      <c r="D482" t="s">
        <v>628</v>
      </c>
      <c r="E482" t="s">
        <v>55</v>
      </c>
      <c r="F482" t="s">
        <v>27</v>
      </c>
      <c r="G482" t="s">
        <v>71</v>
      </c>
      <c r="H482">
        <v>67</v>
      </c>
      <c r="I482">
        <v>2539</v>
      </c>
      <c r="J482">
        <v>40</v>
      </c>
      <c r="K482">
        <v>20.399999999999999</v>
      </c>
      <c r="L482" t="s">
        <v>49</v>
      </c>
      <c r="M482">
        <v>44717.279999999999</v>
      </c>
      <c r="N482">
        <v>16058</v>
      </c>
      <c r="O482" t="s">
        <v>44</v>
      </c>
      <c r="P482" t="str">
        <f t="shared" si="63"/>
        <v>Yes</v>
      </c>
      <c r="Q482">
        <f t="shared" si="64"/>
        <v>37.9</v>
      </c>
      <c r="R482">
        <f t="shared" si="65"/>
        <v>17.61</v>
      </c>
      <c r="S482">
        <f t="shared" si="66"/>
        <v>2.78</v>
      </c>
      <c r="T482" t="str">
        <f t="shared" si="67"/>
        <v>Delayed</v>
      </c>
      <c r="U482" t="str">
        <f t="shared" si="68"/>
        <v>High</v>
      </c>
      <c r="V482" t="str">
        <f t="shared" si="69"/>
        <v>High Risk</v>
      </c>
      <c r="W482" t="str">
        <f t="shared" si="70"/>
        <v>Feb</v>
      </c>
      <c r="X482">
        <f t="shared" si="71"/>
        <v>2025</v>
      </c>
    </row>
    <row r="483" spans="1:24" x14ac:dyDescent="0.35">
      <c r="A483" s="3">
        <v>46013</v>
      </c>
      <c r="B483" t="s">
        <v>210</v>
      </c>
      <c r="C483" t="s">
        <v>95</v>
      </c>
      <c r="D483" t="s">
        <v>629</v>
      </c>
      <c r="E483" t="s">
        <v>27</v>
      </c>
      <c r="F483" t="s">
        <v>63</v>
      </c>
      <c r="G483" t="s">
        <v>29</v>
      </c>
      <c r="H483">
        <v>62.8</v>
      </c>
      <c r="I483">
        <v>2158</v>
      </c>
      <c r="J483">
        <v>65</v>
      </c>
      <c r="K483">
        <v>21.2</v>
      </c>
      <c r="L483" t="s">
        <v>49</v>
      </c>
      <c r="M483">
        <v>42302.239999999998</v>
      </c>
      <c r="N483">
        <v>11023</v>
      </c>
      <c r="O483" t="s">
        <v>84</v>
      </c>
      <c r="P483" t="str">
        <f t="shared" si="63"/>
        <v>Yes</v>
      </c>
      <c r="Q483">
        <f t="shared" si="64"/>
        <v>34.36</v>
      </c>
      <c r="R483">
        <f t="shared" si="65"/>
        <v>19.600000000000001</v>
      </c>
      <c r="S483">
        <f t="shared" si="66"/>
        <v>3.84</v>
      </c>
      <c r="T483" t="str">
        <f t="shared" si="67"/>
        <v>Delayed</v>
      </c>
      <c r="U483" t="str">
        <f t="shared" si="68"/>
        <v>High</v>
      </c>
      <c r="V483" t="str">
        <f t="shared" si="69"/>
        <v>High Risk</v>
      </c>
      <c r="W483" t="str">
        <f t="shared" si="70"/>
        <v>Dec</v>
      </c>
      <c r="X483">
        <f t="shared" si="71"/>
        <v>2025</v>
      </c>
    </row>
    <row r="484" spans="1:24" x14ac:dyDescent="0.35">
      <c r="A484" s="3">
        <v>45706</v>
      </c>
      <c r="B484" t="s">
        <v>214</v>
      </c>
      <c r="C484" t="s">
        <v>130</v>
      </c>
      <c r="D484" t="s">
        <v>630</v>
      </c>
      <c r="E484" t="s">
        <v>54</v>
      </c>
      <c r="F484" t="s">
        <v>63</v>
      </c>
      <c r="G484" t="s">
        <v>35</v>
      </c>
      <c r="H484">
        <v>73.8</v>
      </c>
      <c r="I484">
        <v>2354</v>
      </c>
      <c r="J484">
        <v>118</v>
      </c>
      <c r="K484">
        <v>21.5</v>
      </c>
      <c r="L484" t="s">
        <v>78</v>
      </c>
      <c r="M484">
        <v>45980.75</v>
      </c>
      <c r="N484">
        <v>13096</v>
      </c>
      <c r="O484" t="s">
        <v>31</v>
      </c>
      <c r="P484" t="str">
        <f t="shared" si="63"/>
        <v>No</v>
      </c>
      <c r="Q484">
        <f t="shared" si="64"/>
        <v>31.9</v>
      </c>
      <c r="R484">
        <f t="shared" si="65"/>
        <v>19.53</v>
      </c>
      <c r="S484">
        <f t="shared" si="66"/>
        <v>3.51</v>
      </c>
      <c r="T484" t="str">
        <f t="shared" si="67"/>
        <v>On Time</v>
      </c>
      <c r="U484" t="str">
        <f t="shared" si="68"/>
        <v>High</v>
      </c>
      <c r="V484" t="str">
        <f t="shared" si="69"/>
        <v>Low Risk</v>
      </c>
      <c r="W484" t="str">
        <f t="shared" si="70"/>
        <v>Feb</v>
      </c>
      <c r="X484">
        <f t="shared" si="71"/>
        <v>2025</v>
      </c>
    </row>
    <row r="485" spans="1:24" x14ac:dyDescent="0.35">
      <c r="A485" s="3">
        <v>45753</v>
      </c>
      <c r="B485" t="s">
        <v>368</v>
      </c>
      <c r="C485" t="s">
        <v>57</v>
      </c>
      <c r="D485" t="s">
        <v>631</v>
      </c>
      <c r="E485" t="s">
        <v>66</v>
      </c>
      <c r="F485" t="s">
        <v>28</v>
      </c>
      <c r="G485" t="s">
        <v>71</v>
      </c>
      <c r="H485">
        <v>40.200000000000003</v>
      </c>
      <c r="I485">
        <v>2720</v>
      </c>
      <c r="J485">
        <v>67</v>
      </c>
      <c r="K485">
        <v>11.4</v>
      </c>
      <c r="L485" t="s">
        <v>78</v>
      </c>
      <c r="M485">
        <v>25474.86</v>
      </c>
      <c r="N485">
        <v>9787</v>
      </c>
      <c r="O485" t="s">
        <v>44</v>
      </c>
      <c r="P485" t="str">
        <f t="shared" si="63"/>
        <v>No</v>
      </c>
      <c r="Q485">
        <f t="shared" si="64"/>
        <v>67.66</v>
      </c>
      <c r="R485">
        <f t="shared" si="65"/>
        <v>9.3699999999999992</v>
      </c>
      <c r="S485">
        <f t="shared" si="66"/>
        <v>2.6</v>
      </c>
      <c r="T485" t="str">
        <f t="shared" si="67"/>
        <v>On Time</v>
      </c>
      <c r="U485" t="str">
        <f t="shared" si="68"/>
        <v>Medium</v>
      </c>
      <c r="V485" t="str">
        <f t="shared" si="69"/>
        <v>Low Risk</v>
      </c>
      <c r="W485" t="str">
        <f t="shared" si="70"/>
        <v>Apr</v>
      </c>
      <c r="X485">
        <f t="shared" si="71"/>
        <v>2025</v>
      </c>
    </row>
    <row r="486" spans="1:24" x14ac:dyDescent="0.35">
      <c r="A486" s="3">
        <v>45793</v>
      </c>
      <c r="B486" t="s">
        <v>98</v>
      </c>
      <c r="C486" t="s">
        <v>25</v>
      </c>
      <c r="D486" t="s">
        <v>632</v>
      </c>
      <c r="E486" t="s">
        <v>54</v>
      </c>
      <c r="F486" t="s">
        <v>27</v>
      </c>
      <c r="G486" t="s">
        <v>42</v>
      </c>
      <c r="H486">
        <v>34.799999999999997</v>
      </c>
      <c r="I486">
        <v>1118</v>
      </c>
      <c r="J486">
        <v>93</v>
      </c>
      <c r="K486">
        <v>19.100000000000001</v>
      </c>
      <c r="L486" t="s">
        <v>49</v>
      </c>
      <c r="M486">
        <v>21845.63</v>
      </c>
      <c r="N486">
        <v>20511</v>
      </c>
      <c r="O486" t="s">
        <v>36</v>
      </c>
      <c r="P486" t="str">
        <f t="shared" si="63"/>
        <v>Yes</v>
      </c>
      <c r="Q486">
        <f t="shared" si="64"/>
        <v>32.130000000000003</v>
      </c>
      <c r="R486">
        <f t="shared" si="65"/>
        <v>19.54</v>
      </c>
      <c r="S486">
        <f t="shared" si="66"/>
        <v>1.07</v>
      </c>
      <c r="T486" t="str">
        <f t="shared" si="67"/>
        <v>Delayed</v>
      </c>
      <c r="U486" t="str">
        <f t="shared" si="68"/>
        <v>Low</v>
      </c>
      <c r="V486" t="str">
        <f t="shared" si="69"/>
        <v>High Risk</v>
      </c>
      <c r="W486" t="str">
        <f t="shared" si="70"/>
        <v>May</v>
      </c>
      <c r="X486">
        <f t="shared" si="71"/>
        <v>2025</v>
      </c>
    </row>
    <row r="487" spans="1:24" x14ac:dyDescent="0.35">
      <c r="A487" s="3">
        <v>45756</v>
      </c>
      <c r="B487" t="s">
        <v>24</v>
      </c>
      <c r="C487" t="s">
        <v>25</v>
      </c>
      <c r="D487" t="s">
        <v>633</v>
      </c>
      <c r="E487" t="s">
        <v>41</v>
      </c>
      <c r="F487" t="s">
        <v>66</v>
      </c>
      <c r="G487" t="s">
        <v>35</v>
      </c>
      <c r="H487">
        <v>24.1</v>
      </c>
      <c r="I487">
        <v>1119</v>
      </c>
      <c r="J487">
        <v>74</v>
      </c>
      <c r="K487">
        <v>19.3</v>
      </c>
      <c r="L487" t="s">
        <v>49</v>
      </c>
      <c r="M487">
        <v>16231.49</v>
      </c>
      <c r="N487">
        <v>7182</v>
      </c>
      <c r="O487" t="s">
        <v>44</v>
      </c>
      <c r="P487" t="str">
        <f t="shared" si="63"/>
        <v>Yes</v>
      </c>
      <c r="Q487">
        <f t="shared" si="64"/>
        <v>46.43</v>
      </c>
      <c r="R487">
        <f t="shared" si="65"/>
        <v>14.51</v>
      </c>
      <c r="S487">
        <f t="shared" si="66"/>
        <v>2.2599999999999998</v>
      </c>
      <c r="T487" t="str">
        <f t="shared" si="67"/>
        <v>Delayed</v>
      </c>
      <c r="U487" t="str">
        <f t="shared" si="68"/>
        <v>Low</v>
      </c>
      <c r="V487" t="str">
        <f t="shared" si="69"/>
        <v>High Risk</v>
      </c>
      <c r="W487" t="str">
        <f t="shared" si="70"/>
        <v>Apr</v>
      </c>
      <c r="X487">
        <f t="shared" si="71"/>
        <v>2025</v>
      </c>
    </row>
    <row r="488" spans="1:24" x14ac:dyDescent="0.35">
      <c r="A488" s="3">
        <v>45984</v>
      </c>
      <c r="B488" t="s">
        <v>157</v>
      </c>
      <c r="C488" t="s">
        <v>39</v>
      </c>
      <c r="D488" t="s">
        <v>634</v>
      </c>
      <c r="E488" t="s">
        <v>55</v>
      </c>
      <c r="F488" t="s">
        <v>41</v>
      </c>
      <c r="G488" t="s">
        <v>29</v>
      </c>
      <c r="H488">
        <v>60.3</v>
      </c>
      <c r="I488">
        <v>610</v>
      </c>
      <c r="J488">
        <v>51</v>
      </c>
      <c r="K488">
        <v>15</v>
      </c>
      <c r="L488" t="s">
        <v>30</v>
      </c>
      <c r="M488">
        <v>28977.73</v>
      </c>
      <c r="N488">
        <v>6432</v>
      </c>
      <c r="O488" t="s">
        <v>84</v>
      </c>
      <c r="P488" t="str">
        <f t="shared" si="63"/>
        <v>Yes</v>
      </c>
      <c r="Q488">
        <f t="shared" si="64"/>
        <v>10.119999999999999</v>
      </c>
      <c r="R488">
        <f t="shared" si="65"/>
        <v>47.5</v>
      </c>
      <c r="S488">
        <f t="shared" si="66"/>
        <v>4.51</v>
      </c>
      <c r="T488" t="str">
        <f t="shared" si="67"/>
        <v>Delayed</v>
      </c>
      <c r="U488" t="str">
        <f t="shared" si="68"/>
        <v>High</v>
      </c>
      <c r="V488" t="str">
        <f t="shared" si="69"/>
        <v>Medium Risk</v>
      </c>
      <c r="W488" t="str">
        <f t="shared" si="70"/>
        <v>Nov</v>
      </c>
      <c r="X488">
        <f t="shared" si="71"/>
        <v>2025</v>
      </c>
    </row>
    <row r="489" spans="1:24" x14ac:dyDescent="0.35">
      <c r="A489" s="3">
        <v>45721</v>
      </c>
      <c r="B489" t="s">
        <v>244</v>
      </c>
      <c r="C489" t="s">
        <v>130</v>
      </c>
      <c r="D489" t="s">
        <v>635</v>
      </c>
      <c r="E489" t="s">
        <v>54</v>
      </c>
      <c r="F489" t="s">
        <v>55</v>
      </c>
      <c r="G489" t="s">
        <v>42</v>
      </c>
      <c r="H489">
        <v>33.700000000000003</v>
      </c>
      <c r="I489">
        <v>1789</v>
      </c>
      <c r="J489">
        <v>37</v>
      </c>
      <c r="K489">
        <v>21.7</v>
      </c>
      <c r="L489" t="s">
        <v>30</v>
      </c>
      <c r="M489">
        <v>23105.24</v>
      </c>
      <c r="N489">
        <v>22228</v>
      </c>
      <c r="O489" t="s">
        <v>50</v>
      </c>
      <c r="P489" t="str">
        <f t="shared" si="63"/>
        <v>Yes</v>
      </c>
      <c r="Q489">
        <f t="shared" si="64"/>
        <v>53.09</v>
      </c>
      <c r="R489">
        <f t="shared" si="65"/>
        <v>12.92</v>
      </c>
      <c r="S489">
        <f t="shared" si="66"/>
        <v>1.04</v>
      </c>
      <c r="T489" t="str">
        <f t="shared" si="67"/>
        <v>Delayed</v>
      </c>
      <c r="U489" t="str">
        <f t="shared" si="68"/>
        <v>Low</v>
      </c>
      <c r="V489" t="str">
        <f t="shared" si="69"/>
        <v>Medium Risk</v>
      </c>
      <c r="W489" t="str">
        <f t="shared" si="70"/>
        <v>Mar</v>
      </c>
      <c r="X489">
        <f t="shared" si="71"/>
        <v>2025</v>
      </c>
    </row>
    <row r="490" spans="1:24" x14ac:dyDescent="0.35">
      <c r="A490" s="3">
        <v>45720</v>
      </c>
      <c r="B490" t="s">
        <v>217</v>
      </c>
      <c r="C490" t="s">
        <v>130</v>
      </c>
      <c r="D490" t="s">
        <v>636</v>
      </c>
      <c r="E490" t="s">
        <v>48</v>
      </c>
      <c r="F490" t="s">
        <v>27</v>
      </c>
      <c r="G490" t="s">
        <v>29</v>
      </c>
      <c r="H490">
        <v>73.7</v>
      </c>
      <c r="I490">
        <v>2035</v>
      </c>
      <c r="J490">
        <v>47</v>
      </c>
      <c r="K490">
        <v>20.3</v>
      </c>
      <c r="L490" t="s">
        <v>78</v>
      </c>
      <c r="M490">
        <v>43583.360000000001</v>
      </c>
      <c r="N490">
        <v>10658</v>
      </c>
      <c r="O490" t="s">
        <v>36</v>
      </c>
      <c r="P490" t="str">
        <f t="shared" si="63"/>
        <v>No</v>
      </c>
      <c r="Q490">
        <f t="shared" si="64"/>
        <v>27.61</v>
      </c>
      <c r="R490">
        <f t="shared" si="65"/>
        <v>21.42</v>
      </c>
      <c r="S490">
        <f t="shared" si="66"/>
        <v>4.09</v>
      </c>
      <c r="T490" t="str">
        <f t="shared" si="67"/>
        <v>On Time</v>
      </c>
      <c r="U490" t="str">
        <f t="shared" si="68"/>
        <v>High</v>
      </c>
      <c r="V490" t="str">
        <f t="shared" si="69"/>
        <v>Low Risk</v>
      </c>
      <c r="W490" t="str">
        <f t="shared" si="70"/>
        <v>Mar</v>
      </c>
      <c r="X490">
        <f t="shared" si="71"/>
        <v>2025</v>
      </c>
    </row>
    <row r="491" spans="1:24" x14ac:dyDescent="0.35">
      <c r="A491" s="3">
        <v>45778</v>
      </c>
      <c r="B491" t="s">
        <v>123</v>
      </c>
      <c r="C491" t="s">
        <v>95</v>
      </c>
      <c r="D491" t="s">
        <v>637</v>
      </c>
      <c r="E491" t="s">
        <v>28</v>
      </c>
      <c r="F491" t="s">
        <v>54</v>
      </c>
      <c r="G491" t="s">
        <v>35</v>
      </c>
      <c r="H491">
        <v>77.7</v>
      </c>
      <c r="I491">
        <v>2064</v>
      </c>
      <c r="J491">
        <v>41</v>
      </c>
      <c r="K491">
        <v>15.3</v>
      </c>
      <c r="L491" t="s">
        <v>43</v>
      </c>
      <c r="M491">
        <v>54372.33</v>
      </c>
      <c r="N491">
        <v>24246</v>
      </c>
      <c r="O491" t="s">
        <v>50</v>
      </c>
      <c r="P491" t="str">
        <f t="shared" si="63"/>
        <v>Yes</v>
      </c>
      <c r="Q491">
        <f t="shared" si="64"/>
        <v>26.56</v>
      </c>
      <c r="R491">
        <f t="shared" si="65"/>
        <v>26.34</v>
      </c>
      <c r="S491">
        <f t="shared" si="66"/>
        <v>2.2400000000000002</v>
      </c>
      <c r="T491" t="str">
        <f t="shared" si="67"/>
        <v>Delayed</v>
      </c>
      <c r="U491" t="str">
        <f t="shared" si="68"/>
        <v>High</v>
      </c>
      <c r="V491" t="str">
        <f t="shared" si="69"/>
        <v>Low Risk</v>
      </c>
      <c r="W491" t="str">
        <f t="shared" si="70"/>
        <v>May</v>
      </c>
      <c r="X491">
        <f t="shared" si="71"/>
        <v>2025</v>
      </c>
    </row>
    <row r="492" spans="1:24" x14ac:dyDescent="0.35">
      <c r="A492" s="3">
        <v>45755</v>
      </c>
      <c r="B492" t="s">
        <v>115</v>
      </c>
      <c r="C492" t="s">
        <v>39</v>
      </c>
      <c r="D492" t="s">
        <v>638</v>
      </c>
      <c r="E492" t="s">
        <v>28</v>
      </c>
      <c r="F492" t="s">
        <v>63</v>
      </c>
      <c r="G492" t="s">
        <v>35</v>
      </c>
      <c r="H492">
        <v>42</v>
      </c>
      <c r="I492">
        <v>1803</v>
      </c>
      <c r="J492">
        <v>22</v>
      </c>
      <c r="K492">
        <v>17.100000000000001</v>
      </c>
      <c r="L492" t="s">
        <v>78</v>
      </c>
      <c r="M492">
        <v>24646.09</v>
      </c>
      <c r="N492">
        <v>16251</v>
      </c>
      <c r="O492" t="s">
        <v>36</v>
      </c>
      <c r="P492" t="str">
        <f t="shared" si="63"/>
        <v>No</v>
      </c>
      <c r="Q492">
        <f t="shared" si="64"/>
        <v>42.93</v>
      </c>
      <c r="R492">
        <f t="shared" si="65"/>
        <v>13.67</v>
      </c>
      <c r="S492">
        <f t="shared" si="66"/>
        <v>1.52</v>
      </c>
      <c r="T492" t="str">
        <f t="shared" si="67"/>
        <v>On Time</v>
      </c>
      <c r="U492" t="str">
        <f t="shared" si="68"/>
        <v>Medium</v>
      </c>
      <c r="V492" t="str">
        <f t="shared" si="69"/>
        <v>Low Risk</v>
      </c>
      <c r="W492" t="str">
        <f t="shared" si="70"/>
        <v>Apr</v>
      </c>
      <c r="X492">
        <f t="shared" si="71"/>
        <v>2025</v>
      </c>
    </row>
    <row r="493" spans="1:24" x14ac:dyDescent="0.35">
      <c r="A493" s="3">
        <v>46022</v>
      </c>
      <c r="B493" t="s">
        <v>106</v>
      </c>
      <c r="C493" t="s">
        <v>109</v>
      </c>
      <c r="D493" t="s">
        <v>639</v>
      </c>
      <c r="E493" t="s">
        <v>41</v>
      </c>
      <c r="F493" t="s">
        <v>27</v>
      </c>
      <c r="G493" t="s">
        <v>42</v>
      </c>
      <c r="H493">
        <v>44.9</v>
      </c>
      <c r="I493">
        <v>2062</v>
      </c>
      <c r="J493">
        <v>94</v>
      </c>
      <c r="K493">
        <v>13.6</v>
      </c>
      <c r="L493" t="s">
        <v>43</v>
      </c>
      <c r="M493">
        <v>30521.93</v>
      </c>
      <c r="N493">
        <v>25484</v>
      </c>
      <c r="O493" t="s">
        <v>91</v>
      </c>
      <c r="P493" t="str">
        <f t="shared" si="63"/>
        <v>Yes</v>
      </c>
      <c r="Q493">
        <f t="shared" si="64"/>
        <v>45.92</v>
      </c>
      <c r="R493">
        <f t="shared" si="65"/>
        <v>14.8</v>
      </c>
      <c r="S493">
        <f t="shared" si="66"/>
        <v>1.2</v>
      </c>
      <c r="T493" t="str">
        <f t="shared" si="67"/>
        <v>Delayed</v>
      </c>
      <c r="U493" t="str">
        <f t="shared" si="68"/>
        <v>Medium</v>
      </c>
      <c r="V493" t="str">
        <f t="shared" si="69"/>
        <v>Low Risk</v>
      </c>
      <c r="W493" t="str">
        <f t="shared" si="70"/>
        <v>Dec</v>
      </c>
      <c r="X493">
        <f t="shared" si="71"/>
        <v>2025</v>
      </c>
    </row>
    <row r="494" spans="1:24" x14ac:dyDescent="0.35">
      <c r="A494" s="3">
        <v>45937</v>
      </c>
      <c r="B494" t="s">
        <v>76</v>
      </c>
      <c r="C494" t="s">
        <v>39</v>
      </c>
      <c r="D494" t="s">
        <v>640</v>
      </c>
      <c r="E494" t="s">
        <v>27</v>
      </c>
      <c r="F494" t="s">
        <v>63</v>
      </c>
      <c r="G494" t="s">
        <v>29</v>
      </c>
      <c r="H494">
        <v>49.9</v>
      </c>
      <c r="I494">
        <v>2224</v>
      </c>
      <c r="J494">
        <v>87</v>
      </c>
      <c r="K494">
        <v>17.600000000000001</v>
      </c>
      <c r="L494" t="s">
        <v>49</v>
      </c>
      <c r="M494">
        <v>28261.360000000001</v>
      </c>
      <c r="N494">
        <v>10216</v>
      </c>
      <c r="O494" t="s">
        <v>84</v>
      </c>
      <c r="P494" t="str">
        <f t="shared" si="63"/>
        <v>Yes</v>
      </c>
      <c r="Q494">
        <f t="shared" si="64"/>
        <v>44.57</v>
      </c>
      <c r="R494">
        <f t="shared" si="65"/>
        <v>12.71</v>
      </c>
      <c r="S494">
        <f t="shared" si="66"/>
        <v>2.77</v>
      </c>
      <c r="T494" t="str">
        <f t="shared" si="67"/>
        <v>Delayed</v>
      </c>
      <c r="U494" t="str">
        <f t="shared" si="68"/>
        <v>Medium</v>
      </c>
      <c r="V494" t="str">
        <f t="shared" si="69"/>
        <v>High Risk</v>
      </c>
      <c r="W494" t="str">
        <f t="shared" si="70"/>
        <v>Oct</v>
      </c>
      <c r="X494">
        <f t="shared" si="71"/>
        <v>2025</v>
      </c>
    </row>
    <row r="495" spans="1:24" x14ac:dyDescent="0.35">
      <c r="A495" s="3">
        <v>45714</v>
      </c>
      <c r="B495" t="s">
        <v>159</v>
      </c>
      <c r="C495" t="s">
        <v>39</v>
      </c>
      <c r="D495" t="s">
        <v>641</v>
      </c>
      <c r="E495" t="s">
        <v>54</v>
      </c>
      <c r="F495" t="s">
        <v>27</v>
      </c>
      <c r="G495" t="s">
        <v>42</v>
      </c>
      <c r="H495">
        <v>20.5</v>
      </c>
      <c r="I495">
        <v>2210</v>
      </c>
      <c r="J495">
        <v>87</v>
      </c>
      <c r="K495">
        <v>13.6</v>
      </c>
      <c r="L495" t="s">
        <v>78</v>
      </c>
      <c r="M495">
        <v>11401.76</v>
      </c>
      <c r="N495">
        <v>19903</v>
      </c>
      <c r="O495" t="s">
        <v>31</v>
      </c>
      <c r="P495" t="str">
        <f t="shared" si="63"/>
        <v>No</v>
      </c>
      <c r="Q495">
        <f t="shared" si="64"/>
        <v>107.8</v>
      </c>
      <c r="R495">
        <f t="shared" si="65"/>
        <v>5.16</v>
      </c>
      <c r="S495">
        <f t="shared" si="66"/>
        <v>0.56999999999999995</v>
      </c>
      <c r="T495" t="str">
        <f t="shared" si="67"/>
        <v>On Time</v>
      </c>
      <c r="U495" t="str">
        <f t="shared" si="68"/>
        <v>Low</v>
      </c>
      <c r="V495" t="str">
        <f t="shared" si="69"/>
        <v>Low Risk</v>
      </c>
      <c r="W495" t="str">
        <f t="shared" si="70"/>
        <v>Feb</v>
      </c>
      <c r="X495">
        <f t="shared" si="71"/>
        <v>2025</v>
      </c>
    </row>
    <row r="496" spans="1:24" x14ac:dyDescent="0.35">
      <c r="A496" s="3">
        <v>45814</v>
      </c>
      <c r="B496" t="s">
        <v>277</v>
      </c>
      <c r="C496" t="s">
        <v>39</v>
      </c>
      <c r="D496" t="s">
        <v>642</v>
      </c>
      <c r="E496" t="s">
        <v>28</v>
      </c>
      <c r="F496" t="s">
        <v>54</v>
      </c>
      <c r="G496" t="s">
        <v>35</v>
      </c>
      <c r="H496">
        <v>70.099999999999994</v>
      </c>
      <c r="I496">
        <v>883</v>
      </c>
      <c r="J496">
        <v>109</v>
      </c>
      <c r="K496">
        <v>13.2</v>
      </c>
      <c r="L496" t="s">
        <v>30</v>
      </c>
      <c r="M496">
        <v>44677.89</v>
      </c>
      <c r="N496">
        <v>27778</v>
      </c>
      <c r="O496" t="s">
        <v>36</v>
      </c>
      <c r="P496" t="str">
        <f t="shared" si="63"/>
        <v>Yes</v>
      </c>
      <c r="Q496">
        <f t="shared" si="64"/>
        <v>12.6</v>
      </c>
      <c r="R496">
        <f t="shared" si="65"/>
        <v>50.6</v>
      </c>
      <c r="S496">
        <f t="shared" si="66"/>
        <v>1.61</v>
      </c>
      <c r="T496" t="str">
        <f t="shared" si="67"/>
        <v>Delayed</v>
      </c>
      <c r="U496" t="str">
        <f t="shared" si="68"/>
        <v>High</v>
      </c>
      <c r="V496" t="str">
        <f t="shared" si="69"/>
        <v>Medium Risk</v>
      </c>
      <c r="W496" t="str">
        <f t="shared" si="70"/>
        <v>Jun</v>
      </c>
      <c r="X496">
        <f t="shared" si="71"/>
        <v>2025</v>
      </c>
    </row>
    <row r="497" spans="1:24" x14ac:dyDescent="0.35">
      <c r="A497" s="3">
        <v>45873</v>
      </c>
      <c r="B497" t="s">
        <v>162</v>
      </c>
      <c r="C497" t="s">
        <v>109</v>
      </c>
      <c r="D497" t="s">
        <v>643</v>
      </c>
      <c r="E497" t="s">
        <v>66</v>
      </c>
      <c r="F497" t="s">
        <v>48</v>
      </c>
      <c r="G497" t="s">
        <v>29</v>
      </c>
      <c r="H497">
        <v>56.2</v>
      </c>
      <c r="I497">
        <v>2493</v>
      </c>
      <c r="J497">
        <v>112</v>
      </c>
      <c r="K497">
        <v>16.5</v>
      </c>
      <c r="L497" t="s">
        <v>49</v>
      </c>
      <c r="M497">
        <v>37563.89</v>
      </c>
      <c r="N497">
        <v>28579</v>
      </c>
      <c r="O497" t="s">
        <v>91</v>
      </c>
      <c r="P497" t="str">
        <f t="shared" si="63"/>
        <v>Yes</v>
      </c>
      <c r="Q497">
        <f t="shared" si="64"/>
        <v>44.36</v>
      </c>
      <c r="R497">
        <f t="shared" si="65"/>
        <v>15.07</v>
      </c>
      <c r="S497">
        <f t="shared" si="66"/>
        <v>1.31</v>
      </c>
      <c r="T497" t="str">
        <f t="shared" si="67"/>
        <v>Delayed</v>
      </c>
      <c r="U497" t="str">
        <f t="shared" si="68"/>
        <v>Medium</v>
      </c>
      <c r="V497" t="str">
        <f t="shared" si="69"/>
        <v>High Risk</v>
      </c>
      <c r="W497" t="str">
        <f t="shared" si="70"/>
        <v>Aug</v>
      </c>
      <c r="X497">
        <f t="shared" si="71"/>
        <v>2025</v>
      </c>
    </row>
    <row r="498" spans="1:24" x14ac:dyDescent="0.35">
      <c r="A498" s="3">
        <v>45881</v>
      </c>
      <c r="B498" t="s">
        <v>129</v>
      </c>
      <c r="C498" t="s">
        <v>95</v>
      </c>
      <c r="D498" t="s">
        <v>644</v>
      </c>
      <c r="E498" t="s">
        <v>28</v>
      </c>
      <c r="F498" t="s">
        <v>48</v>
      </c>
      <c r="G498" t="s">
        <v>29</v>
      </c>
      <c r="H498">
        <v>26.7</v>
      </c>
      <c r="I498">
        <v>4185</v>
      </c>
      <c r="J498">
        <v>76</v>
      </c>
      <c r="K498">
        <v>10.4</v>
      </c>
      <c r="L498" t="s">
        <v>78</v>
      </c>
      <c r="M498">
        <v>12055.41</v>
      </c>
      <c r="N498">
        <v>28093</v>
      </c>
      <c r="O498" t="s">
        <v>50</v>
      </c>
      <c r="P498" t="str">
        <f t="shared" si="63"/>
        <v>No</v>
      </c>
      <c r="Q498">
        <f t="shared" si="64"/>
        <v>156.74</v>
      </c>
      <c r="R498">
        <f t="shared" si="65"/>
        <v>2.88</v>
      </c>
      <c r="S498">
        <f t="shared" si="66"/>
        <v>0.43</v>
      </c>
      <c r="T498" t="str">
        <f t="shared" si="67"/>
        <v>On Time</v>
      </c>
      <c r="U498" t="str">
        <f t="shared" si="68"/>
        <v>Low</v>
      </c>
      <c r="V498" t="str">
        <f t="shared" si="69"/>
        <v>Low Risk</v>
      </c>
      <c r="W498" t="str">
        <f t="shared" si="70"/>
        <v>Aug</v>
      </c>
      <c r="X498">
        <f t="shared" si="71"/>
        <v>2025</v>
      </c>
    </row>
    <row r="499" spans="1:24" x14ac:dyDescent="0.35">
      <c r="A499" s="3">
        <v>45919</v>
      </c>
      <c r="B499" t="s">
        <v>159</v>
      </c>
      <c r="C499" t="s">
        <v>25</v>
      </c>
      <c r="D499" t="s">
        <v>645</v>
      </c>
      <c r="E499" t="s">
        <v>63</v>
      </c>
      <c r="F499" t="s">
        <v>48</v>
      </c>
      <c r="G499" t="s">
        <v>71</v>
      </c>
      <c r="H499">
        <v>23.5</v>
      </c>
      <c r="I499">
        <v>4879</v>
      </c>
      <c r="J499">
        <v>103</v>
      </c>
      <c r="K499">
        <v>18.5</v>
      </c>
      <c r="L499" t="s">
        <v>43</v>
      </c>
      <c r="M499">
        <v>13626.11</v>
      </c>
      <c r="N499">
        <v>9325</v>
      </c>
      <c r="O499" t="s">
        <v>36</v>
      </c>
      <c r="P499" t="str">
        <f t="shared" si="63"/>
        <v>Yes</v>
      </c>
      <c r="Q499">
        <f t="shared" si="64"/>
        <v>207.62</v>
      </c>
      <c r="R499">
        <f t="shared" si="65"/>
        <v>2.79</v>
      </c>
      <c r="S499">
        <f t="shared" si="66"/>
        <v>1.46</v>
      </c>
      <c r="T499" t="str">
        <f t="shared" si="67"/>
        <v>Delayed</v>
      </c>
      <c r="U499" t="str">
        <f t="shared" si="68"/>
        <v>Low</v>
      </c>
      <c r="V499" t="str">
        <f t="shared" si="69"/>
        <v>Low Risk</v>
      </c>
      <c r="W499" t="str">
        <f t="shared" si="70"/>
        <v>Sep</v>
      </c>
      <c r="X499">
        <f t="shared" si="71"/>
        <v>2025</v>
      </c>
    </row>
    <row r="500" spans="1:24" x14ac:dyDescent="0.35">
      <c r="A500" s="3">
        <v>45716</v>
      </c>
      <c r="B500" t="s">
        <v>92</v>
      </c>
      <c r="C500" t="s">
        <v>95</v>
      </c>
      <c r="D500" t="s">
        <v>646</v>
      </c>
      <c r="E500" t="s">
        <v>27</v>
      </c>
      <c r="F500" t="s">
        <v>54</v>
      </c>
      <c r="G500" t="s">
        <v>29</v>
      </c>
      <c r="H500">
        <v>49.7</v>
      </c>
      <c r="I500">
        <v>3501</v>
      </c>
      <c r="J500">
        <v>107</v>
      </c>
      <c r="K500">
        <v>10.5</v>
      </c>
      <c r="L500" t="s">
        <v>30</v>
      </c>
      <c r="M500">
        <v>25884.97</v>
      </c>
      <c r="N500">
        <v>25822</v>
      </c>
      <c r="O500" t="s">
        <v>59</v>
      </c>
      <c r="P500" t="str">
        <f t="shared" si="63"/>
        <v>Yes</v>
      </c>
      <c r="Q500">
        <f t="shared" si="64"/>
        <v>70.44</v>
      </c>
      <c r="R500">
        <f t="shared" si="65"/>
        <v>7.39</v>
      </c>
      <c r="S500">
        <f t="shared" si="66"/>
        <v>1</v>
      </c>
      <c r="T500" t="str">
        <f t="shared" si="67"/>
        <v>Delayed</v>
      </c>
      <c r="U500" t="str">
        <f t="shared" si="68"/>
        <v>Medium</v>
      </c>
      <c r="V500" t="str">
        <f t="shared" si="69"/>
        <v>Medium Risk</v>
      </c>
      <c r="W500" t="str">
        <f t="shared" si="70"/>
        <v>Feb</v>
      </c>
      <c r="X500">
        <f t="shared" si="71"/>
        <v>2025</v>
      </c>
    </row>
    <row r="501" spans="1:24" x14ac:dyDescent="0.35">
      <c r="A501" s="3">
        <v>45732</v>
      </c>
      <c r="B501" t="s">
        <v>165</v>
      </c>
      <c r="C501" t="s">
        <v>130</v>
      </c>
      <c r="D501" t="s">
        <v>647</v>
      </c>
      <c r="E501" t="s">
        <v>54</v>
      </c>
      <c r="F501" t="s">
        <v>28</v>
      </c>
      <c r="G501" t="s">
        <v>35</v>
      </c>
      <c r="H501">
        <v>48</v>
      </c>
      <c r="I501">
        <v>3249</v>
      </c>
      <c r="J501">
        <v>44</v>
      </c>
      <c r="K501">
        <v>17.600000000000001</v>
      </c>
      <c r="L501" t="s">
        <v>49</v>
      </c>
      <c r="M501">
        <v>23166.42</v>
      </c>
      <c r="N501">
        <v>11990</v>
      </c>
      <c r="O501" t="s">
        <v>84</v>
      </c>
      <c r="P501" t="str">
        <f t="shared" si="63"/>
        <v>Yes</v>
      </c>
      <c r="Q501">
        <f t="shared" si="64"/>
        <v>67.69</v>
      </c>
      <c r="R501">
        <f t="shared" si="65"/>
        <v>7.13</v>
      </c>
      <c r="S501">
        <f t="shared" si="66"/>
        <v>1.93</v>
      </c>
      <c r="T501" t="str">
        <f t="shared" si="67"/>
        <v>Delayed</v>
      </c>
      <c r="U501" t="str">
        <f t="shared" si="68"/>
        <v>Medium</v>
      </c>
      <c r="V501" t="str">
        <f t="shared" si="69"/>
        <v>High Risk</v>
      </c>
      <c r="W501" t="str">
        <f t="shared" si="70"/>
        <v>Mar</v>
      </c>
      <c r="X501">
        <f t="shared" si="71"/>
        <v>2025</v>
      </c>
    </row>
    <row r="502" spans="1:24" x14ac:dyDescent="0.35">
      <c r="A502" s="3">
        <v>45848</v>
      </c>
      <c r="B502" t="s">
        <v>111</v>
      </c>
      <c r="C502" t="s">
        <v>109</v>
      </c>
      <c r="D502" t="s">
        <v>648</v>
      </c>
      <c r="E502" t="s">
        <v>41</v>
      </c>
      <c r="F502" t="s">
        <v>27</v>
      </c>
      <c r="G502" t="s">
        <v>71</v>
      </c>
      <c r="H502">
        <v>38.1</v>
      </c>
      <c r="I502">
        <v>3907</v>
      </c>
      <c r="J502">
        <v>106</v>
      </c>
      <c r="K502">
        <v>14.5</v>
      </c>
      <c r="L502" t="s">
        <v>30</v>
      </c>
      <c r="M502">
        <v>20126.03</v>
      </c>
      <c r="N502">
        <v>20961</v>
      </c>
      <c r="O502" t="s">
        <v>44</v>
      </c>
      <c r="P502" t="str">
        <f t="shared" si="63"/>
        <v>Yes</v>
      </c>
      <c r="Q502">
        <f t="shared" si="64"/>
        <v>102.55</v>
      </c>
      <c r="R502">
        <f t="shared" si="65"/>
        <v>5.15</v>
      </c>
      <c r="S502">
        <f t="shared" si="66"/>
        <v>0.96</v>
      </c>
      <c r="T502" t="str">
        <f t="shared" si="67"/>
        <v>Delayed</v>
      </c>
      <c r="U502" t="str">
        <f t="shared" si="68"/>
        <v>Low</v>
      </c>
      <c r="V502" t="str">
        <f t="shared" si="69"/>
        <v>Medium Risk</v>
      </c>
      <c r="W502" t="str">
        <f t="shared" si="70"/>
        <v>Jul</v>
      </c>
      <c r="X502">
        <f t="shared" si="71"/>
        <v>2025</v>
      </c>
    </row>
    <row r="503" spans="1:24" x14ac:dyDescent="0.35">
      <c r="A503" s="3">
        <v>45669</v>
      </c>
      <c r="B503" t="s">
        <v>256</v>
      </c>
      <c r="C503" t="s">
        <v>52</v>
      </c>
      <c r="D503" t="s">
        <v>649</v>
      </c>
      <c r="E503" t="s">
        <v>66</v>
      </c>
      <c r="F503" t="s">
        <v>41</v>
      </c>
      <c r="G503" t="s">
        <v>42</v>
      </c>
      <c r="H503">
        <v>51.3</v>
      </c>
      <c r="I503">
        <v>4477</v>
      </c>
      <c r="J503">
        <v>50</v>
      </c>
      <c r="K503">
        <v>10.199999999999999</v>
      </c>
      <c r="L503" t="s">
        <v>49</v>
      </c>
      <c r="M503">
        <v>27607.79</v>
      </c>
      <c r="N503">
        <v>16890</v>
      </c>
      <c r="O503" t="s">
        <v>50</v>
      </c>
      <c r="P503" t="str">
        <f t="shared" si="63"/>
        <v>Yes</v>
      </c>
      <c r="Q503">
        <f t="shared" si="64"/>
        <v>87.27</v>
      </c>
      <c r="R503">
        <f t="shared" si="65"/>
        <v>6.17</v>
      </c>
      <c r="S503">
        <f t="shared" si="66"/>
        <v>1.63</v>
      </c>
      <c r="T503" t="str">
        <f t="shared" si="67"/>
        <v>Delayed</v>
      </c>
      <c r="U503" t="str">
        <f t="shared" si="68"/>
        <v>Medium</v>
      </c>
      <c r="V503" t="str">
        <f t="shared" si="69"/>
        <v>High Risk</v>
      </c>
      <c r="W503" t="str">
        <f t="shared" si="70"/>
        <v>Jan</v>
      </c>
      <c r="X503">
        <f t="shared" si="71"/>
        <v>2025</v>
      </c>
    </row>
    <row r="504" spans="1:24" x14ac:dyDescent="0.35">
      <c r="A504" s="3">
        <v>45975</v>
      </c>
      <c r="B504" t="s">
        <v>300</v>
      </c>
      <c r="C504" t="s">
        <v>130</v>
      </c>
      <c r="D504" t="s">
        <v>650</v>
      </c>
      <c r="E504" t="s">
        <v>27</v>
      </c>
      <c r="F504" t="s">
        <v>63</v>
      </c>
      <c r="G504" t="s">
        <v>35</v>
      </c>
      <c r="H504">
        <v>64.3</v>
      </c>
      <c r="I504">
        <v>4515</v>
      </c>
      <c r="J504">
        <v>87</v>
      </c>
      <c r="K504">
        <v>13</v>
      </c>
      <c r="L504" t="s">
        <v>30</v>
      </c>
      <c r="M504">
        <v>36770.14</v>
      </c>
      <c r="N504">
        <v>16466</v>
      </c>
      <c r="O504" t="s">
        <v>44</v>
      </c>
      <c r="P504" t="str">
        <f t="shared" si="63"/>
        <v>Yes</v>
      </c>
      <c r="Q504">
        <f t="shared" si="64"/>
        <v>70.22</v>
      </c>
      <c r="R504">
        <f t="shared" si="65"/>
        <v>8.14</v>
      </c>
      <c r="S504">
        <f t="shared" si="66"/>
        <v>2.23</v>
      </c>
      <c r="T504" t="str">
        <f t="shared" si="67"/>
        <v>Delayed</v>
      </c>
      <c r="U504" t="str">
        <f t="shared" si="68"/>
        <v>High</v>
      </c>
      <c r="V504" t="str">
        <f t="shared" si="69"/>
        <v>Medium Risk</v>
      </c>
      <c r="W504" t="str">
        <f t="shared" si="70"/>
        <v>Nov</v>
      </c>
      <c r="X504">
        <f t="shared" si="71"/>
        <v>2025</v>
      </c>
    </row>
    <row r="505" spans="1:24" x14ac:dyDescent="0.35">
      <c r="A505" s="3">
        <v>45747</v>
      </c>
      <c r="B505" t="s">
        <v>430</v>
      </c>
      <c r="C505" t="s">
        <v>130</v>
      </c>
      <c r="D505" t="s">
        <v>651</v>
      </c>
      <c r="E505" t="s">
        <v>66</v>
      </c>
      <c r="F505" t="s">
        <v>48</v>
      </c>
      <c r="G505" t="s">
        <v>42</v>
      </c>
      <c r="H505">
        <v>63.2</v>
      </c>
      <c r="I505">
        <v>1567</v>
      </c>
      <c r="J505">
        <v>118</v>
      </c>
      <c r="K505">
        <v>16.5</v>
      </c>
      <c r="L505" t="s">
        <v>78</v>
      </c>
      <c r="M505">
        <v>36235.85</v>
      </c>
      <c r="N505">
        <v>17039</v>
      </c>
      <c r="O505" t="s">
        <v>67</v>
      </c>
      <c r="P505" t="str">
        <f t="shared" si="63"/>
        <v>No</v>
      </c>
      <c r="Q505">
        <f t="shared" si="64"/>
        <v>24.79</v>
      </c>
      <c r="R505">
        <f t="shared" si="65"/>
        <v>23.12</v>
      </c>
      <c r="S505">
        <f t="shared" si="66"/>
        <v>2.13</v>
      </c>
      <c r="T505" t="str">
        <f t="shared" si="67"/>
        <v>On Time</v>
      </c>
      <c r="U505" t="str">
        <f t="shared" si="68"/>
        <v>High</v>
      </c>
      <c r="V505" t="str">
        <f t="shared" si="69"/>
        <v>Low Risk</v>
      </c>
      <c r="W505" t="str">
        <f t="shared" si="70"/>
        <v>Mar</v>
      </c>
      <c r="X505">
        <f t="shared" si="71"/>
        <v>2025</v>
      </c>
    </row>
    <row r="506" spans="1:24" x14ac:dyDescent="0.35">
      <c r="A506" s="3">
        <v>45923</v>
      </c>
      <c r="B506" t="s">
        <v>157</v>
      </c>
      <c r="C506" t="s">
        <v>57</v>
      </c>
      <c r="D506" t="s">
        <v>652</v>
      </c>
      <c r="E506" t="s">
        <v>27</v>
      </c>
      <c r="F506" t="s">
        <v>63</v>
      </c>
      <c r="G506" t="s">
        <v>71</v>
      </c>
      <c r="H506">
        <v>56</v>
      </c>
      <c r="I506">
        <v>4603</v>
      </c>
      <c r="J506">
        <v>56</v>
      </c>
      <c r="K506">
        <v>10.6</v>
      </c>
      <c r="L506" t="s">
        <v>49</v>
      </c>
      <c r="M506">
        <v>38436.25</v>
      </c>
      <c r="N506">
        <v>8207</v>
      </c>
      <c r="O506" t="s">
        <v>67</v>
      </c>
      <c r="P506" t="str">
        <f t="shared" si="63"/>
        <v>Yes</v>
      </c>
      <c r="Q506">
        <f t="shared" si="64"/>
        <v>82.2</v>
      </c>
      <c r="R506">
        <f t="shared" si="65"/>
        <v>8.35</v>
      </c>
      <c r="S506">
        <f t="shared" si="66"/>
        <v>4.68</v>
      </c>
      <c r="T506" t="str">
        <f t="shared" si="67"/>
        <v>Delayed</v>
      </c>
      <c r="U506" t="str">
        <f t="shared" si="68"/>
        <v>Medium</v>
      </c>
      <c r="V506" t="str">
        <f t="shared" si="69"/>
        <v>High Risk</v>
      </c>
      <c r="W506" t="str">
        <f t="shared" si="70"/>
        <v>Sep</v>
      </c>
      <c r="X506">
        <f t="shared" si="71"/>
        <v>2025</v>
      </c>
    </row>
    <row r="507" spans="1:24" x14ac:dyDescent="0.35">
      <c r="A507" s="3">
        <v>45808</v>
      </c>
      <c r="B507" t="s">
        <v>61</v>
      </c>
      <c r="C507" t="s">
        <v>69</v>
      </c>
      <c r="D507" t="s">
        <v>653</v>
      </c>
      <c r="E507" t="s">
        <v>28</v>
      </c>
      <c r="F507" t="s">
        <v>48</v>
      </c>
      <c r="G507" t="s">
        <v>29</v>
      </c>
      <c r="H507">
        <v>44.9</v>
      </c>
      <c r="I507">
        <v>904</v>
      </c>
      <c r="J507">
        <v>23</v>
      </c>
      <c r="K507">
        <v>12.1</v>
      </c>
      <c r="L507" t="s">
        <v>30</v>
      </c>
      <c r="M507">
        <v>26837.66</v>
      </c>
      <c r="N507">
        <v>6766</v>
      </c>
      <c r="O507" t="s">
        <v>59</v>
      </c>
      <c r="P507" t="str">
        <f t="shared" si="63"/>
        <v>Yes</v>
      </c>
      <c r="Q507">
        <f t="shared" si="64"/>
        <v>20.13</v>
      </c>
      <c r="R507">
        <f t="shared" si="65"/>
        <v>29.69</v>
      </c>
      <c r="S507">
        <f t="shared" si="66"/>
        <v>3.97</v>
      </c>
      <c r="T507" t="str">
        <f t="shared" si="67"/>
        <v>Delayed</v>
      </c>
      <c r="U507" t="str">
        <f t="shared" si="68"/>
        <v>Medium</v>
      </c>
      <c r="V507" t="str">
        <f t="shared" si="69"/>
        <v>Medium Risk</v>
      </c>
      <c r="W507" t="str">
        <f t="shared" si="70"/>
        <v>May</v>
      </c>
      <c r="X507">
        <f t="shared" si="71"/>
        <v>2025</v>
      </c>
    </row>
    <row r="508" spans="1:24" x14ac:dyDescent="0.35">
      <c r="A508" s="3">
        <v>45734</v>
      </c>
      <c r="B508" t="s">
        <v>157</v>
      </c>
      <c r="C508" t="s">
        <v>57</v>
      </c>
      <c r="D508" t="s">
        <v>654</v>
      </c>
      <c r="E508" t="s">
        <v>55</v>
      </c>
      <c r="F508" t="s">
        <v>48</v>
      </c>
      <c r="G508" t="s">
        <v>35</v>
      </c>
      <c r="H508">
        <v>23.5</v>
      </c>
      <c r="I508">
        <v>3294</v>
      </c>
      <c r="J508">
        <v>92</v>
      </c>
      <c r="K508">
        <v>20.3</v>
      </c>
      <c r="L508" t="s">
        <v>30</v>
      </c>
      <c r="M508">
        <v>13214.65</v>
      </c>
      <c r="N508">
        <v>12697</v>
      </c>
      <c r="O508" t="s">
        <v>44</v>
      </c>
      <c r="P508" t="str">
        <f t="shared" si="63"/>
        <v>Yes</v>
      </c>
      <c r="Q508">
        <f t="shared" si="64"/>
        <v>140.16999999999999</v>
      </c>
      <c r="R508">
        <f t="shared" si="65"/>
        <v>4.01</v>
      </c>
      <c r="S508">
        <f t="shared" si="66"/>
        <v>1.04</v>
      </c>
      <c r="T508" t="str">
        <f t="shared" si="67"/>
        <v>Delayed</v>
      </c>
      <c r="U508" t="str">
        <f t="shared" si="68"/>
        <v>Low</v>
      </c>
      <c r="V508" t="str">
        <f t="shared" si="69"/>
        <v>Medium Risk</v>
      </c>
      <c r="W508" t="str">
        <f t="shared" si="70"/>
        <v>Mar</v>
      </c>
      <c r="X508">
        <f t="shared" si="71"/>
        <v>2025</v>
      </c>
    </row>
    <row r="509" spans="1:24" x14ac:dyDescent="0.35">
      <c r="A509" s="3">
        <v>45940</v>
      </c>
      <c r="B509" t="s">
        <v>104</v>
      </c>
      <c r="C509" t="s">
        <v>52</v>
      </c>
      <c r="D509" t="s">
        <v>655</v>
      </c>
      <c r="E509" t="s">
        <v>48</v>
      </c>
      <c r="F509" t="s">
        <v>27</v>
      </c>
      <c r="G509" t="s">
        <v>35</v>
      </c>
      <c r="H509">
        <v>20.8</v>
      </c>
      <c r="I509">
        <v>4022</v>
      </c>
      <c r="J509">
        <v>31</v>
      </c>
      <c r="K509">
        <v>15.3</v>
      </c>
      <c r="L509" t="s">
        <v>78</v>
      </c>
      <c r="M509">
        <v>11927</v>
      </c>
      <c r="N509">
        <v>24297</v>
      </c>
      <c r="O509" t="s">
        <v>91</v>
      </c>
      <c r="P509" t="str">
        <f t="shared" si="63"/>
        <v>No</v>
      </c>
      <c r="Q509">
        <f t="shared" si="64"/>
        <v>193.37</v>
      </c>
      <c r="R509">
        <f t="shared" si="65"/>
        <v>2.97</v>
      </c>
      <c r="S509">
        <f t="shared" si="66"/>
        <v>0.49</v>
      </c>
      <c r="T509" t="str">
        <f t="shared" si="67"/>
        <v>On Time</v>
      </c>
      <c r="U509" t="str">
        <f t="shared" si="68"/>
        <v>Low</v>
      </c>
      <c r="V509" t="str">
        <f t="shared" si="69"/>
        <v>Low Risk</v>
      </c>
      <c r="W509" t="str">
        <f t="shared" si="70"/>
        <v>Oct</v>
      </c>
      <c r="X509">
        <f t="shared" si="71"/>
        <v>2025</v>
      </c>
    </row>
    <row r="510" spans="1:24" x14ac:dyDescent="0.35">
      <c r="A510" s="3">
        <v>45931</v>
      </c>
      <c r="B510" t="s">
        <v>300</v>
      </c>
      <c r="C510" t="s">
        <v>52</v>
      </c>
      <c r="D510" t="s">
        <v>656</v>
      </c>
      <c r="E510" t="s">
        <v>66</v>
      </c>
      <c r="F510" t="s">
        <v>54</v>
      </c>
      <c r="G510" t="s">
        <v>71</v>
      </c>
      <c r="H510">
        <v>31.7</v>
      </c>
      <c r="I510">
        <v>1540</v>
      </c>
      <c r="J510">
        <v>73</v>
      </c>
      <c r="K510">
        <v>15.7</v>
      </c>
      <c r="L510" t="s">
        <v>49</v>
      </c>
      <c r="M510">
        <v>21637.15</v>
      </c>
      <c r="N510">
        <v>8404</v>
      </c>
      <c r="O510" t="s">
        <v>36</v>
      </c>
      <c r="P510" t="str">
        <f t="shared" si="63"/>
        <v>Yes</v>
      </c>
      <c r="Q510">
        <f t="shared" si="64"/>
        <v>48.58</v>
      </c>
      <c r="R510">
        <f t="shared" si="65"/>
        <v>14.05</v>
      </c>
      <c r="S510">
        <f t="shared" si="66"/>
        <v>2.57</v>
      </c>
      <c r="T510" t="str">
        <f t="shared" si="67"/>
        <v>Delayed</v>
      </c>
      <c r="U510" t="str">
        <f t="shared" si="68"/>
        <v>Low</v>
      </c>
      <c r="V510" t="str">
        <f t="shared" si="69"/>
        <v>High Risk</v>
      </c>
      <c r="W510" t="str">
        <f t="shared" si="70"/>
        <v>Oct</v>
      </c>
      <c r="X510">
        <f t="shared" si="71"/>
        <v>2025</v>
      </c>
    </row>
    <row r="511" spans="1:24" x14ac:dyDescent="0.35">
      <c r="A511" s="3">
        <v>45666</v>
      </c>
      <c r="B511" t="s">
        <v>173</v>
      </c>
      <c r="C511" t="s">
        <v>57</v>
      </c>
      <c r="D511" t="s">
        <v>657</v>
      </c>
      <c r="E511" t="s">
        <v>54</v>
      </c>
      <c r="F511" t="s">
        <v>66</v>
      </c>
      <c r="G511" t="s">
        <v>29</v>
      </c>
      <c r="H511">
        <v>36.1</v>
      </c>
      <c r="I511">
        <v>3980</v>
      </c>
      <c r="J511">
        <v>44</v>
      </c>
      <c r="K511">
        <v>14.4</v>
      </c>
      <c r="L511" t="s">
        <v>78</v>
      </c>
      <c r="M511">
        <v>20953.939999999999</v>
      </c>
      <c r="N511">
        <v>13053</v>
      </c>
      <c r="O511" t="s">
        <v>50</v>
      </c>
      <c r="P511" t="str">
        <f t="shared" si="63"/>
        <v>No</v>
      </c>
      <c r="Q511">
        <f t="shared" si="64"/>
        <v>110.25</v>
      </c>
      <c r="R511">
        <f t="shared" si="65"/>
        <v>5.26</v>
      </c>
      <c r="S511">
        <f t="shared" si="66"/>
        <v>1.61</v>
      </c>
      <c r="T511" t="str">
        <f t="shared" si="67"/>
        <v>On Time</v>
      </c>
      <c r="U511" t="str">
        <f t="shared" si="68"/>
        <v>Low</v>
      </c>
      <c r="V511" t="str">
        <f t="shared" si="69"/>
        <v>Low Risk</v>
      </c>
      <c r="W511" t="str">
        <f t="shared" si="70"/>
        <v>Jan</v>
      </c>
      <c r="X511">
        <f t="shared" si="71"/>
        <v>2025</v>
      </c>
    </row>
    <row r="512" spans="1:24" x14ac:dyDescent="0.35">
      <c r="A512" s="3">
        <v>45775</v>
      </c>
      <c r="B512" t="s">
        <v>127</v>
      </c>
      <c r="C512" t="s">
        <v>57</v>
      </c>
      <c r="D512" t="s">
        <v>658</v>
      </c>
      <c r="E512" t="s">
        <v>28</v>
      </c>
      <c r="F512" t="s">
        <v>27</v>
      </c>
      <c r="G512" t="s">
        <v>29</v>
      </c>
      <c r="H512">
        <v>56.5</v>
      </c>
      <c r="I512">
        <v>1123</v>
      </c>
      <c r="J512">
        <v>66</v>
      </c>
      <c r="K512">
        <v>10.7</v>
      </c>
      <c r="L512" t="s">
        <v>78</v>
      </c>
      <c r="M512">
        <v>36093.589999999997</v>
      </c>
      <c r="N512">
        <v>12694</v>
      </c>
      <c r="O512" t="s">
        <v>44</v>
      </c>
      <c r="P512" t="str">
        <f t="shared" si="63"/>
        <v>No</v>
      </c>
      <c r="Q512">
        <f t="shared" si="64"/>
        <v>19.88</v>
      </c>
      <c r="R512">
        <f t="shared" si="65"/>
        <v>32.14</v>
      </c>
      <c r="S512">
        <f t="shared" si="66"/>
        <v>2.84</v>
      </c>
      <c r="T512" t="str">
        <f t="shared" si="67"/>
        <v>On Time</v>
      </c>
      <c r="U512" t="str">
        <f t="shared" si="68"/>
        <v>Medium</v>
      </c>
      <c r="V512" t="str">
        <f t="shared" si="69"/>
        <v>Low Risk</v>
      </c>
      <c r="W512" t="str">
        <f t="shared" si="70"/>
        <v>Apr</v>
      </c>
      <c r="X512">
        <f t="shared" si="71"/>
        <v>2025</v>
      </c>
    </row>
    <row r="513" spans="1:24" x14ac:dyDescent="0.35">
      <c r="A513" s="3">
        <v>45812</v>
      </c>
      <c r="B513" t="s">
        <v>236</v>
      </c>
      <c r="C513" t="s">
        <v>39</v>
      </c>
      <c r="D513" t="s">
        <v>659</v>
      </c>
      <c r="E513" t="s">
        <v>41</v>
      </c>
      <c r="F513" t="s">
        <v>55</v>
      </c>
      <c r="G513" t="s">
        <v>42</v>
      </c>
      <c r="H513">
        <v>35.6</v>
      </c>
      <c r="I513">
        <v>1099</v>
      </c>
      <c r="J513">
        <v>24</v>
      </c>
      <c r="K513">
        <v>14.2</v>
      </c>
      <c r="L513" t="s">
        <v>30</v>
      </c>
      <c r="M513">
        <v>24822.12</v>
      </c>
      <c r="N513">
        <v>7979</v>
      </c>
      <c r="O513" t="s">
        <v>50</v>
      </c>
      <c r="P513" t="str">
        <f t="shared" si="63"/>
        <v>Yes</v>
      </c>
      <c r="Q513">
        <f t="shared" si="64"/>
        <v>30.87</v>
      </c>
      <c r="R513">
        <f t="shared" si="65"/>
        <v>22.59</v>
      </c>
      <c r="S513">
        <f t="shared" si="66"/>
        <v>3.11</v>
      </c>
      <c r="T513" t="str">
        <f t="shared" si="67"/>
        <v>Delayed</v>
      </c>
      <c r="U513" t="str">
        <f t="shared" si="68"/>
        <v>Low</v>
      </c>
      <c r="V513" t="str">
        <f t="shared" si="69"/>
        <v>Medium Risk</v>
      </c>
      <c r="W513" t="str">
        <f t="shared" si="70"/>
        <v>Jun</v>
      </c>
      <c r="X513">
        <f t="shared" si="71"/>
        <v>2025</v>
      </c>
    </row>
    <row r="514" spans="1:24" x14ac:dyDescent="0.35">
      <c r="A514" s="3">
        <v>45703</v>
      </c>
      <c r="B514" t="s">
        <v>275</v>
      </c>
      <c r="C514" t="s">
        <v>57</v>
      </c>
      <c r="D514" t="s">
        <v>660</v>
      </c>
      <c r="E514" t="s">
        <v>55</v>
      </c>
      <c r="F514" t="s">
        <v>63</v>
      </c>
      <c r="G514" t="s">
        <v>71</v>
      </c>
      <c r="H514">
        <v>47.5</v>
      </c>
      <c r="I514">
        <v>4267</v>
      </c>
      <c r="J514">
        <v>42</v>
      </c>
      <c r="K514">
        <v>14.9</v>
      </c>
      <c r="L514" t="s">
        <v>30</v>
      </c>
      <c r="M514">
        <v>28299.84</v>
      </c>
      <c r="N514">
        <v>28923</v>
      </c>
      <c r="O514" t="s">
        <v>91</v>
      </c>
      <c r="P514" t="str">
        <f t="shared" ref="P514:P577" si="72">IF(OR(L514="Rain",L514="Fog",L514="Storm"),"Yes","No")</f>
        <v>Yes</v>
      </c>
      <c r="Q514">
        <f t="shared" ref="Q514:Q577" si="73">ROUND(I514/H514,2)</f>
        <v>89.83</v>
      </c>
      <c r="R514">
        <f t="shared" ref="R514:R577" si="74">ROUND(M514/I514,2)</f>
        <v>6.63</v>
      </c>
      <c r="S514">
        <f t="shared" ref="S514:S577" si="75">ROUND(M514/N514,2)</f>
        <v>0.98</v>
      </c>
      <c r="T514" t="str">
        <f t="shared" ref="T514:T577" si="76">IF(P514="Yes","Delayed","On Time")</f>
        <v>Delayed</v>
      </c>
      <c r="U514" t="str">
        <f t="shared" ref="U514:U577" si="77">IF(H514&gt;=60,"High",IF(H514&gt;=40,"Medium","Low"))</f>
        <v>Medium</v>
      </c>
      <c r="V514" t="str">
        <f t="shared" ref="V514:V577" si="78">IF(L514="Storm","High Risk",IF(L514="Rain","Medium Risk","Low Risk"))</f>
        <v>Medium Risk</v>
      </c>
      <c r="W514" t="str">
        <f t="shared" ref="W514:W577" si="79">TEXT(A514,"mmm")</f>
        <v>Feb</v>
      </c>
      <c r="X514">
        <f t="shared" si="71"/>
        <v>2025</v>
      </c>
    </row>
    <row r="515" spans="1:24" x14ac:dyDescent="0.35">
      <c r="A515" s="3">
        <v>45842</v>
      </c>
      <c r="B515" t="s">
        <v>113</v>
      </c>
      <c r="C515" t="s">
        <v>69</v>
      </c>
      <c r="D515" t="s">
        <v>661</v>
      </c>
      <c r="E515" t="s">
        <v>28</v>
      </c>
      <c r="F515" t="s">
        <v>55</v>
      </c>
      <c r="G515" t="s">
        <v>71</v>
      </c>
      <c r="H515">
        <v>27.6</v>
      </c>
      <c r="I515">
        <v>2902</v>
      </c>
      <c r="J515">
        <v>88</v>
      </c>
      <c r="K515">
        <v>12.9</v>
      </c>
      <c r="L515" t="s">
        <v>78</v>
      </c>
      <c r="M515">
        <v>17648.27</v>
      </c>
      <c r="N515">
        <v>17174</v>
      </c>
      <c r="O515" t="s">
        <v>44</v>
      </c>
      <c r="P515" t="str">
        <f t="shared" si="72"/>
        <v>No</v>
      </c>
      <c r="Q515">
        <f t="shared" si="73"/>
        <v>105.14</v>
      </c>
      <c r="R515">
        <f t="shared" si="74"/>
        <v>6.08</v>
      </c>
      <c r="S515">
        <f t="shared" si="75"/>
        <v>1.03</v>
      </c>
      <c r="T515" t="str">
        <f t="shared" si="76"/>
        <v>On Time</v>
      </c>
      <c r="U515" t="str">
        <f t="shared" si="77"/>
        <v>Low</v>
      </c>
      <c r="V515" t="str">
        <f t="shared" si="78"/>
        <v>Low Risk</v>
      </c>
      <c r="W515" t="str">
        <f t="shared" si="79"/>
        <v>Jul</v>
      </c>
      <c r="X515">
        <f t="shared" ref="X515:X578" si="80">YEAR(A515)</f>
        <v>2025</v>
      </c>
    </row>
    <row r="516" spans="1:24" x14ac:dyDescent="0.35">
      <c r="A516" s="3">
        <v>45677</v>
      </c>
      <c r="B516" t="s">
        <v>190</v>
      </c>
      <c r="C516" t="s">
        <v>39</v>
      </c>
      <c r="D516" t="s">
        <v>662</v>
      </c>
      <c r="E516" t="s">
        <v>66</v>
      </c>
      <c r="F516" t="s">
        <v>55</v>
      </c>
      <c r="G516" t="s">
        <v>71</v>
      </c>
      <c r="H516">
        <v>62.2</v>
      </c>
      <c r="I516">
        <v>4126</v>
      </c>
      <c r="J516">
        <v>27</v>
      </c>
      <c r="K516">
        <v>10.7</v>
      </c>
      <c r="L516" t="s">
        <v>49</v>
      </c>
      <c r="M516">
        <v>31142.49</v>
      </c>
      <c r="N516">
        <v>25259</v>
      </c>
      <c r="O516" t="s">
        <v>44</v>
      </c>
      <c r="P516" t="str">
        <f t="shared" si="72"/>
        <v>Yes</v>
      </c>
      <c r="Q516">
        <f t="shared" si="73"/>
        <v>66.33</v>
      </c>
      <c r="R516">
        <f t="shared" si="74"/>
        <v>7.55</v>
      </c>
      <c r="S516">
        <f t="shared" si="75"/>
        <v>1.23</v>
      </c>
      <c r="T516" t="str">
        <f t="shared" si="76"/>
        <v>Delayed</v>
      </c>
      <c r="U516" t="str">
        <f t="shared" si="77"/>
        <v>High</v>
      </c>
      <c r="V516" t="str">
        <f t="shared" si="78"/>
        <v>High Risk</v>
      </c>
      <c r="W516" t="str">
        <f t="shared" si="79"/>
        <v>Jan</v>
      </c>
      <c r="X516">
        <f t="shared" si="80"/>
        <v>2025</v>
      </c>
    </row>
    <row r="517" spans="1:24" x14ac:dyDescent="0.35">
      <c r="A517" s="3">
        <v>45662</v>
      </c>
      <c r="B517" t="s">
        <v>300</v>
      </c>
      <c r="C517" t="s">
        <v>109</v>
      </c>
      <c r="D517" t="s">
        <v>663</v>
      </c>
      <c r="E517" t="s">
        <v>54</v>
      </c>
      <c r="F517" t="s">
        <v>41</v>
      </c>
      <c r="G517" t="s">
        <v>29</v>
      </c>
      <c r="H517">
        <v>40.799999999999997</v>
      </c>
      <c r="I517">
        <v>3007</v>
      </c>
      <c r="J517">
        <v>97</v>
      </c>
      <c r="K517">
        <v>11.4</v>
      </c>
      <c r="L517" t="s">
        <v>78</v>
      </c>
      <c r="M517">
        <v>22986.37</v>
      </c>
      <c r="N517">
        <v>21363</v>
      </c>
      <c r="O517" t="s">
        <v>36</v>
      </c>
      <c r="P517" t="str">
        <f t="shared" si="72"/>
        <v>No</v>
      </c>
      <c r="Q517">
        <f t="shared" si="73"/>
        <v>73.7</v>
      </c>
      <c r="R517">
        <f t="shared" si="74"/>
        <v>7.64</v>
      </c>
      <c r="S517">
        <f t="shared" si="75"/>
        <v>1.08</v>
      </c>
      <c r="T517" t="str">
        <f t="shared" si="76"/>
        <v>On Time</v>
      </c>
      <c r="U517" t="str">
        <f t="shared" si="77"/>
        <v>Medium</v>
      </c>
      <c r="V517" t="str">
        <f t="shared" si="78"/>
        <v>Low Risk</v>
      </c>
      <c r="W517" t="str">
        <f t="shared" si="79"/>
        <v>Jan</v>
      </c>
      <c r="X517">
        <f t="shared" si="80"/>
        <v>2025</v>
      </c>
    </row>
    <row r="518" spans="1:24" x14ac:dyDescent="0.35">
      <c r="A518" s="3">
        <v>45731</v>
      </c>
      <c r="B518" t="s">
        <v>46</v>
      </c>
      <c r="C518" t="s">
        <v>39</v>
      </c>
      <c r="D518" t="s">
        <v>664</v>
      </c>
      <c r="E518" t="s">
        <v>54</v>
      </c>
      <c r="F518" t="s">
        <v>55</v>
      </c>
      <c r="G518" t="s">
        <v>29</v>
      </c>
      <c r="H518">
        <v>28.6</v>
      </c>
      <c r="I518">
        <v>1015</v>
      </c>
      <c r="J518">
        <v>101</v>
      </c>
      <c r="K518">
        <v>14.9</v>
      </c>
      <c r="L518" t="s">
        <v>49</v>
      </c>
      <c r="M518">
        <v>19958.05</v>
      </c>
      <c r="N518">
        <v>8915</v>
      </c>
      <c r="O518" t="s">
        <v>59</v>
      </c>
      <c r="P518" t="str">
        <f t="shared" si="72"/>
        <v>Yes</v>
      </c>
      <c r="Q518">
        <f t="shared" si="73"/>
        <v>35.49</v>
      </c>
      <c r="R518">
        <f t="shared" si="74"/>
        <v>19.66</v>
      </c>
      <c r="S518">
        <f t="shared" si="75"/>
        <v>2.2400000000000002</v>
      </c>
      <c r="T518" t="str">
        <f t="shared" si="76"/>
        <v>Delayed</v>
      </c>
      <c r="U518" t="str">
        <f t="shared" si="77"/>
        <v>Low</v>
      </c>
      <c r="V518" t="str">
        <f t="shared" si="78"/>
        <v>High Risk</v>
      </c>
      <c r="W518" t="str">
        <f t="shared" si="79"/>
        <v>Mar</v>
      </c>
      <c r="X518">
        <f t="shared" si="80"/>
        <v>2025</v>
      </c>
    </row>
    <row r="519" spans="1:24" x14ac:dyDescent="0.35">
      <c r="A519" s="3">
        <v>45876</v>
      </c>
      <c r="B519" t="s">
        <v>167</v>
      </c>
      <c r="C519" t="s">
        <v>39</v>
      </c>
      <c r="D519" t="s">
        <v>665</v>
      </c>
      <c r="E519" t="s">
        <v>28</v>
      </c>
      <c r="F519" t="s">
        <v>41</v>
      </c>
      <c r="G519" t="s">
        <v>35</v>
      </c>
      <c r="H519">
        <v>61.1</v>
      </c>
      <c r="I519">
        <v>3152</v>
      </c>
      <c r="J519">
        <v>69</v>
      </c>
      <c r="K519">
        <v>18.100000000000001</v>
      </c>
      <c r="L519" t="s">
        <v>78</v>
      </c>
      <c r="M519">
        <v>38138.42</v>
      </c>
      <c r="N519">
        <v>21007</v>
      </c>
      <c r="O519" t="s">
        <v>44</v>
      </c>
      <c r="P519" t="str">
        <f t="shared" si="72"/>
        <v>No</v>
      </c>
      <c r="Q519">
        <f t="shared" si="73"/>
        <v>51.59</v>
      </c>
      <c r="R519">
        <f t="shared" si="74"/>
        <v>12.1</v>
      </c>
      <c r="S519">
        <f t="shared" si="75"/>
        <v>1.82</v>
      </c>
      <c r="T519" t="str">
        <f t="shared" si="76"/>
        <v>On Time</v>
      </c>
      <c r="U519" t="str">
        <f t="shared" si="77"/>
        <v>High</v>
      </c>
      <c r="V519" t="str">
        <f t="shared" si="78"/>
        <v>Low Risk</v>
      </c>
      <c r="W519" t="str">
        <f t="shared" si="79"/>
        <v>Aug</v>
      </c>
      <c r="X519">
        <f t="shared" si="80"/>
        <v>2025</v>
      </c>
    </row>
    <row r="520" spans="1:24" x14ac:dyDescent="0.35">
      <c r="A520" s="3">
        <v>45905</v>
      </c>
      <c r="B520" t="s">
        <v>221</v>
      </c>
      <c r="C520" t="s">
        <v>25</v>
      </c>
      <c r="D520" t="s">
        <v>666</v>
      </c>
      <c r="E520" t="s">
        <v>27</v>
      </c>
      <c r="F520" t="s">
        <v>48</v>
      </c>
      <c r="G520" t="s">
        <v>29</v>
      </c>
      <c r="H520">
        <v>25.4</v>
      </c>
      <c r="I520">
        <v>611</v>
      </c>
      <c r="J520">
        <v>26</v>
      </c>
      <c r="K520">
        <v>18.100000000000001</v>
      </c>
      <c r="L520" t="s">
        <v>49</v>
      </c>
      <c r="M520">
        <v>14811.61</v>
      </c>
      <c r="N520">
        <v>22749</v>
      </c>
      <c r="O520" t="s">
        <v>91</v>
      </c>
      <c r="P520" t="str">
        <f t="shared" si="72"/>
        <v>Yes</v>
      </c>
      <c r="Q520">
        <f t="shared" si="73"/>
        <v>24.06</v>
      </c>
      <c r="R520">
        <f t="shared" si="74"/>
        <v>24.24</v>
      </c>
      <c r="S520">
        <f t="shared" si="75"/>
        <v>0.65</v>
      </c>
      <c r="T520" t="str">
        <f t="shared" si="76"/>
        <v>Delayed</v>
      </c>
      <c r="U520" t="str">
        <f t="shared" si="77"/>
        <v>Low</v>
      </c>
      <c r="V520" t="str">
        <f t="shared" si="78"/>
        <v>High Risk</v>
      </c>
      <c r="W520" t="str">
        <f t="shared" si="79"/>
        <v>Sep</v>
      </c>
      <c r="X520">
        <f t="shared" si="80"/>
        <v>2025</v>
      </c>
    </row>
    <row r="521" spans="1:24" x14ac:dyDescent="0.35">
      <c r="A521" s="3">
        <v>45689</v>
      </c>
      <c r="B521" t="s">
        <v>89</v>
      </c>
      <c r="C521" t="s">
        <v>52</v>
      </c>
      <c r="D521" t="s">
        <v>667</v>
      </c>
      <c r="E521" t="s">
        <v>63</v>
      </c>
      <c r="F521" t="s">
        <v>55</v>
      </c>
      <c r="G521" t="s">
        <v>71</v>
      </c>
      <c r="H521">
        <v>25.7</v>
      </c>
      <c r="I521">
        <v>3021</v>
      </c>
      <c r="J521">
        <v>45</v>
      </c>
      <c r="K521">
        <v>11.3</v>
      </c>
      <c r="L521" t="s">
        <v>78</v>
      </c>
      <c r="M521">
        <v>14673.84</v>
      </c>
      <c r="N521">
        <v>13024</v>
      </c>
      <c r="O521" t="s">
        <v>84</v>
      </c>
      <c r="P521" t="str">
        <f t="shared" si="72"/>
        <v>No</v>
      </c>
      <c r="Q521">
        <f t="shared" si="73"/>
        <v>117.55</v>
      </c>
      <c r="R521">
        <f t="shared" si="74"/>
        <v>4.8600000000000003</v>
      </c>
      <c r="S521">
        <f t="shared" si="75"/>
        <v>1.1299999999999999</v>
      </c>
      <c r="T521" t="str">
        <f t="shared" si="76"/>
        <v>On Time</v>
      </c>
      <c r="U521" t="str">
        <f t="shared" si="77"/>
        <v>Low</v>
      </c>
      <c r="V521" t="str">
        <f t="shared" si="78"/>
        <v>Low Risk</v>
      </c>
      <c r="W521" t="str">
        <f t="shared" si="79"/>
        <v>Feb</v>
      </c>
      <c r="X521">
        <f t="shared" si="80"/>
        <v>2025</v>
      </c>
    </row>
    <row r="522" spans="1:24" x14ac:dyDescent="0.35">
      <c r="A522" s="3">
        <v>45665</v>
      </c>
      <c r="B522" t="s">
        <v>118</v>
      </c>
      <c r="C522" t="s">
        <v>39</v>
      </c>
      <c r="D522" t="s">
        <v>668</v>
      </c>
      <c r="E522" t="s">
        <v>28</v>
      </c>
      <c r="F522" t="s">
        <v>66</v>
      </c>
      <c r="G522" t="s">
        <v>29</v>
      </c>
      <c r="H522">
        <v>32.4</v>
      </c>
      <c r="I522">
        <v>4958</v>
      </c>
      <c r="J522">
        <v>75</v>
      </c>
      <c r="K522">
        <v>11.9</v>
      </c>
      <c r="L522" t="s">
        <v>78</v>
      </c>
      <c r="M522">
        <v>22588.560000000001</v>
      </c>
      <c r="N522">
        <v>21640</v>
      </c>
      <c r="O522" t="s">
        <v>31</v>
      </c>
      <c r="P522" t="str">
        <f t="shared" si="72"/>
        <v>No</v>
      </c>
      <c r="Q522">
        <f t="shared" si="73"/>
        <v>153.02000000000001</v>
      </c>
      <c r="R522">
        <f t="shared" si="74"/>
        <v>4.5599999999999996</v>
      </c>
      <c r="S522">
        <f t="shared" si="75"/>
        <v>1.04</v>
      </c>
      <c r="T522" t="str">
        <f t="shared" si="76"/>
        <v>On Time</v>
      </c>
      <c r="U522" t="str">
        <f t="shared" si="77"/>
        <v>Low</v>
      </c>
      <c r="V522" t="str">
        <f t="shared" si="78"/>
        <v>Low Risk</v>
      </c>
      <c r="W522" t="str">
        <f t="shared" si="79"/>
        <v>Jan</v>
      </c>
      <c r="X522">
        <f t="shared" si="80"/>
        <v>2025</v>
      </c>
    </row>
    <row r="523" spans="1:24" x14ac:dyDescent="0.35">
      <c r="A523" s="3">
        <v>45982</v>
      </c>
      <c r="B523" t="s">
        <v>80</v>
      </c>
      <c r="C523" t="s">
        <v>57</v>
      </c>
      <c r="D523" t="s">
        <v>669</v>
      </c>
      <c r="E523" t="s">
        <v>63</v>
      </c>
      <c r="F523" t="s">
        <v>28</v>
      </c>
      <c r="G523" t="s">
        <v>35</v>
      </c>
      <c r="H523">
        <v>78.599999999999994</v>
      </c>
      <c r="I523">
        <v>941</v>
      </c>
      <c r="J523">
        <v>81</v>
      </c>
      <c r="K523">
        <v>17.899999999999999</v>
      </c>
      <c r="L523" t="s">
        <v>30</v>
      </c>
      <c r="M523">
        <v>53232.9</v>
      </c>
      <c r="N523">
        <v>18304</v>
      </c>
      <c r="O523" t="s">
        <v>67</v>
      </c>
      <c r="P523" t="str">
        <f t="shared" si="72"/>
        <v>Yes</v>
      </c>
      <c r="Q523">
        <f t="shared" si="73"/>
        <v>11.97</v>
      </c>
      <c r="R523">
        <f t="shared" si="74"/>
        <v>56.57</v>
      </c>
      <c r="S523">
        <f t="shared" si="75"/>
        <v>2.91</v>
      </c>
      <c r="T523" t="str">
        <f t="shared" si="76"/>
        <v>Delayed</v>
      </c>
      <c r="U523" t="str">
        <f t="shared" si="77"/>
        <v>High</v>
      </c>
      <c r="V523" t="str">
        <f t="shared" si="78"/>
        <v>Medium Risk</v>
      </c>
      <c r="W523" t="str">
        <f t="shared" si="79"/>
        <v>Nov</v>
      </c>
      <c r="X523">
        <f t="shared" si="80"/>
        <v>2025</v>
      </c>
    </row>
    <row r="524" spans="1:24" x14ac:dyDescent="0.35">
      <c r="A524" s="3">
        <v>46019</v>
      </c>
      <c r="B524" t="s">
        <v>129</v>
      </c>
      <c r="C524" t="s">
        <v>52</v>
      </c>
      <c r="D524" t="s">
        <v>670</v>
      </c>
      <c r="E524" t="s">
        <v>63</v>
      </c>
      <c r="F524" t="s">
        <v>48</v>
      </c>
      <c r="G524" t="s">
        <v>35</v>
      </c>
      <c r="H524">
        <v>36.5</v>
      </c>
      <c r="I524">
        <v>4281</v>
      </c>
      <c r="J524">
        <v>22</v>
      </c>
      <c r="K524">
        <v>17.600000000000001</v>
      </c>
      <c r="L524" t="s">
        <v>78</v>
      </c>
      <c r="M524">
        <v>20777.349999999999</v>
      </c>
      <c r="N524">
        <v>20099</v>
      </c>
      <c r="O524" t="s">
        <v>31</v>
      </c>
      <c r="P524" t="str">
        <f t="shared" si="72"/>
        <v>No</v>
      </c>
      <c r="Q524">
        <f t="shared" si="73"/>
        <v>117.29</v>
      </c>
      <c r="R524">
        <f t="shared" si="74"/>
        <v>4.8499999999999996</v>
      </c>
      <c r="S524">
        <f t="shared" si="75"/>
        <v>1.03</v>
      </c>
      <c r="T524" t="str">
        <f t="shared" si="76"/>
        <v>On Time</v>
      </c>
      <c r="U524" t="str">
        <f t="shared" si="77"/>
        <v>Low</v>
      </c>
      <c r="V524" t="str">
        <f t="shared" si="78"/>
        <v>Low Risk</v>
      </c>
      <c r="W524" t="str">
        <f t="shared" si="79"/>
        <v>Dec</v>
      </c>
      <c r="X524">
        <f t="shared" si="80"/>
        <v>2025</v>
      </c>
    </row>
    <row r="525" spans="1:24" x14ac:dyDescent="0.35">
      <c r="A525" s="3">
        <v>45755</v>
      </c>
      <c r="B525" t="s">
        <v>98</v>
      </c>
      <c r="C525" t="s">
        <v>95</v>
      </c>
      <c r="D525" t="s">
        <v>671</v>
      </c>
      <c r="E525" t="s">
        <v>48</v>
      </c>
      <c r="F525" t="s">
        <v>55</v>
      </c>
      <c r="G525" t="s">
        <v>29</v>
      </c>
      <c r="H525">
        <v>27.7</v>
      </c>
      <c r="I525">
        <v>4988</v>
      </c>
      <c r="J525">
        <v>100</v>
      </c>
      <c r="K525">
        <v>18.8</v>
      </c>
      <c r="L525" t="s">
        <v>78</v>
      </c>
      <c r="M525">
        <v>12516.3</v>
      </c>
      <c r="N525">
        <v>11929</v>
      </c>
      <c r="O525" t="s">
        <v>59</v>
      </c>
      <c r="P525" t="str">
        <f t="shared" si="72"/>
        <v>No</v>
      </c>
      <c r="Q525">
        <f t="shared" si="73"/>
        <v>180.07</v>
      </c>
      <c r="R525">
        <f t="shared" si="74"/>
        <v>2.5099999999999998</v>
      </c>
      <c r="S525">
        <f t="shared" si="75"/>
        <v>1.05</v>
      </c>
      <c r="T525" t="str">
        <f t="shared" si="76"/>
        <v>On Time</v>
      </c>
      <c r="U525" t="str">
        <f t="shared" si="77"/>
        <v>Low</v>
      </c>
      <c r="V525" t="str">
        <f t="shared" si="78"/>
        <v>Low Risk</v>
      </c>
      <c r="W525" t="str">
        <f t="shared" si="79"/>
        <v>Apr</v>
      </c>
      <c r="X525">
        <f t="shared" si="80"/>
        <v>2025</v>
      </c>
    </row>
    <row r="526" spans="1:24" x14ac:dyDescent="0.35">
      <c r="A526" s="3">
        <v>45811</v>
      </c>
      <c r="B526" t="s">
        <v>150</v>
      </c>
      <c r="C526" t="s">
        <v>69</v>
      </c>
      <c r="D526" t="s">
        <v>672</v>
      </c>
      <c r="E526" t="s">
        <v>41</v>
      </c>
      <c r="F526" t="s">
        <v>54</v>
      </c>
      <c r="G526" t="s">
        <v>42</v>
      </c>
      <c r="H526">
        <v>76.7</v>
      </c>
      <c r="I526">
        <v>3488</v>
      </c>
      <c r="J526">
        <v>42</v>
      </c>
      <c r="K526">
        <v>14.1</v>
      </c>
      <c r="L526" t="s">
        <v>43</v>
      </c>
      <c r="M526">
        <v>49777.15</v>
      </c>
      <c r="N526">
        <v>12379</v>
      </c>
      <c r="O526" t="s">
        <v>36</v>
      </c>
      <c r="P526" t="str">
        <f t="shared" si="72"/>
        <v>Yes</v>
      </c>
      <c r="Q526">
        <f t="shared" si="73"/>
        <v>45.48</v>
      </c>
      <c r="R526">
        <f t="shared" si="74"/>
        <v>14.27</v>
      </c>
      <c r="S526">
        <f t="shared" si="75"/>
        <v>4.0199999999999996</v>
      </c>
      <c r="T526" t="str">
        <f t="shared" si="76"/>
        <v>Delayed</v>
      </c>
      <c r="U526" t="str">
        <f t="shared" si="77"/>
        <v>High</v>
      </c>
      <c r="V526" t="str">
        <f t="shared" si="78"/>
        <v>Low Risk</v>
      </c>
      <c r="W526" t="str">
        <f t="shared" si="79"/>
        <v>Jun</v>
      </c>
      <c r="X526">
        <f t="shared" si="80"/>
        <v>2025</v>
      </c>
    </row>
    <row r="527" spans="1:24" x14ac:dyDescent="0.35">
      <c r="A527" s="3">
        <v>45762</v>
      </c>
      <c r="B527" t="s">
        <v>33</v>
      </c>
      <c r="C527" t="s">
        <v>95</v>
      </c>
      <c r="D527" t="s">
        <v>673</v>
      </c>
      <c r="E527" t="s">
        <v>66</v>
      </c>
      <c r="F527" t="s">
        <v>48</v>
      </c>
      <c r="G527" t="s">
        <v>71</v>
      </c>
      <c r="H527">
        <v>45.7</v>
      </c>
      <c r="I527">
        <v>4399</v>
      </c>
      <c r="J527">
        <v>63</v>
      </c>
      <c r="K527">
        <v>19.399999999999999</v>
      </c>
      <c r="L527" t="s">
        <v>78</v>
      </c>
      <c r="M527">
        <v>29671.599999999999</v>
      </c>
      <c r="N527">
        <v>11703</v>
      </c>
      <c r="O527" t="s">
        <v>50</v>
      </c>
      <c r="P527" t="str">
        <f t="shared" si="72"/>
        <v>No</v>
      </c>
      <c r="Q527">
        <f t="shared" si="73"/>
        <v>96.26</v>
      </c>
      <c r="R527">
        <f t="shared" si="74"/>
        <v>6.75</v>
      </c>
      <c r="S527">
        <f t="shared" si="75"/>
        <v>2.54</v>
      </c>
      <c r="T527" t="str">
        <f t="shared" si="76"/>
        <v>On Time</v>
      </c>
      <c r="U527" t="str">
        <f t="shared" si="77"/>
        <v>Medium</v>
      </c>
      <c r="V527" t="str">
        <f t="shared" si="78"/>
        <v>Low Risk</v>
      </c>
      <c r="W527" t="str">
        <f t="shared" si="79"/>
        <v>Apr</v>
      </c>
      <c r="X527">
        <f t="shared" si="80"/>
        <v>2025</v>
      </c>
    </row>
    <row r="528" spans="1:24" x14ac:dyDescent="0.35">
      <c r="A528" s="3">
        <v>45962</v>
      </c>
      <c r="B528" t="s">
        <v>108</v>
      </c>
      <c r="C528" t="s">
        <v>39</v>
      </c>
      <c r="D528" t="s">
        <v>674</v>
      </c>
      <c r="E528" t="s">
        <v>54</v>
      </c>
      <c r="F528" t="s">
        <v>55</v>
      </c>
      <c r="G528" t="s">
        <v>42</v>
      </c>
      <c r="H528">
        <v>50.5</v>
      </c>
      <c r="I528">
        <v>4092</v>
      </c>
      <c r="J528">
        <v>61</v>
      </c>
      <c r="K528">
        <v>16.7</v>
      </c>
      <c r="L528" t="s">
        <v>78</v>
      </c>
      <c r="M528">
        <v>30293.54</v>
      </c>
      <c r="N528">
        <v>18689</v>
      </c>
      <c r="O528" t="s">
        <v>67</v>
      </c>
      <c r="P528" t="str">
        <f t="shared" si="72"/>
        <v>No</v>
      </c>
      <c r="Q528">
        <f t="shared" si="73"/>
        <v>81.03</v>
      </c>
      <c r="R528">
        <f t="shared" si="74"/>
        <v>7.4</v>
      </c>
      <c r="S528">
        <f t="shared" si="75"/>
        <v>1.62</v>
      </c>
      <c r="T528" t="str">
        <f t="shared" si="76"/>
        <v>On Time</v>
      </c>
      <c r="U528" t="str">
        <f t="shared" si="77"/>
        <v>Medium</v>
      </c>
      <c r="V528" t="str">
        <f t="shared" si="78"/>
        <v>Low Risk</v>
      </c>
      <c r="W528" t="str">
        <f t="shared" si="79"/>
        <v>Nov</v>
      </c>
      <c r="X528">
        <f t="shared" si="80"/>
        <v>2025</v>
      </c>
    </row>
    <row r="529" spans="1:24" x14ac:dyDescent="0.35">
      <c r="A529" s="3">
        <v>45750</v>
      </c>
      <c r="B529" t="s">
        <v>104</v>
      </c>
      <c r="C529" t="s">
        <v>109</v>
      </c>
      <c r="D529" t="s">
        <v>675</v>
      </c>
      <c r="E529" t="s">
        <v>66</v>
      </c>
      <c r="F529" t="s">
        <v>27</v>
      </c>
      <c r="G529" t="s">
        <v>71</v>
      </c>
      <c r="H529">
        <v>67.5</v>
      </c>
      <c r="I529">
        <v>4250</v>
      </c>
      <c r="J529">
        <v>72</v>
      </c>
      <c r="K529">
        <v>16.899999999999999</v>
      </c>
      <c r="L529" t="s">
        <v>78</v>
      </c>
      <c r="M529">
        <v>46454.36</v>
      </c>
      <c r="N529">
        <v>9076</v>
      </c>
      <c r="O529" t="s">
        <v>36</v>
      </c>
      <c r="P529" t="str">
        <f t="shared" si="72"/>
        <v>No</v>
      </c>
      <c r="Q529">
        <f t="shared" si="73"/>
        <v>62.96</v>
      </c>
      <c r="R529">
        <f t="shared" si="74"/>
        <v>10.93</v>
      </c>
      <c r="S529">
        <f t="shared" si="75"/>
        <v>5.12</v>
      </c>
      <c r="T529" t="str">
        <f t="shared" si="76"/>
        <v>On Time</v>
      </c>
      <c r="U529" t="str">
        <f t="shared" si="77"/>
        <v>High</v>
      </c>
      <c r="V529" t="str">
        <f t="shared" si="78"/>
        <v>Low Risk</v>
      </c>
      <c r="W529" t="str">
        <f t="shared" si="79"/>
        <v>Apr</v>
      </c>
      <c r="X529">
        <f t="shared" si="80"/>
        <v>2025</v>
      </c>
    </row>
    <row r="530" spans="1:24" x14ac:dyDescent="0.35">
      <c r="A530" s="3">
        <v>45886</v>
      </c>
      <c r="B530" t="s">
        <v>417</v>
      </c>
      <c r="C530" t="s">
        <v>52</v>
      </c>
      <c r="D530" t="s">
        <v>676</v>
      </c>
      <c r="E530" t="s">
        <v>41</v>
      </c>
      <c r="F530" t="s">
        <v>63</v>
      </c>
      <c r="G530" t="s">
        <v>71</v>
      </c>
      <c r="H530">
        <v>41.1</v>
      </c>
      <c r="I530">
        <v>4373</v>
      </c>
      <c r="J530">
        <v>57</v>
      </c>
      <c r="K530">
        <v>16.2</v>
      </c>
      <c r="L530" t="s">
        <v>30</v>
      </c>
      <c r="M530">
        <v>21113.34</v>
      </c>
      <c r="N530">
        <v>29598</v>
      </c>
      <c r="O530" t="s">
        <v>67</v>
      </c>
      <c r="P530" t="str">
        <f t="shared" si="72"/>
        <v>Yes</v>
      </c>
      <c r="Q530">
        <f t="shared" si="73"/>
        <v>106.4</v>
      </c>
      <c r="R530">
        <f t="shared" si="74"/>
        <v>4.83</v>
      </c>
      <c r="S530">
        <f t="shared" si="75"/>
        <v>0.71</v>
      </c>
      <c r="T530" t="str">
        <f t="shared" si="76"/>
        <v>Delayed</v>
      </c>
      <c r="U530" t="str">
        <f t="shared" si="77"/>
        <v>Medium</v>
      </c>
      <c r="V530" t="str">
        <f t="shared" si="78"/>
        <v>Medium Risk</v>
      </c>
      <c r="W530" t="str">
        <f t="shared" si="79"/>
        <v>Aug</v>
      </c>
      <c r="X530">
        <f t="shared" si="80"/>
        <v>2025</v>
      </c>
    </row>
    <row r="531" spans="1:24" x14ac:dyDescent="0.35">
      <c r="A531" s="3">
        <v>45829</v>
      </c>
      <c r="B531" t="s">
        <v>417</v>
      </c>
      <c r="C531" t="s">
        <v>25</v>
      </c>
      <c r="D531" t="s">
        <v>677</v>
      </c>
      <c r="E531" t="s">
        <v>28</v>
      </c>
      <c r="F531" t="s">
        <v>63</v>
      </c>
      <c r="G531" t="s">
        <v>71</v>
      </c>
      <c r="H531">
        <v>78.7</v>
      </c>
      <c r="I531">
        <v>4437</v>
      </c>
      <c r="J531">
        <v>31</v>
      </c>
      <c r="K531">
        <v>11</v>
      </c>
      <c r="L531" t="s">
        <v>49</v>
      </c>
      <c r="M531">
        <v>41449.620000000003</v>
      </c>
      <c r="N531">
        <v>26048</v>
      </c>
      <c r="O531" t="s">
        <v>59</v>
      </c>
      <c r="P531" t="str">
        <f t="shared" si="72"/>
        <v>Yes</v>
      </c>
      <c r="Q531">
        <f t="shared" si="73"/>
        <v>56.38</v>
      </c>
      <c r="R531">
        <f t="shared" si="74"/>
        <v>9.34</v>
      </c>
      <c r="S531">
        <f t="shared" si="75"/>
        <v>1.59</v>
      </c>
      <c r="T531" t="str">
        <f t="shared" si="76"/>
        <v>Delayed</v>
      </c>
      <c r="U531" t="str">
        <f t="shared" si="77"/>
        <v>High</v>
      </c>
      <c r="V531" t="str">
        <f t="shared" si="78"/>
        <v>High Risk</v>
      </c>
      <c r="W531" t="str">
        <f t="shared" si="79"/>
        <v>Jun</v>
      </c>
      <c r="X531">
        <f t="shared" si="80"/>
        <v>2025</v>
      </c>
    </row>
    <row r="532" spans="1:24" x14ac:dyDescent="0.35">
      <c r="A532" s="3">
        <v>45932</v>
      </c>
      <c r="B532" t="s">
        <v>275</v>
      </c>
      <c r="C532" t="s">
        <v>109</v>
      </c>
      <c r="D532" t="s">
        <v>678</v>
      </c>
      <c r="E532" t="s">
        <v>54</v>
      </c>
      <c r="F532" t="s">
        <v>28</v>
      </c>
      <c r="G532" t="s">
        <v>29</v>
      </c>
      <c r="H532">
        <v>73.2</v>
      </c>
      <c r="I532">
        <v>2461</v>
      </c>
      <c r="J532">
        <v>57</v>
      </c>
      <c r="K532">
        <v>15.7</v>
      </c>
      <c r="L532" t="s">
        <v>30</v>
      </c>
      <c r="M532">
        <v>35323.74</v>
      </c>
      <c r="N532">
        <v>15316</v>
      </c>
      <c r="O532" t="s">
        <v>67</v>
      </c>
      <c r="P532" t="str">
        <f t="shared" si="72"/>
        <v>Yes</v>
      </c>
      <c r="Q532">
        <f t="shared" si="73"/>
        <v>33.619999999999997</v>
      </c>
      <c r="R532">
        <f t="shared" si="74"/>
        <v>14.35</v>
      </c>
      <c r="S532">
        <f t="shared" si="75"/>
        <v>2.31</v>
      </c>
      <c r="T532" t="str">
        <f t="shared" si="76"/>
        <v>Delayed</v>
      </c>
      <c r="U532" t="str">
        <f t="shared" si="77"/>
        <v>High</v>
      </c>
      <c r="V532" t="str">
        <f t="shared" si="78"/>
        <v>Medium Risk</v>
      </c>
      <c r="W532" t="str">
        <f t="shared" si="79"/>
        <v>Oct</v>
      </c>
      <c r="X532">
        <f t="shared" si="80"/>
        <v>2025</v>
      </c>
    </row>
    <row r="533" spans="1:24" x14ac:dyDescent="0.35">
      <c r="A533" s="3">
        <v>46021</v>
      </c>
      <c r="B533" t="s">
        <v>113</v>
      </c>
      <c r="C533" t="s">
        <v>25</v>
      </c>
      <c r="D533" t="s">
        <v>679</v>
      </c>
      <c r="E533" t="s">
        <v>55</v>
      </c>
      <c r="F533" t="s">
        <v>63</v>
      </c>
      <c r="G533" t="s">
        <v>29</v>
      </c>
      <c r="H533">
        <v>73</v>
      </c>
      <c r="I533">
        <v>565</v>
      </c>
      <c r="J533">
        <v>91</v>
      </c>
      <c r="K533">
        <v>10.3</v>
      </c>
      <c r="L533" t="s">
        <v>43</v>
      </c>
      <c r="M533">
        <v>34275.79</v>
      </c>
      <c r="N533">
        <v>12630</v>
      </c>
      <c r="O533" t="s">
        <v>59</v>
      </c>
      <c r="P533" t="str">
        <f t="shared" si="72"/>
        <v>Yes</v>
      </c>
      <c r="Q533">
        <f t="shared" si="73"/>
        <v>7.74</v>
      </c>
      <c r="R533">
        <f t="shared" si="74"/>
        <v>60.67</v>
      </c>
      <c r="S533">
        <f t="shared" si="75"/>
        <v>2.71</v>
      </c>
      <c r="T533" t="str">
        <f t="shared" si="76"/>
        <v>Delayed</v>
      </c>
      <c r="U533" t="str">
        <f t="shared" si="77"/>
        <v>High</v>
      </c>
      <c r="V533" t="str">
        <f t="shared" si="78"/>
        <v>Low Risk</v>
      </c>
      <c r="W533" t="str">
        <f t="shared" si="79"/>
        <v>Dec</v>
      </c>
      <c r="X533">
        <f t="shared" si="80"/>
        <v>2025</v>
      </c>
    </row>
    <row r="534" spans="1:24" x14ac:dyDescent="0.35">
      <c r="A534" s="3">
        <v>45664</v>
      </c>
      <c r="B534" t="s">
        <v>73</v>
      </c>
      <c r="C534" t="s">
        <v>130</v>
      </c>
      <c r="D534" t="s">
        <v>680</v>
      </c>
      <c r="E534" t="s">
        <v>28</v>
      </c>
      <c r="F534" t="s">
        <v>63</v>
      </c>
      <c r="G534" t="s">
        <v>35</v>
      </c>
      <c r="H534">
        <v>35.1</v>
      </c>
      <c r="I534">
        <v>4866</v>
      </c>
      <c r="J534">
        <v>100</v>
      </c>
      <c r="K534">
        <v>17.7</v>
      </c>
      <c r="L534" t="s">
        <v>49</v>
      </c>
      <c r="M534">
        <v>17942.009999999998</v>
      </c>
      <c r="N534">
        <v>27986</v>
      </c>
      <c r="O534" t="s">
        <v>59</v>
      </c>
      <c r="P534" t="str">
        <f t="shared" si="72"/>
        <v>Yes</v>
      </c>
      <c r="Q534">
        <f t="shared" si="73"/>
        <v>138.63</v>
      </c>
      <c r="R534">
        <f t="shared" si="74"/>
        <v>3.69</v>
      </c>
      <c r="S534">
        <f t="shared" si="75"/>
        <v>0.64</v>
      </c>
      <c r="T534" t="str">
        <f t="shared" si="76"/>
        <v>Delayed</v>
      </c>
      <c r="U534" t="str">
        <f t="shared" si="77"/>
        <v>Low</v>
      </c>
      <c r="V534" t="str">
        <f t="shared" si="78"/>
        <v>High Risk</v>
      </c>
      <c r="W534" t="str">
        <f t="shared" si="79"/>
        <v>Jan</v>
      </c>
      <c r="X534">
        <f t="shared" si="80"/>
        <v>2025</v>
      </c>
    </row>
    <row r="535" spans="1:24" x14ac:dyDescent="0.35">
      <c r="A535" s="3">
        <v>45941</v>
      </c>
      <c r="B535" t="s">
        <v>76</v>
      </c>
      <c r="C535" t="s">
        <v>130</v>
      </c>
      <c r="D535" t="s">
        <v>681</v>
      </c>
      <c r="E535" t="s">
        <v>41</v>
      </c>
      <c r="F535" t="s">
        <v>48</v>
      </c>
      <c r="G535" t="s">
        <v>35</v>
      </c>
      <c r="H535">
        <v>62.8</v>
      </c>
      <c r="I535">
        <v>4744</v>
      </c>
      <c r="J535">
        <v>58</v>
      </c>
      <c r="K535">
        <v>14.5</v>
      </c>
      <c r="L535" t="s">
        <v>78</v>
      </c>
      <c r="M535">
        <v>36871.919999999998</v>
      </c>
      <c r="N535">
        <v>16103</v>
      </c>
      <c r="O535" t="s">
        <v>59</v>
      </c>
      <c r="P535" t="str">
        <f t="shared" si="72"/>
        <v>No</v>
      </c>
      <c r="Q535">
        <f t="shared" si="73"/>
        <v>75.540000000000006</v>
      </c>
      <c r="R535">
        <f t="shared" si="74"/>
        <v>7.77</v>
      </c>
      <c r="S535">
        <f t="shared" si="75"/>
        <v>2.29</v>
      </c>
      <c r="T535" t="str">
        <f t="shared" si="76"/>
        <v>On Time</v>
      </c>
      <c r="U535" t="str">
        <f t="shared" si="77"/>
        <v>High</v>
      </c>
      <c r="V535" t="str">
        <f t="shared" si="78"/>
        <v>Low Risk</v>
      </c>
      <c r="W535" t="str">
        <f t="shared" si="79"/>
        <v>Oct</v>
      </c>
      <c r="X535">
        <f t="shared" si="80"/>
        <v>2025</v>
      </c>
    </row>
    <row r="536" spans="1:24" x14ac:dyDescent="0.35">
      <c r="A536" s="3">
        <v>45994</v>
      </c>
      <c r="B536" t="s">
        <v>92</v>
      </c>
      <c r="C536" t="s">
        <v>52</v>
      </c>
      <c r="D536" t="s">
        <v>682</v>
      </c>
      <c r="E536" t="s">
        <v>28</v>
      </c>
      <c r="F536" t="s">
        <v>55</v>
      </c>
      <c r="G536" t="s">
        <v>29</v>
      </c>
      <c r="H536">
        <v>43.4</v>
      </c>
      <c r="I536">
        <v>3423</v>
      </c>
      <c r="J536">
        <v>60</v>
      </c>
      <c r="K536">
        <v>16.8</v>
      </c>
      <c r="L536" t="s">
        <v>43</v>
      </c>
      <c r="M536">
        <v>29744.94</v>
      </c>
      <c r="N536">
        <v>11078</v>
      </c>
      <c r="O536" t="s">
        <v>31</v>
      </c>
      <c r="P536" t="str">
        <f t="shared" si="72"/>
        <v>Yes</v>
      </c>
      <c r="Q536">
        <f t="shared" si="73"/>
        <v>78.87</v>
      </c>
      <c r="R536">
        <f t="shared" si="74"/>
        <v>8.69</v>
      </c>
      <c r="S536">
        <f t="shared" si="75"/>
        <v>2.69</v>
      </c>
      <c r="T536" t="str">
        <f t="shared" si="76"/>
        <v>Delayed</v>
      </c>
      <c r="U536" t="str">
        <f t="shared" si="77"/>
        <v>Medium</v>
      </c>
      <c r="V536" t="str">
        <f t="shared" si="78"/>
        <v>Low Risk</v>
      </c>
      <c r="W536" t="str">
        <f t="shared" si="79"/>
        <v>Dec</v>
      </c>
      <c r="X536">
        <f t="shared" si="80"/>
        <v>2025</v>
      </c>
    </row>
    <row r="537" spans="1:24" x14ac:dyDescent="0.35">
      <c r="A537" s="3">
        <v>45937</v>
      </c>
      <c r="B537" t="s">
        <v>157</v>
      </c>
      <c r="C537" t="s">
        <v>95</v>
      </c>
      <c r="D537" t="s">
        <v>683</v>
      </c>
      <c r="E537" t="s">
        <v>48</v>
      </c>
      <c r="F537" t="s">
        <v>27</v>
      </c>
      <c r="G537" t="s">
        <v>35</v>
      </c>
      <c r="H537">
        <v>55.4</v>
      </c>
      <c r="I537">
        <v>4133</v>
      </c>
      <c r="J537">
        <v>119</v>
      </c>
      <c r="K537">
        <v>19.399999999999999</v>
      </c>
      <c r="L537" t="s">
        <v>30</v>
      </c>
      <c r="M537">
        <v>32312.11</v>
      </c>
      <c r="N537">
        <v>19446</v>
      </c>
      <c r="O537" t="s">
        <v>44</v>
      </c>
      <c r="P537" t="str">
        <f t="shared" si="72"/>
        <v>Yes</v>
      </c>
      <c r="Q537">
        <f t="shared" si="73"/>
        <v>74.599999999999994</v>
      </c>
      <c r="R537">
        <f t="shared" si="74"/>
        <v>7.82</v>
      </c>
      <c r="S537">
        <f t="shared" si="75"/>
        <v>1.66</v>
      </c>
      <c r="T537" t="str">
        <f t="shared" si="76"/>
        <v>Delayed</v>
      </c>
      <c r="U537" t="str">
        <f t="shared" si="77"/>
        <v>Medium</v>
      </c>
      <c r="V537" t="str">
        <f t="shared" si="78"/>
        <v>Medium Risk</v>
      </c>
      <c r="W537" t="str">
        <f t="shared" si="79"/>
        <v>Oct</v>
      </c>
      <c r="X537">
        <f t="shared" si="80"/>
        <v>2025</v>
      </c>
    </row>
    <row r="538" spans="1:24" x14ac:dyDescent="0.35">
      <c r="A538" s="3">
        <v>45857</v>
      </c>
      <c r="B538" t="s">
        <v>311</v>
      </c>
      <c r="C538" t="s">
        <v>25</v>
      </c>
      <c r="D538" t="s">
        <v>684</v>
      </c>
      <c r="E538" t="s">
        <v>48</v>
      </c>
      <c r="F538" t="s">
        <v>28</v>
      </c>
      <c r="G538" t="s">
        <v>35</v>
      </c>
      <c r="H538">
        <v>37.200000000000003</v>
      </c>
      <c r="I538">
        <v>4473</v>
      </c>
      <c r="J538">
        <v>51</v>
      </c>
      <c r="K538">
        <v>16.2</v>
      </c>
      <c r="L538" t="s">
        <v>43</v>
      </c>
      <c r="M538">
        <v>17599.14</v>
      </c>
      <c r="N538">
        <v>21508</v>
      </c>
      <c r="O538" t="s">
        <v>91</v>
      </c>
      <c r="P538" t="str">
        <f t="shared" si="72"/>
        <v>Yes</v>
      </c>
      <c r="Q538">
        <f t="shared" si="73"/>
        <v>120.24</v>
      </c>
      <c r="R538">
        <f t="shared" si="74"/>
        <v>3.93</v>
      </c>
      <c r="S538">
        <f t="shared" si="75"/>
        <v>0.82</v>
      </c>
      <c r="T538" t="str">
        <f t="shared" si="76"/>
        <v>Delayed</v>
      </c>
      <c r="U538" t="str">
        <f t="shared" si="77"/>
        <v>Low</v>
      </c>
      <c r="V538" t="str">
        <f t="shared" si="78"/>
        <v>Low Risk</v>
      </c>
      <c r="W538" t="str">
        <f t="shared" si="79"/>
        <v>Jul</v>
      </c>
      <c r="X538">
        <f t="shared" si="80"/>
        <v>2025</v>
      </c>
    </row>
    <row r="539" spans="1:24" x14ac:dyDescent="0.35">
      <c r="A539" s="3">
        <v>45821</v>
      </c>
      <c r="B539" t="s">
        <v>108</v>
      </c>
      <c r="C539" t="s">
        <v>39</v>
      </c>
      <c r="D539" t="s">
        <v>685</v>
      </c>
      <c r="E539" t="s">
        <v>54</v>
      </c>
      <c r="F539" t="s">
        <v>63</v>
      </c>
      <c r="G539" t="s">
        <v>35</v>
      </c>
      <c r="H539">
        <v>68.599999999999994</v>
      </c>
      <c r="I539">
        <v>3802</v>
      </c>
      <c r="J539">
        <v>29</v>
      </c>
      <c r="K539">
        <v>15.7</v>
      </c>
      <c r="L539" t="s">
        <v>43</v>
      </c>
      <c r="M539">
        <v>34916.54</v>
      </c>
      <c r="N539">
        <v>25966</v>
      </c>
      <c r="O539" t="s">
        <v>50</v>
      </c>
      <c r="P539" t="str">
        <f t="shared" si="72"/>
        <v>Yes</v>
      </c>
      <c r="Q539">
        <f t="shared" si="73"/>
        <v>55.42</v>
      </c>
      <c r="R539">
        <f t="shared" si="74"/>
        <v>9.18</v>
      </c>
      <c r="S539">
        <f t="shared" si="75"/>
        <v>1.34</v>
      </c>
      <c r="T539" t="str">
        <f t="shared" si="76"/>
        <v>Delayed</v>
      </c>
      <c r="U539" t="str">
        <f t="shared" si="77"/>
        <v>High</v>
      </c>
      <c r="V539" t="str">
        <f t="shared" si="78"/>
        <v>Low Risk</v>
      </c>
      <c r="W539" t="str">
        <f t="shared" si="79"/>
        <v>Jun</v>
      </c>
      <c r="X539">
        <f t="shared" si="80"/>
        <v>2025</v>
      </c>
    </row>
    <row r="540" spans="1:24" x14ac:dyDescent="0.35">
      <c r="A540" s="3">
        <v>45820</v>
      </c>
      <c r="B540" t="s">
        <v>148</v>
      </c>
      <c r="C540" t="s">
        <v>39</v>
      </c>
      <c r="D540" t="s">
        <v>686</v>
      </c>
      <c r="E540" t="s">
        <v>54</v>
      </c>
      <c r="F540" t="s">
        <v>63</v>
      </c>
      <c r="G540" t="s">
        <v>29</v>
      </c>
      <c r="H540">
        <v>58.6</v>
      </c>
      <c r="I540">
        <v>3394</v>
      </c>
      <c r="J540">
        <v>39</v>
      </c>
      <c r="K540">
        <v>10.3</v>
      </c>
      <c r="L540" t="s">
        <v>49</v>
      </c>
      <c r="M540">
        <v>33392.15</v>
      </c>
      <c r="N540">
        <v>20551</v>
      </c>
      <c r="O540" t="s">
        <v>59</v>
      </c>
      <c r="P540" t="str">
        <f t="shared" si="72"/>
        <v>Yes</v>
      </c>
      <c r="Q540">
        <f t="shared" si="73"/>
        <v>57.92</v>
      </c>
      <c r="R540">
        <f t="shared" si="74"/>
        <v>9.84</v>
      </c>
      <c r="S540">
        <f t="shared" si="75"/>
        <v>1.62</v>
      </c>
      <c r="T540" t="str">
        <f t="shared" si="76"/>
        <v>Delayed</v>
      </c>
      <c r="U540" t="str">
        <f t="shared" si="77"/>
        <v>Medium</v>
      </c>
      <c r="V540" t="str">
        <f t="shared" si="78"/>
        <v>High Risk</v>
      </c>
      <c r="W540" t="str">
        <f t="shared" si="79"/>
        <v>Jun</v>
      </c>
      <c r="X540">
        <f t="shared" si="80"/>
        <v>2025</v>
      </c>
    </row>
    <row r="541" spans="1:24" x14ac:dyDescent="0.35">
      <c r="A541" s="3">
        <v>45731</v>
      </c>
      <c r="B541" t="s">
        <v>190</v>
      </c>
      <c r="C541" t="s">
        <v>57</v>
      </c>
      <c r="D541" t="s">
        <v>687</v>
      </c>
      <c r="E541" t="s">
        <v>54</v>
      </c>
      <c r="F541" t="s">
        <v>48</v>
      </c>
      <c r="G541" t="s">
        <v>29</v>
      </c>
      <c r="H541">
        <v>54.5</v>
      </c>
      <c r="I541">
        <v>4382</v>
      </c>
      <c r="J541">
        <v>38</v>
      </c>
      <c r="K541">
        <v>15.8</v>
      </c>
      <c r="L541" t="s">
        <v>49</v>
      </c>
      <c r="M541">
        <v>33014.800000000003</v>
      </c>
      <c r="N541">
        <v>28636</v>
      </c>
      <c r="O541" t="s">
        <v>36</v>
      </c>
      <c r="P541" t="str">
        <f t="shared" si="72"/>
        <v>Yes</v>
      </c>
      <c r="Q541">
        <f t="shared" si="73"/>
        <v>80.400000000000006</v>
      </c>
      <c r="R541">
        <f t="shared" si="74"/>
        <v>7.53</v>
      </c>
      <c r="S541">
        <f t="shared" si="75"/>
        <v>1.1499999999999999</v>
      </c>
      <c r="T541" t="str">
        <f t="shared" si="76"/>
        <v>Delayed</v>
      </c>
      <c r="U541" t="str">
        <f t="shared" si="77"/>
        <v>Medium</v>
      </c>
      <c r="V541" t="str">
        <f t="shared" si="78"/>
        <v>High Risk</v>
      </c>
      <c r="W541" t="str">
        <f t="shared" si="79"/>
        <v>Mar</v>
      </c>
      <c r="X541">
        <f t="shared" si="80"/>
        <v>2025</v>
      </c>
    </row>
    <row r="542" spans="1:24" x14ac:dyDescent="0.35">
      <c r="A542" s="3">
        <v>45778</v>
      </c>
      <c r="B542" t="s">
        <v>210</v>
      </c>
      <c r="C542" t="s">
        <v>69</v>
      </c>
      <c r="D542" t="s">
        <v>688</v>
      </c>
      <c r="E542" t="s">
        <v>28</v>
      </c>
      <c r="F542" t="s">
        <v>66</v>
      </c>
      <c r="G542" t="s">
        <v>35</v>
      </c>
      <c r="H542">
        <v>26.9</v>
      </c>
      <c r="I542">
        <v>585</v>
      </c>
      <c r="J542">
        <v>49</v>
      </c>
      <c r="K542">
        <v>19</v>
      </c>
      <c r="L542" t="s">
        <v>43</v>
      </c>
      <c r="M542">
        <v>17266.86</v>
      </c>
      <c r="N542">
        <v>29377</v>
      </c>
      <c r="O542" t="s">
        <v>67</v>
      </c>
      <c r="P542" t="str">
        <f t="shared" si="72"/>
        <v>Yes</v>
      </c>
      <c r="Q542">
        <f t="shared" si="73"/>
        <v>21.75</v>
      </c>
      <c r="R542">
        <f t="shared" si="74"/>
        <v>29.52</v>
      </c>
      <c r="S542">
        <f t="shared" si="75"/>
        <v>0.59</v>
      </c>
      <c r="T542" t="str">
        <f t="shared" si="76"/>
        <v>Delayed</v>
      </c>
      <c r="U542" t="str">
        <f t="shared" si="77"/>
        <v>Low</v>
      </c>
      <c r="V542" t="str">
        <f t="shared" si="78"/>
        <v>Low Risk</v>
      </c>
      <c r="W542" t="str">
        <f t="shared" si="79"/>
        <v>May</v>
      </c>
      <c r="X542">
        <f t="shared" si="80"/>
        <v>2025</v>
      </c>
    </row>
    <row r="543" spans="1:24" x14ac:dyDescent="0.35">
      <c r="A543" s="3">
        <v>45685</v>
      </c>
      <c r="B543" t="s">
        <v>33</v>
      </c>
      <c r="C543" t="s">
        <v>95</v>
      </c>
      <c r="D543" t="s">
        <v>689</v>
      </c>
      <c r="E543" t="s">
        <v>27</v>
      </c>
      <c r="F543" t="s">
        <v>41</v>
      </c>
      <c r="G543" t="s">
        <v>29</v>
      </c>
      <c r="H543">
        <v>21.9</v>
      </c>
      <c r="I543">
        <v>3133</v>
      </c>
      <c r="J543">
        <v>33</v>
      </c>
      <c r="K543">
        <v>16.600000000000001</v>
      </c>
      <c r="L543" t="s">
        <v>78</v>
      </c>
      <c r="M543">
        <v>12873.85</v>
      </c>
      <c r="N543">
        <v>16223</v>
      </c>
      <c r="O543" t="s">
        <v>67</v>
      </c>
      <c r="P543" t="str">
        <f t="shared" si="72"/>
        <v>No</v>
      </c>
      <c r="Q543">
        <f t="shared" si="73"/>
        <v>143.06</v>
      </c>
      <c r="R543">
        <f t="shared" si="74"/>
        <v>4.1100000000000003</v>
      </c>
      <c r="S543">
        <f t="shared" si="75"/>
        <v>0.79</v>
      </c>
      <c r="T543" t="str">
        <f t="shared" si="76"/>
        <v>On Time</v>
      </c>
      <c r="U543" t="str">
        <f t="shared" si="77"/>
        <v>Low</v>
      </c>
      <c r="V543" t="str">
        <f t="shared" si="78"/>
        <v>Low Risk</v>
      </c>
      <c r="W543" t="str">
        <f t="shared" si="79"/>
        <v>Jan</v>
      </c>
      <c r="X543">
        <f t="shared" si="80"/>
        <v>2025</v>
      </c>
    </row>
    <row r="544" spans="1:24" x14ac:dyDescent="0.35">
      <c r="A544" s="3">
        <v>45986</v>
      </c>
      <c r="B544" t="s">
        <v>123</v>
      </c>
      <c r="C544" t="s">
        <v>57</v>
      </c>
      <c r="D544" t="s">
        <v>690</v>
      </c>
      <c r="E544" t="s">
        <v>54</v>
      </c>
      <c r="F544" t="s">
        <v>63</v>
      </c>
      <c r="G544" t="s">
        <v>42</v>
      </c>
      <c r="H544">
        <v>66.5</v>
      </c>
      <c r="I544">
        <v>3290</v>
      </c>
      <c r="J544">
        <v>118</v>
      </c>
      <c r="K544">
        <v>19</v>
      </c>
      <c r="L544" t="s">
        <v>30</v>
      </c>
      <c r="M544">
        <v>40904.879999999997</v>
      </c>
      <c r="N544">
        <v>15485</v>
      </c>
      <c r="O544" t="s">
        <v>31</v>
      </c>
      <c r="P544" t="str">
        <f t="shared" si="72"/>
        <v>Yes</v>
      </c>
      <c r="Q544">
        <f t="shared" si="73"/>
        <v>49.47</v>
      </c>
      <c r="R544">
        <f t="shared" si="74"/>
        <v>12.43</v>
      </c>
      <c r="S544">
        <f t="shared" si="75"/>
        <v>2.64</v>
      </c>
      <c r="T544" t="str">
        <f t="shared" si="76"/>
        <v>Delayed</v>
      </c>
      <c r="U544" t="str">
        <f t="shared" si="77"/>
        <v>High</v>
      </c>
      <c r="V544" t="str">
        <f t="shared" si="78"/>
        <v>Medium Risk</v>
      </c>
      <c r="W544" t="str">
        <f t="shared" si="79"/>
        <v>Nov</v>
      </c>
      <c r="X544">
        <f t="shared" si="80"/>
        <v>2025</v>
      </c>
    </row>
    <row r="545" spans="1:24" x14ac:dyDescent="0.35">
      <c r="A545" s="3">
        <v>45911</v>
      </c>
      <c r="B545" t="s">
        <v>165</v>
      </c>
      <c r="C545" t="s">
        <v>52</v>
      </c>
      <c r="D545" t="s">
        <v>691</v>
      </c>
      <c r="E545" t="s">
        <v>66</v>
      </c>
      <c r="F545" t="s">
        <v>27</v>
      </c>
      <c r="G545" t="s">
        <v>29</v>
      </c>
      <c r="H545">
        <v>61.3</v>
      </c>
      <c r="I545">
        <v>2047</v>
      </c>
      <c r="J545">
        <v>94</v>
      </c>
      <c r="K545">
        <v>11.2</v>
      </c>
      <c r="L545" t="s">
        <v>30</v>
      </c>
      <c r="M545">
        <v>32910.78</v>
      </c>
      <c r="N545">
        <v>19217</v>
      </c>
      <c r="O545" t="s">
        <v>36</v>
      </c>
      <c r="P545" t="str">
        <f t="shared" si="72"/>
        <v>Yes</v>
      </c>
      <c r="Q545">
        <f t="shared" si="73"/>
        <v>33.39</v>
      </c>
      <c r="R545">
        <f t="shared" si="74"/>
        <v>16.079999999999998</v>
      </c>
      <c r="S545">
        <f t="shared" si="75"/>
        <v>1.71</v>
      </c>
      <c r="T545" t="str">
        <f t="shared" si="76"/>
        <v>Delayed</v>
      </c>
      <c r="U545" t="str">
        <f t="shared" si="77"/>
        <v>High</v>
      </c>
      <c r="V545" t="str">
        <f t="shared" si="78"/>
        <v>Medium Risk</v>
      </c>
      <c r="W545" t="str">
        <f t="shared" si="79"/>
        <v>Sep</v>
      </c>
      <c r="X545">
        <f t="shared" si="80"/>
        <v>2025</v>
      </c>
    </row>
    <row r="546" spans="1:24" x14ac:dyDescent="0.35">
      <c r="A546" s="3">
        <v>45995</v>
      </c>
      <c r="B546" t="s">
        <v>190</v>
      </c>
      <c r="C546" t="s">
        <v>57</v>
      </c>
      <c r="D546" t="s">
        <v>692</v>
      </c>
      <c r="E546" t="s">
        <v>41</v>
      </c>
      <c r="F546" t="s">
        <v>54</v>
      </c>
      <c r="G546" t="s">
        <v>29</v>
      </c>
      <c r="H546">
        <v>66.900000000000006</v>
      </c>
      <c r="I546">
        <v>2158</v>
      </c>
      <c r="J546">
        <v>62</v>
      </c>
      <c r="K546">
        <v>20.6</v>
      </c>
      <c r="L546" t="s">
        <v>78</v>
      </c>
      <c r="M546">
        <v>34667.35</v>
      </c>
      <c r="N546">
        <v>13235</v>
      </c>
      <c r="O546" t="s">
        <v>91</v>
      </c>
      <c r="P546" t="str">
        <f t="shared" si="72"/>
        <v>No</v>
      </c>
      <c r="Q546">
        <f t="shared" si="73"/>
        <v>32.26</v>
      </c>
      <c r="R546">
        <f t="shared" si="74"/>
        <v>16.059999999999999</v>
      </c>
      <c r="S546">
        <f t="shared" si="75"/>
        <v>2.62</v>
      </c>
      <c r="T546" t="str">
        <f t="shared" si="76"/>
        <v>On Time</v>
      </c>
      <c r="U546" t="str">
        <f t="shared" si="77"/>
        <v>High</v>
      </c>
      <c r="V546" t="str">
        <f t="shared" si="78"/>
        <v>Low Risk</v>
      </c>
      <c r="W546" t="str">
        <f t="shared" si="79"/>
        <v>Dec</v>
      </c>
      <c r="X546">
        <f t="shared" si="80"/>
        <v>2025</v>
      </c>
    </row>
    <row r="547" spans="1:24" x14ac:dyDescent="0.35">
      <c r="A547" s="3">
        <v>45919</v>
      </c>
      <c r="B547" t="s">
        <v>311</v>
      </c>
      <c r="C547" t="s">
        <v>52</v>
      </c>
      <c r="D547" t="s">
        <v>693</v>
      </c>
      <c r="E547" t="s">
        <v>63</v>
      </c>
      <c r="F547" t="s">
        <v>55</v>
      </c>
      <c r="G547" t="s">
        <v>42</v>
      </c>
      <c r="H547">
        <v>77.8</v>
      </c>
      <c r="I547">
        <v>1699</v>
      </c>
      <c r="J547">
        <v>80</v>
      </c>
      <c r="K547">
        <v>10.9</v>
      </c>
      <c r="L547" t="s">
        <v>78</v>
      </c>
      <c r="M547">
        <v>36532.61</v>
      </c>
      <c r="N547">
        <v>13091</v>
      </c>
      <c r="O547" t="s">
        <v>59</v>
      </c>
      <c r="P547" t="str">
        <f t="shared" si="72"/>
        <v>No</v>
      </c>
      <c r="Q547">
        <f t="shared" si="73"/>
        <v>21.84</v>
      </c>
      <c r="R547">
        <f t="shared" si="74"/>
        <v>21.5</v>
      </c>
      <c r="S547">
        <f t="shared" si="75"/>
        <v>2.79</v>
      </c>
      <c r="T547" t="str">
        <f t="shared" si="76"/>
        <v>On Time</v>
      </c>
      <c r="U547" t="str">
        <f t="shared" si="77"/>
        <v>High</v>
      </c>
      <c r="V547" t="str">
        <f t="shared" si="78"/>
        <v>Low Risk</v>
      </c>
      <c r="W547" t="str">
        <f t="shared" si="79"/>
        <v>Sep</v>
      </c>
      <c r="X547">
        <f t="shared" si="80"/>
        <v>2025</v>
      </c>
    </row>
    <row r="548" spans="1:24" x14ac:dyDescent="0.35">
      <c r="A548" s="3">
        <v>45979</v>
      </c>
      <c r="B548" t="s">
        <v>46</v>
      </c>
      <c r="C548" t="s">
        <v>130</v>
      </c>
      <c r="D548" t="s">
        <v>694</v>
      </c>
      <c r="E548" t="s">
        <v>66</v>
      </c>
      <c r="F548" t="s">
        <v>63</v>
      </c>
      <c r="G548" t="s">
        <v>35</v>
      </c>
      <c r="H548">
        <v>35.700000000000003</v>
      </c>
      <c r="I548">
        <v>2202</v>
      </c>
      <c r="J548">
        <v>56</v>
      </c>
      <c r="K548">
        <v>16.3</v>
      </c>
      <c r="L548" t="s">
        <v>78</v>
      </c>
      <c r="M548">
        <v>20210.78</v>
      </c>
      <c r="N548">
        <v>9939</v>
      </c>
      <c r="O548" t="s">
        <v>50</v>
      </c>
      <c r="P548" t="str">
        <f t="shared" si="72"/>
        <v>No</v>
      </c>
      <c r="Q548">
        <f t="shared" si="73"/>
        <v>61.68</v>
      </c>
      <c r="R548">
        <f t="shared" si="74"/>
        <v>9.18</v>
      </c>
      <c r="S548">
        <f t="shared" si="75"/>
        <v>2.0299999999999998</v>
      </c>
      <c r="T548" t="str">
        <f t="shared" si="76"/>
        <v>On Time</v>
      </c>
      <c r="U548" t="str">
        <f t="shared" si="77"/>
        <v>Low</v>
      </c>
      <c r="V548" t="str">
        <f t="shared" si="78"/>
        <v>Low Risk</v>
      </c>
      <c r="W548" t="str">
        <f t="shared" si="79"/>
        <v>Nov</v>
      </c>
      <c r="X548">
        <f t="shared" si="80"/>
        <v>2025</v>
      </c>
    </row>
    <row r="549" spans="1:24" x14ac:dyDescent="0.35">
      <c r="A549" s="3">
        <v>45996</v>
      </c>
      <c r="B549" t="s">
        <v>201</v>
      </c>
      <c r="C549" t="s">
        <v>109</v>
      </c>
      <c r="D549" t="s">
        <v>695</v>
      </c>
      <c r="E549" t="s">
        <v>28</v>
      </c>
      <c r="F549" t="s">
        <v>27</v>
      </c>
      <c r="G549" t="s">
        <v>35</v>
      </c>
      <c r="H549">
        <v>66.400000000000006</v>
      </c>
      <c r="I549">
        <v>3948</v>
      </c>
      <c r="J549">
        <v>80</v>
      </c>
      <c r="K549">
        <v>17.3</v>
      </c>
      <c r="L549" t="s">
        <v>78</v>
      </c>
      <c r="M549">
        <v>41387</v>
      </c>
      <c r="N549">
        <v>15467</v>
      </c>
      <c r="O549" t="s">
        <v>59</v>
      </c>
      <c r="P549" t="str">
        <f t="shared" si="72"/>
        <v>No</v>
      </c>
      <c r="Q549">
        <f t="shared" si="73"/>
        <v>59.46</v>
      </c>
      <c r="R549">
        <f t="shared" si="74"/>
        <v>10.48</v>
      </c>
      <c r="S549">
        <f t="shared" si="75"/>
        <v>2.68</v>
      </c>
      <c r="T549" t="str">
        <f t="shared" si="76"/>
        <v>On Time</v>
      </c>
      <c r="U549" t="str">
        <f t="shared" si="77"/>
        <v>High</v>
      </c>
      <c r="V549" t="str">
        <f t="shared" si="78"/>
        <v>Low Risk</v>
      </c>
      <c r="W549" t="str">
        <f t="shared" si="79"/>
        <v>Dec</v>
      </c>
      <c r="X549">
        <f t="shared" si="80"/>
        <v>2025</v>
      </c>
    </row>
    <row r="550" spans="1:24" x14ac:dyDescent="0.35">
      <c r="A550" s="3">
        <v>45757</v>
      </c>
      <c r="B550" t="s">
        <v>366</v>
      </c>
      <c r="C550" t="s">
        <v>69</v>
      </c>
      <c r="D550" t="s">
        <v>696</v>
      </c>
      <c r="E550" t="s">
        <v>55</v>
      </c>
      <c r="F550" t="s">
        <v>27</v>
      </c>
      <c r="G550" t="s">
        <v>35</v>
      </c>
      <c r="H550">
        <v>44.7</v>
      </c>
      <c r="I550">
        <v>4589</v>
      </c>
      <c r="J550">
        <v>63</v>
      </c>
      <c r="K550">
        <v>18.8</v>
      </c>
      <c r="L550" t="s">
        <v>43</v>
      </c>
      <c r="M550">
        <v>27700.82</v>
      </c>
      <c r="N550">
        <v>17551</v>
      </c>
      <c r="O550" t="s">
        <v>91</v>
      </c>
      <c r="P550" t="str">
        <f t="shared" si="72"/>
        <v>Yes</v>
      </c>
      <c r="Q550">
        <f t="shared" si="73"/>
        <v>102.66</v>
      </c>
      <c r="R550">
        <f t="shared" si="74"/>
        <v>6.04</v>
      </c>
      <c r="S550">
        <f t="shared" si="75"/>
        <v>1.58</v>
      </c>
      <c r="T550" t="str">
        <f t="shared" si="76"/>
        <v>Delayed</v>
      </c>
      <c r="U550" t="str">
        <f t="shared" si="77"/>
        <v>Medium</v>
      </c>
      <c r="V550" t="str">
        <f t="shared" si="78"/>
        <v>Low Risk</v>
      </c>
      <c r="W550" t="str">
        <f t="shared" si="79"/>
        <v>Apr</v>
      </c>
      <c r="X550">
        <f t="shared" si="80"/>
        <v>2025</v>
      </c>
    </row>
    <row r="551" spans="1:24" x14ac:dyDescent="0.35">
      <c r="A551" s="3">
        <v>45956</v>
      </c>
      <c r="B551" t="s">
        <v>108</v>
      </c>
      <c r="C551" t="s">
        <v>57</v>
      </c>
      <c r="D551" t="s">
        <v>697</v>
      </c>
      <c r="E551" t="s">
        <v>63</v>
      </c>
      <c r="F551" t="s">
        <v>28</v>
      </c>
      <c r="G551" t="s">
        <v>29</v>
      </c>
      <c r="H551">
        <v>71.8</v>
      </c>
      <c r="I551">
        <v>3438</v>
      </c>
      <c r="J551">
        <v>68</v>
      </c>
      <c r="K551">
        <v>21.8</v>
      </c>
      <c r="L551" t="s">
        <v>49</v>
      </c>
      <c r="M551">
        <v>43332.11</v>
      </c>
      <c r="N551">
        <v>16544</v>
      </c>
      <c r="O551" t="s">
        <v>59</v>
      </c>
      <c r="P551" t="str">
        <f t="shared" si="72"/>
        <v>Yes</v>
      </c>
      <c r="Q551">
        <f t="shared" si="73"/>
        <v>47.88</v>
      </c>
      <c r="R551">
        <f t="shared" si="74"/>
        <v>12.6</v>
      </c>
      <c r="S551">
        <f t="shared" si="75"/>
        <v>2.62</v>
      </c>
      <c r="T551" t="str">
        <f t="shared" si="76"/>
        <v>Delayed</v>
      </c>
      <c r="U551" t="str">
        <f t="shared" si="77"/>
        <v>High</v>
      </c>
      <c r="V551" t="str">
        <f t="shared" si="78"/>
        <v>High Risk</v>
      </c>
      <c r="W551" t="str">
        <f t="shared" si="79"/>
        <v>Oct</v>
      </c>
      <c r="X551">
        <f t="shared" si="80"/>
        <v>2025</v>
      </c>
    </row>
    <row r="552" spans="1:24" x14ac:dyDescent="0.35">
      <c r="A552" s="3">
        <v>45767</v>
      </c>
      <c r="B552" t="s">
        <v>136</v>
      </c>
      <c r="C552" t="s">
        <v>25</v>
      </c>
      <c r="D552" t="s">
        <v>698</v>
      </c>
      <c r="E552" t="s">
        <v>66</v>
      </c>
      <c r="F552" t="s">
        <v>48</v>
      </c>
      <c r="G552" t="s">
        <v>71</v>
      </c>
      <c r="H552">
        <v>20.9</v>
      </c>
      <c r="I552">
        <v>4550</v>
      </c>
      <c r="J552">
        <v>80</v>
      </c>
      <c r="K552">
        <v>15.6</v>
      </c>
      <c r="L552" t="s">
        <v>49</v>
      </c>
      <c r="M552">
        <v>14149.74</v>
      </c>
      <c r="N552">
        <v>9018</v>
      </c>
      <c r="O552" t="s">
        <v>91</v>
      </c>
      <c r="P552" t="str">
        <f t="shared" si="72"/>
        <v>Yes</v>
      </c>
      <c r="Q552">
        <f t="shared" si="73"/>
        <v>217.7</v>
      </c>
      <c r="R552">
        <f t="shared" si="74"/>
        <v>3.11</v>
      </c>
      <c r="S552">
        <f t="shared" si="75"/>
        <v>1.57</v>
      </c>
      <c r="T552" t="str">
        <f t="shared" si="76"/>
        <v>Delayed</v>
      </c>
      <c r="U552" t="str">
        <f t="shared" si="77"/>
        <v>Low</v>
      </c>
      <c r="V552" t="str">
        <f t="shared" si="78"/>
        <v>High Risk</v>
      </c>
      <c r="W552" t="str">
        <f t="shared" si="79"/>
        <v>Apr</v>
      </c>
      <c r="X552">
        <f t="shared" si="80"/>
        <v>2025</v>
      </c>
    </row>
    <row r="553" spans="1:24" x14ac:dyDescent="0.35">
      <c r="A553" s="3">
        <v>45961</v>
      </c>
      <c r="B553" t="s">
        <v>142</v>
      </c>
      <c r="C553" t="s">
        <v>25</v>
      </c>
      <c r="D553" t="s">
        <v>699</v>
      </c>
      <c r="E553" t="s">
        <v>54</v>
      </c>
      <c r="F553" t="s">
        <v>55</v>
      </c>
      <c r="G553" t="s">
        <v>29</v>
      </c>
      <c r="H553">
        <v>74.599999999999994</v>
      </c>
      <c r="I553">
        <v>2779</v>
      </c>
      <c r="J553">
        <v>51</v>
      </c>
      <c r="K553">
        <v>14.6</v>
      </c>
      <c r="L553" t="s">
        <v>78</v>
      </c>
      <c r="M553">
        <v>35164.29</v>
      </c>
      <c r="N553">
        <v>26018</v>
      </c>
      <c r="O553" t="s">
        <v>67</v>
      </c>
      <c r="P553" t="str">
        <f t="shared" si="72"/>
        <v>No</v>
      </c>
      <c r="Q553">
        <f t="shared" si="73"/>
        <v>37.25</v>
      </c>
      <c r="R553">
        <f t="shared" si="74"/>
        <v>12.65</v>
      </c>
      <c r="S553">
        <f t="shared" si="75"/>
        <v>1.35</v>
      </c>
      <c r="T553" t="str">
        <f t="shared" si="76"/>
        <v>On Time</v>
      </c>
      <c r="U553" t="str">
        <f t="shared" si="77"/>
        <v>High</v>
      </c>
      <c r="V553" t="str">
        <f t="shared" si="78"/>
        <v>Low Risk</v>
      </c>
      <c r="W553" t="str">
        <f t="shared" si="79"/>
        <v>Oct</v>
      </c>
      <c r="X553">
        <f t="shared" si="80"/>
        <v>2025</v>
      </c>
    </row>
    <row r="554" spans="1:24" x14ac:dyDescent="0.35">
      <c r="A554" s="3">
        <v>45755</v>
      </c>
      <c r="B554" t="s">
        <v>100</v>
      </c>
      <c r="C554" t="s">
        <v>52</v>
      </c>
      <c r="D554" t="s">
        <v>700</v>
      </c>
      <c r="E554" t="s">
        <v>48</v>
      </c>
      <c r="F554" t="s">
        <v>28</v>
      </c>
      <c r="G554" t="s">
        <v>35</v>
      </c>
      <c r="H554">
        <v>74.5</v>
      </c>
      <c r="I554">
        <v>4255</v>
      </c>
      <c r="J554">
        <v>49</v>
      </c>
      <c r="K554">
        <v>20.9</v>
      </c>
      <c r="L554" t="s">
        <v>78</v>
      </c>
      <c r="M554">
        <v>45231.26</v>
      </c>
      <c r="N554">
        <v>27664</v>
      </c>
      <c r="O554" t="s">
        <v>91</v>
      </c>
      <c r="P554" t="str">
        <f t="shared" si="72"/>
        <v>No</v>
      </c>
      <c r="Q554">
        <f t="shared" si="73"/>
        <v>57.11</v>
      </c>
      <c r="R554">
        <f t="shared" si="74"/>
        <v>10.63</v>
      </c>
      <c r="S554">
        <f t="shared" si="75"/>
        <v>1.64</v>
      </c>
      <c r="T554" t="str">
        <f t="shared" si="76"/>
        <v>On Time</v>
      </c>
      <c r="U554" t="str">
        <f t="shared" si="77"/>
        <v>High</v>
      </c>
      <c r="V554" t="str">
        <f t="shared" si="78"/>
        <v>Low Risk</v>
      </c>
      <c r="W554" t="str">
        <f t="shared" si="79"/>
        <v>Apr</v>
      </c>
      <c r="X554">
        <f t="shared" si="80"/>
        <v>2025</v>
      </c>
    </row>
    <row r="555" spans="1:24" x14ac:dyDescent="0.35">
      <c r="A555" s="3">
        <v>45877</v>
      </c>
      <c r="B555" t="s">
        <v>38</v>
      </c>
      <c r="C555" t="s">
        <v>130</v>
      </c>
      <c r="D555" t="s">
        <v>701</v>
      </c>
      <c r="E555" t="s">
        <v>27</v>
      </c>
      <c r="F555" t="s">
        <v>28</v>
      </c>
      <c r="G555" t="s">
        <v>35</v>
      </c>
      <c r="H555">
        <v>47.5</v>
      </c>
      <c r="I555">
        <v>3171</v>
      </c>
      <c r="J555">
        <v>87</v>
      </c>
      <c r="K555">
        <v>21.5</v>
      </c>
      <c r="L555" t="s">
        <v>49</v>
      </c>
      <c r="M555">
        <v>22467.91</v>
      </c>
      <c r="N555">
        <v>26742</v>
      </c>
      <c r="O555" t="s">
        <v>59</v>
      </c>
      <c r="P555" t="str">
        <f t="shared" si="72"/>
        <v>Yes</v>
      </c>
      <c r="Q555">
        <f t="shared" si="73"/>
        <v>66.760000000000005</v>
      </c>
      <c r="R555">
        <f t="shared" si="74"/>
        <v>7.09</v>
      </c>
      <c r="S555">
        <f t="shared" si="75"/>
        <v>0.84</v>
      </c>
      <c r="T555" t="str">
        <f t="shared" si="76"/>
        <v>Delayed</v>
      </c>
      <c r="U555" t="str">
        <f t="shared" si="77"/>
        <v>Medium</v>
      </c>
      <c r="V555" t="str">
        <f t="shared" si="78"/>
        <v>High Risk</v>
      </c>
      <c r="W555" t="str">
        <f t="shared" si="79"/>
        <v>Aug</v>
      </c>
      <c r="X555">
        <f t="shared" si="80"/>
        <v>2025</v>
      </c>
    </row>
    <row r="556" spans="1:24" x14ac:dyDescent="0.35">
      <c r="A556" s="3">
        <v>45790</v>
      </c>
      <c r="B556" t="s">
        <v>104</v>
      </c>
      <c r="C556" t="s">
        <v>25</v>
      </c>
      <c r="D556" t="s">
        <v>702</v>
      </c>
      <c r="E556" t="s">
        <v>48</v>
      </c>
      <c r="F556" t="s">
        <v>27</v>
      </c>
      <c r="G556" t="s">
        <v>29</v>
      </c>
      <c r="H556">
        <v>22.6</v>
      </c>
      <c r="I556">
        <v>4472</v>
      </c>
      <c r="J556">
        <v>96</v>
      </c>
      <c r="K556">
        <v>13.4</v>
      </c>
      <c r="L556" t="s">
        <v>30</v>
      </c>
      <c r="M556">
        <v>10172.17</v>
      </c>
      <c r="N556">
        <v>19484</v>
      </c>
      <c r="O556" t="s">
        <v>91</v>
      </c>
      <c r="P556" t="str">
        <f t="shared" si="72"/>
        <v>Yes</v>
      </c>
      <c r="Q556">
        <f t="shared" si="73"/>
        <v>197.88</v>
      </c>
      <c r="R556">
        <f t="shared" si="74"/>
        <v>2.27</v>
      </c>
      <c r="S556">
        <f t="shared" si="75"/>
        <v>0.52</v>
      </c>
      <c r="T556" t="str">
        <f t="shared" si="76"/>
        <v>Delayed</v>
      </c>
      <c r="U556" t="str">
        <f t="shared" si="77"/>
        <v>Low</v>
      </c>
      <c r="V556" t="str">
        <f t="shared" si="78"/>
        <v>Medium Risk</v>
      </c>
      <c r="W556" t="str">
        <f t="shared" si="79"/>
        <v>May</v>
      </c>
      <c r="X556">
        <f t="shared" si="80"/>
        <v>2025</v>
      </c>
    </row>
    <row r="557" spans="1:24" x14ac:dyDescent="0.35">
      <c r="A557" s="3">
        <v>45788</v>
      </c>
      <c r="B557" t="s">
        <v>38</v>
      </c>
      <c r="C557" t="s">
        <v>69</v>
      </c>
      <c r="D557" t="s">
        <v>703</v>
      </c>
      <c r="E557" t="s">
        <v>63</v>
      </c>
      <c r="F557" t="s">
        <v>66</v>
      </c>
      <c r="G557" t="s">
        <v>35</v>
      </c>
      <c r="H557">
        <v>39.5</v>
      </c>
      <c r="I557">
        <v>3508</v>
      </c>
      <c r="J557">
        <v>28</v>
      </c>
      <c r="K557">
        <v>13.1</v>
      </c>
      <c r="L557" t="s">
        <v>78</v>
      </c>
      <c r="M557">
        <v>18938.349999999999</v>
      </c>
      <c r="N557">
        <v>26158</v>
      </c>
      <c r="O557" t="s">
        <v>67</v>
      </c>
      <c r="P557" t="str">
        <f t="shared" si="72"/>
        <v>No</v>
      </c>
      <c r="Q557">
        <f t="shared" si="73"/>
        <v>88.81</v>
      </c>
      <c r="R557">
        <f t="shared" si="74"/>
        <v>5.4</v>
      </c>
      <c r="S557">
        <f t="shared" si="75"/>
        <v>0.72</v>
      </c>
      <c r="T557" t="str">
        <f t="shared" si="76"/>
        <v>On Time</v>
      </c>
      <c r="U557" t="str">
        <f t="shared" si="77"/>
        <v>Low</v>
      </c>
      <c r="V557" t="str">
        <f t="shared" si="78"/>
        <v>Low Risk</v>
      </c>
      <c r="W557" t="str">
        <f t="shared" si="79"/>
        <v>May</v>
      </c>
      <c r="X557">
        <f t="shared" si="80"/>
        <v>2025</v>
      </c>
    </row>
    <row r="558" spans="1:24" x14ac:dyDescent="0.35">
      <c r="A558" s="3">
        <v>45732</v>
      </c>
      <c r="B558" t="s">
        <v>159</v>
      </c>
      <c r="C558" t="s">
        <v>52</v>
      </c>
      <c r="D558" t="s">
        <v>704</v>
      </c>
      <c r="E558" t="s">
        <v>27</v>
      </c>
      <c r="F558" t="s">
        <v>48</v>
      </c>
      <c r="G558" t="s">
        <v>71</v>
      </c>
      <c r="H558">
        <v>77.3</v>
      </c>
      <c r="I558">
        <v>3912</v>
      </c>
      <c r="J558">
        <v>84</v>
      </c>
      <c r="K558">
        <v>20.3</v>
      </c>
      <c r="L558" t="s">
        <v>43</v>
      </c>
      <c r="M558">
        <v>35536.58</v>
      </c>
      <c r="N558">
        <v>19844</v>
      </c>
      <c r="O558" t="s">
        <v>59</v>
      </c>
      <c r="P558" t="str">
        <f t="shared" si="72"/>
        <v>Yes</v>
      </c>
      <c r="Q558">
        <f t="shared" si="73"/>
        <v>50.61</v>
      </c>
      <c r="R558">
        <f t="shared" si="74"/>
        <v>9.08</v>
      </c>
      <c r="S558">
        <f t="shared" si="75"/>
        <v>1.79</v>
      </c>
      <c r="T558" t="str">
        <f t="shared" si="76"/>
        <v>Delayed</v>
      </c>
      <c r="U558" t="str">
        <f t="shared" si="77"/>
        <v>High</v>
      </c>
      <c r="V558" t="str">
        <f t="shared" si="78"/>
        <v>Low Risk</v>
      </c>
      <c r="W558" t="str">
        <f t="shared" si="79"/>
        <v>Mar</v>
      </c>
      <c r="X558">
        <f t="shared" si="80"/>
        <v>2025</v>
      </c>
    </row>
    <row r="559" spans="1:24" x14ac:dyDescent="0.35">
      <c r="A559" s="3">
        <v>45785</v>
      </c>
      <c r="B559" t="s">
        <v>129</v>
      </c>
      <c r="C559" t="s">
        <v>69</v>
      </c>
      <c r="D559" t="s">
        <v>705</v>
      </c>
      <c r="E559" t="s">
        <v>41</v>
      </c>
      <c r="F559" t="s">
        <v>66</v>
      </c>
      <c r="G559" t="s">
        <v>42</v>
      </c>
      <c r="H559">
        <v>41.9</v>
      </c>
      <c r="I559">
        <v>638</v>
      </c>
      <c r="J559">
        <v>31</v>
      </c>
      <c r="K559">
        <v>14.9</v>
      </c>
      <c r="L559" t="s">
        <v>43</v>
      </c>
      <c r="M559">
        <v>27756.62</v>
      </c>
      <c r="N559">
        <v>22730</v>
      </c>
      <c r="O559" t="s">
        <v>50</v>
      </c>
      <c r="P559" t="str">
        <f t="shared" si="72"/>
        <v>Yes</v>
      </c>
      <c r="Q559">
        <f t="shared" si="73"/>
        <v>15.23</v>
      </c>
      <c r="R559">
        <f t="shared" si="74"/>
        <v>43.51</v>
      </c>
      <c r="S559">
        <f t="shared" si="75"/>
        <v>1.22</v>
      </c>
      <c r="T559" t="str">
        <f t="shared" si="76"/>
        <v>Delayed</v>
      </c>
      <c r="U559" t="str">
        <f t="shared" si="77"/>
        <v>Medium</v>
      </c>
      <c r="V559" t="str">
        <f t="shared" si="78"/>
        <v>Low Risk</v>
      </c>
      <c r="W559" t="str">
        <f t="shared" si="79"/>
        <v>May</v>
      </c>
      <c r="X559">
        <f t="shared" si="80"/>
        <v>2025</v>
      </c>
    </row>
    <row r="560" spans="1:24" x14ac:dyDescent="0.35">
      <c r="A560" s="3">
        <v>46000</v>
      </c>
      <c r="B560" t="s">
        <v>256</v>
      </c>
      <c r="C560" t="s">
        <v>130</v>
      </c>
      <c r="D560" t="s">
        <v>706</v>
      </c>
      <c r="E560" t="s">
        <v>41</v>
      </c>
      <c r="F560" t="s">
        <v>28</v>
      </c>
      <c r="G560" t="s">
        <v>71</v>
      </c>
      <c r="H560">
        <v>41.3</v>
      </c>
      <c r="I560">
        <v>1552</v>
      </c>
      <c r="J560">
        <v>35</v>
      </c>
      <c r="K560">
        <v>10.4</v>
      </c>
      <c r="L560" t="s">
        <v>78</v>
      </c>
      <c r="M560">
        <v>26995.88</v>
      </c>
      <c r="N560">
        <v>23814</v>
      </c>
      <c r="O560" t="s">
        <v>50</v>
      </c>
      <c r="P560" t="str">
        <f t="shared" si="72"/>
        <v>No</v>
      </c>
      <c r="Q560">
        <f t="shared" si="73"/>
        <v>37.58</v>
      </c>
      <c r="R560">
        <f t="shared" si="74"/>
        <v>17.39</v>
      </c>
      <c r="S560">
        <f t="shared" si="75"/>
        <v>1.1299999999999999</v>
      </c>
      <c r="T560" t="str">
        <f t="shared" si="76"/>
        <v>On Time</v>
      </c>
      <c r="U560" t="str">
        <f t="shared" si="77"/>
        <v>Medium</v>
      </c>
      <c r="V560" t="str">
        <f t="shared" si="78"/>
        <v>Low Risk</v>
      </c>
      <c r="W560" t="str">
        <f t="shared" si="79"/>
        <v>Dec</v>
      </c>
      <c r="X560">
        <f t="shared" si="80"/>
        <v>2025</v>
      </c>
    </row>
    <row r="561" spans="1:24" x14ac:dyDescent="0.35">
      <c r="A561" s="3">
        <v>45855</v>
      </c>
      <c r="B561" t="s">
        <v>291</v>
      </c>
      <c r="C561" t="s">
        <v>52</v>
      </c>
      <c r="D561" t="s">
        <v>707</v>
      </c>
      <c r="E561" t="s">
        <v>55</v>
      </c>
      <c r="F561" t="s">
        <v>48</v>
      </c>
      <c r="G561" t="s">
        <v>42</v>
      </c>
      <c r="H561">
        <v>48.8</v>
      </c>
      <c r="I561">
        <v>2139</v>
      </c>
      <c r="J561">
        <v>90</v>
      </c>
      <c r="K561">
        <v>19.100000000000001</v>
      </c>
      <c r="L561" t="s">
        <v>49</v>
      </c>
      <c r="M561">
        <v>30797.26</v>
      </c>
      <c r="N561">
        <v>12569</v>
      </c>
      <c r="O561" t="s">
        <v>84</v>
      </c>
      <c r="P561" t="str">
        <f t="shared" si="72"/>
        <v>Yes</v>
      </c>
      <c r="Q561">
        <f t="shared" si="73"/>
        <v>43.83</v>
      </c>
      <c r="R561">
        <f t="shared" si="74"/>
        <v>14.4</v>
      </c>
      <c r="S561">
        <f t="shared" si="75"/>
        <v>2.4500000000000002</v>
      </c>
      <c r="T561" t="str">
        <f t="shared" si="76"/>
        <v>Delayed</v>
      </c>
      <c r="U561" t="str">
        <f t="shared" si="77"/>
        <v>Medium</v>
      </c>
      <c r="V561" t="str">
        <f t="shared" si="78"/>
        <v>High Risk</v>
      </c>
      <c r="W561" t="str">
        <f t="shared" si="79"/>
        <v>Jul</v>
      </c>
      <c r="X561">
        <f t="shared" si="80"/>
        <v>2025</v>
      </c>
    </row>
    <row r="562" spans="1:24" x14ac:dyDescent="0.35">
      <c r="A562" s="3">
        <v>45755</v>
      </c>
      <c r="B562" t="s">
        <v>92</v>
      </c>
      <c r="C562" t="s">
        <v>52</v>
      </c>
      <c r="D562" t="s">
        <v>708</v>
      </c>
      <c r="E562" t="s">
        <v>63</v>
      </c>
      <c r="F562" t="s">
        <v>48</v>
      </c>
      <c r="G562" t="s">
        <v>71</v>
      </c>
      <c r="H562">
        <v>34.5</v>
      </c>
      <c r="I562">
        <v>506</v>
      </c>
      <c r="J562">
        <v>103</v>
      </c>
      <c r="K562">
        <v>20.3</v>
      </c>
      <c r="L562" t="s">
        <v>43</v>
      </c>
      <c r="M562">
        <v>23980.240000000002</v>
      </c>
      <c r="N562">
        <v>19647</v>
      </c>
      <c r="O562" t="s">
        <v>91</v>
      </c>
      <c r="P562" t="str">
        <f t="shared" si="72"/>
        <v>Yes</v>
      </c>
      <c r="Q562">
        <f t="shared" si="73"/>
        <v>14.67</v>
      </c>
      <c r="R562">
        <f t="shared" si="74"/>
        <v>47.39</v>
      </c>
      <c r="S562">
        <f t="shared" si="75"/>
        <v>1.22</v>
      </c>
      <c r="T562" t="str">
        <f t="shared" si="76"/>
        <v>Delayed</v>
      </c>
      <c r="U562" t="str">
        <f t="shared" si="77"/>
        <v>Low</v>
      </c>
      <c r="V562" t="str">
        <f t="shared" si="78"/>
        <v>Low Risk</v>
      </c>
      <c r="W562" t="str">
        <f t="shared" si="79"/>
        <v>Apr</v>
      </c>
      <c r="X562">
        <f t="shared" si="80"/>
        <v>2025</v>
      </c>
    </row>
    <row r="563" spans="1:24" x14ac:dyDescent="0.35">
      <c r="A563" s="3">
        <v>45782</v>
      </c>
      <c r="B563" t="s">
        <v>104</v>
      </c>
      <c r="C563" t="s">
        <v>52</v>
      </c>
      <c r="D563" t="s">
        <v>709</v>
      </c>
      <c r="E563" t="s">
        <v>63</v>
      </c>
      <c r="F563" t="s">
        <v>66</v>
      </c>
      <c r="G563" t="s">
        <v>71</v>
      </c>
      <c r="H563">
        <v>70.7</v>
      </c>
      <c r="I563">
        <v>4252</v>
      </c>
      <c r="J563">
        <v>90</v>
      </c>
      <c r="K563">
        <v>21.6</v>
      </c>
      <c r="L563" t="s">
        <v>78</v>
      </c>
      <c r="M563">
        <v>46006.17</v>
      </c>
      <c r="N563">
        <v>12825</v>
      </c>
      <c r="O563" t="s">
        <v>59</v>
      </c>
      <c r="P563" t="str">
        <f t="shared" si="72"/>
        <v>No</v>
      </c>
      <c r="Q563">
        <f t="shared" si="73"/>
        <v>60.14</v>
      </c>
      <c r="R563">
        <f t="shared" si="74"/>
        <v>10.82</v>
      </c>
      <c r="S563">
        <f t="shared" si="75"/>
        <v>3.59</v>
      </c>
      <c r="T563" t="str">
        <f t="shared" si="76"/>
        <v>On Time</v>
      </c>
      <c r="U563" t="str">
        <f t="shared" si="77"/>
        <v>High</v>
      </c>
      <c r="V563" t="str">
        <f t="shared" si="78"/>
        <v>Low Risk</v>
      </c>
      <c r="W563" t="str">
        <f t="shared" si="79"/>
        <v>May</v>
      </c>
      <c r="X563">
        <f t="shared" si="80"/>
        <v>2025</v>
      </c>
    </row>
    <row r="564" spans="1:24" x14ac:dyDescent="0.35">
      <c r="A564" s="3">
        <v>45974</v>
      </c>
      <c r="B564" t="s">
        <v>146</v>
      </c>
      <c r="C564" t="s">
        <v>39</v>
      </c>
      <c r="D564" t="s">
        <v>710</v>
      </c>
      <c r="E564" t="s">
        <v>63</v>
      </c>
      <c r="F564" t="s">
        <v>54</v>
      </c>
      <c r="G564" t="s">
        <v>71</v>
      </c>
      <c r="H564">
        <v>27.9</v>
      </c>
      <c r="I564">
        <v>1702</v>
      </c>
      <c r="J564">
        <v>72</v>
      </c>
      <c r="K564">
        <v>10.6</v>
      </c>
      <c r="L564" t="s">
        <v>78</v>
      </c>
      <c r="M564">
        <v>18112.98</v>
      </c>
      <c r="N564">
        <v>15547</v>
      </c>
      <c r="O564" t="s">
        <v>84</v>
      </c>
      <c r="P564" t="str">
        <f t="shared" si="72"/>
        <v>No</v>
      </c>
      <c r="Q564">
        <f t="shared" si="73"/>
        <v>61</v>
      </c>
      <c r="R564">
        <f t="shared" si="74"/>
        <v>10.64</v>
      </c>
      <c r="S564">
        <f t="shared" si="75"/>
        <v>1.17</v>
      </c>
      <c r="T564" t="str">
        <f t="shared" si="76"/>
        <v>On Time</v>
      </c>
      <c r="U564" t="str">
        <f t="shared" si="77"/>
        <v>Low</v>
      </c>
      <c r="V564" t="str">
        <f t="shared" si="78"/>
        <v>Low Risk</v>
      </c>
      <c r="W564" t="str">
        <f t="shared" si="79"/>
        <v>Nov</v>
      </c>
      <c r="X564">
        <f t="shared" si="80"/>
        <v>2025</v>
      </c>
    </row>
    <row r="565" spans="1:24" x14ac:dyDescent="0.35">
      <c r="A565" s="3">
        <v>46022</v>
      </c>
      <c r="B565" t="s">
        <v>24</v>
      </c>
      <c r="C565" t="s">
        <v>69</v>
      </c>
      <c r="D565" t="s">
        <v>711</v>
      </c>
      <c r="E565" t="s">
        <v>28</v>
      </c>
      <c r="F565" t="s">
        <v>55</v>
      </c>
      <c r="G565" t="s">
        <v>71</v>
      </c>
      <c r="H565">
        <v>27.4</v>
      </c>
      <c r="I565">
        <v>4609</v>
      </c>
      <c r="J565">
        <v>87</v>
      </c>
      <c r="K565">
        <v>18.399999999999999</v>
      </c>
      <c r="L565" t="s">
        <v>49</v>
      </c>
      <c r="M565">
        <v>16896.63</v>
      </c>
      <c r="N565">
        <v>15726</v>
      </c>
      <c r="O565" t="s">
        <v>67</v>
      </c>
      <c r="P565" t="str">
        <f t="shared" si="72"/>
        <v>Yes</v>
      </c>
      <c r="Q565">
        <f t="shared" si="73"/>
        <v>168.21</v>
      </c>
      <c r="R565">
        <f t="shared" si="74"/>
        <v>3.67</v>
      </c>
      <c r="S565">
        <f t="shared" si="75"/>
        <v>1.07</v>
      </c>
      <c r="T565" t="str">
        <f t="shared" si="76"/>
        <v>Delayed</v>
      </c>
      <c r="U565" t="str">
        <f t="shared" si="77"/>
        <v>Low</v>
      </c>
      <c r="V565" t="str">
        <f t="shared" si="78"/>
        <v>High Risk</v>
      </c>
      <c r="W565" t="str">
        <f t="shared" si="79"/>
        <v>Dec</v>
      </c>
      <c r="X565">
        <f t="shared" si="80"/>
        <v>2025</v>
      </c>
    </row>
    <row r="566" spans="1:24" x14ac:dyDescent="0.35">
      <c r="A566" s="3">
        <v>45809</v>
      </c>
      <c r="B566" t="s">
        <v>98</v>
      </c>
      <c r="C566" t="s">
        <v>57</v>
      </c>
      <c r="D566" t="s">
        <v>712</v>
      </c>
      <c r="E566" t="s">
        <v>27</v>
      </c>
      <c r="F566" t="s">
        <v>48</v>
      </c>
      <c r="G566" t="s">
        <v>29</v>
      </c>
      <c r="H566">
        <v>30.6</v>
      </c>
      <c r="I566">
        <v>4774</v>
      </c>
      <c r="J566">
        <v>50</v>
      </c>
      <c r="K566">
        <v>15.5</v>
      </c>
      <c r="L566" t="s">
        <v>78</v>
      </c>
      <c r="M566">
        <v>17423.009999999998</v>
      </c>
      <c r="N566">
        <v>23272</v>
      </c>
      <c r="O566" t="s">
        <v>91</v>
      </c>
      <c r="P566" t="str">
        <f t="shared" si="72"/>
        <v>No</v>
      </c>
      <c r="Q566">
        <f t="shared" si="73"/>
        <v>156.01</v>
      </c>
      <c r="R566">
        <f t="shared" si="74"/>
        <v>3.65</v>
      </c>
      <c r="S566">
        <f t="shared" si="75"/>
        <v>0.75</v>
      </c>
      <c r="T566" t="str">
        <f t="shared" si="76"/>
        <v>On Time</v>
      </c>
      <c r="U566" t="str">
        <f t="shared" si="77"/>
        <v>Low</v>
      </c>
      <c r="V566" t="str">
        <f t="shared" si="78"/>
        <v>Low Risk</v>
      </c>
      <c r="W566" t="str">
        <f t="shared" si="79"/>
        <v>Jun</v>
      </c>
      <c r="X566">
        <f t="shared" si="80"/>
        <v>2025</v>
      </c>
    </row>
    <row r="567" spans="1:24" x14ac:dyDescent="0.35">
      <c r="A567" s="3">
        <v>45811</v>
      </c>
      <c r="B567" t="s">
        <v>118</v>
      </c>
      <c r="C567" t="s">
        <v>57</v>
      </c>
      <c r="D567" t="s">
        <v>713</v>
      </c>
      <c r="E567" t="s">
        <v>41</v>
      </c>
      <c r="F567" t="s">
        <v>27</v>
      </c>
      <c r="G567" t="s">
        <v>29</v>
      </c>
      <c r="H567">
        <v>64.599999999999994</v>
      </c>
      <c r="I567">
        <v>3195</v>
      </c>
      <c r="J567">
        <v>64</v>
      </c>
      <c r="K567">
        <v>12</v>
      </c>
      <c r="L567" t="s">
        <v>49</v>
      </c>
      <c r="M567">
        <v>41704.89</v>
      </c>
      <c r="N567">
        <v>24043</v>
      </c>
      <c r="O567" t="s">
        <v>67</v>
      </c>
      <c r="P567" t="str">
        <f t="shared" si="72"/>
        <v>Yes</v>
      </c>
      <c r="Q567">
        <f t="shared" si="73"/>
        <v>49.46</v>
      </c>
      <c r="R567">
        <f t="shared" si="74"/>
        <v>13.05</v>
      </c>
      <c r="S567">
        <f t="shared" si="75"/>
        <v>1.73</v>
      </c>
      <c r="T567" t="str">
        <f t="shared" si="76"/>
        <v>Delayed</v>
      </c>
      <c r="U567" t="str">
        <f t="shared" si="77"/>
        <v>High</v>
      </c>
      <c r="V567" t="str">
        <f t="shared" si="78"/>
        <v>High Risk</v>
      </c>
      <c r="W567" t="str">
        <f t="shared" si="79"/>
        <v>Jun</v>
      </c>
      <c r="X567">
        <f t="shared" si="80"/>
        <v>2025</v>
      </c>
    </row>
    <row r="568" spans="1:24" x14ac:dyDescent="0.35">
      <c r="A568" s="3">
        <v>45978</v>
      </c>
      <c r="B568" t="s">
        <v>142</v>
      </c>
      <c r="C568" t="s">
        <v>39</v>
      </c>
      <c r="D568" t="s">
        <v>714</v>
      </c>
      <c r="E568" t="s">
        <v>54</v>
      </c>
      <c r="F568" t="s">
        <v>63</v>
      </c>
      <c r="G568" t="s">
        <v>35</v>
      </c>
      <c r="H568">
        <v>58.1</v>
      </c>
      <c r="I568">
        <v>935</v>
      </c>
      <c r="J568">
        <v>105</v>
      </c>
      <c r="K568">
        <v>11.7</v>
      </c>
      <c r="L568" t="s">
        <v>43</v>
      </c>
      <c r="M568">
        <v>36340.129999999997</v>
      </c>
      <c r="N568">
        <v>20305</v>
      </c>
      <c r="O568" t="s">
        <v>31</v>
      </c>
      <c r="P568" t="str">
        <f t="shared" si="72"/>
        <v>Yes</v>
      </c>
      <c r="Q568">
        <f t="shared" si="73"/>
        <v>16.09</v>
      </c>
      <c r="R568">
        <f t="shared" si="74"/>
        <v>38.869999999999997</v>
      </c>
      <c r="S568">
        <f t="shared" si="75"/>
        <v>1.79</v>
      </c>
      <c r="T568" t="str">
        <f t="shared" si="76"/>
        <v>Delayed</v>
      </c>
      <c r="U568" t="str">
        <f t="shared" si="77"/>
        <v>Medium</v>
      </c>
      <c r="V568" t="str">
        <f t="shared" si="78"/>
        <v>Low Risk</v>
      </c>
      <c r="W568" t="str">
        <f t="shared" si="79"/>
        <v>Nov</v>
      </c>
      <c r="X568">
        <f t="shared" si="80"/>
        <v>2025</v>
      </c>
    </row>
    <row r="569" spans="1:24" x14ac:dyDescent="0.35">
      <c r="A569" s="3">
        <v>45779</v>
      </c>
      <c r="B569" t="s">
        <v>61</v>
      </c>
      <c r="C569" t="s">
        <v>95</v>
      </c>
      <c r="D569" t="s">
        <v>715</v>
      </c>
      <c r="E569" t="s">
        <v>54</v>
      </c>
      <c r="F569" t="s">
        <v>27</v>
      </c>
      <c r="G569" t="s">
        <v>35</v>
      </c>
      <c r="H569">
        <v>63</v>
      </c>
      <c r="I569">
        <v>3463</v>
      </c>
      <c r="J569">
        <v>76</v>
      </c>
      <c r="K569">
        <v>11.2</v>
      </c>
      <c r="L569" t="s">
        <v>43</v>
      </c>
      <c r="M569">
        <v>33968.94</v>
      </c>
      <c r="N569">
        <v>9784</v>
      </c>
      <c r="O569" t="s">
        <v>84</v>
      </c>
      <c r="P569" t="str">
        <f t="shared" si="72"/>
        <v>Yes</v>
      </c>
      <c r="Q569">
        <f t="shared" si="73"/>
        <v>54.97</v>
      </c>
      <c r="R569">
        <f t="shared" si="74"/>
        <v>9.81</v>
      </c>
      <c r="S569">
        <f t="shared" si="75"/>
        <v>3.47</v>
      </c>
      <c r="T569" t="str">
        <f t="shared" si="76"/>
        <v>Delayed</v>
      </c>
      <c r="U569" t="str">
        <f t="shared" si="77"/>
        <v>High</v>
      </c>
      <c r="V569" t="str">
        <f t="shared" si="78"/>
        <v>Low Risk</v>
      </c>
      <c r="W569" t="str">
        <f t="shared" si="79"/>
        <v>May</v>
      </c>
      <c r="X569">
        <f t="shared" si="80"/>
        <v>2025</v>
      </c>
    </row>
    <row r="570" spans="1:24" x14ac:dyDescent="0.35">
      <c r="A570" s="3">
        <v>45854</v>
      </c>
      <c r="B570" t="s">
        <v>64</v>
      </c>
      <c r="C570" t="s">
        <v>69</v>
      </c>
      <c r="D570" t="s">
        <v>716</v>
      </c>
      <c r="E570" t="s">
        <v>66</v>
      </c>
      <c r="F570" t="s">
        <v>54</v>
      </c>
      <c r="G570" t="s">
        <v>71</v>
      </c>
      <c r="H570">
        <v>20.7</v>
      </c>
      <c r="I570">
        <v>4289</v>
      </c>
      <c r="J570">
        <v>109</v>
      </c>
      <c r="K570">
        <v>13.5</v>
      </c>
      <c r="L570" t="s">
        <v>78</v>
      </c>
      <c r="M570">
        <v>13491.56</v>
      </c>
      <c r="N570">
        <v>8561</v>
      </c>
      <c r="O570" t="s">
        <v>31</v>
      </c>
      <c r="P570" t="str">
        <f t="shared" si="72"/>
        <v>No</v>
      </c>
      <c r="Q570">
        <f t="shared" si="73"/>
        <v>207.2</v>
      </c>
      <c r="R570">
        <f t="shared" si="74"/>
        <v>3.15</v>
      </c>
      <c r="S570">
        <f t="shared" si="75"/>
        <v>1.58</v>
      </c>
      <c r="T570" t="str">
        <f t="shared" si="76"/>
        <v>On Time</v>
      </c>
      <c r="U570" t="str">
        <f t="shared" si="77"/>
        <v>Low</v>
      </c>
      <c r="V570" t="str">
        <f t="shared" si="78"/>
        <v>Low Risk</v>
      </c>
      <c r="W570" t="str">
        <f t="shared" si="79"/>
        <v>Jul</v>
      </c>
      <c r="X570">
        <f t="shared" si="80"/>
        <v>2025</v>
      </c>
    </row>
    <row r="571" spans="1:24" x14ac:dyDescent="0.35">
      <c r="A571" s="3">
        <v>45710</v>
      </c>
      <c r="B571" t="s">
        <v>102</v>
      </c>
      <c r="C571" t="s">
        <v>109</v>
      </c>
      <c r="D571" t="s">
        <v>717</v>
      </c>
      <c r="E571" t="s">
        <v>55</v>
      </c>
      <c r="F571" t="s">
        <v>54</v>
      </c>
      <c r="G571" t="s">
        <v>71</v>
      </c>
      <c r="H571">
        <v>79.400000000000006</v>
      </c>
      <c r="I571">
        <v>3233</v>
      </c>
      <c r="J571">
        <v>31</v>
      </c>
      <c r="K571">
        <v>14.8</v>
      </c>
      <c r="L571" t="s">
        <v>43</v>
      </c>
      <c r="M571">
        <v>41394.160000000003</v>
      </c>
      <c r="N571">
        <v>9504</v>
      </c>
      <c r="O571" t="s">
        <v>31</v>
      </c>
      <c r="P571" t="str">
        <f t="shared" si="72"/>
        <v>Yes</v>
      </c>
      <c r="Q571">
        <f t="shared" si="73"/>
        <v>40.72</v>
      </c>
      <c r="R571">
        <f t="shared" si="74"/>
        <v>12.8</v>
      </c>
      <c r="S571">
        <f t="shared" si="75"/>
        <v>4.3600000000000003</v>
      </c>
      <c r="T571" t="str">
        <f t="shared" si="76"/>
        <v>Delayed</v>
      </c>
      <c r="U571" t="str">
        <f t="shared" si="77"/>
        <v>High</v>
      </c>
      <c r="V571" t="str">
        <f t="shared" si="78"/>
        <v>Low Risk</v>
      </c>
      <c r="W571" t="str">
        <f t="shared" si="79"/>
        <v>Feb</v>
      </c>
      <c r="X571">
        <f t="shared" si="80"/>
        <v>2025</v>
      </c>
    </row>
    <row r="572" spans="1:24" x14ac:dyDescent="0.35">
      <c r="A572" s="3">
        <v>46015</v>
      </c>
      <c r="B572" t="s">
        <v>104</v>
      </c>
      <c r="C572" t="s">
        <v>25</v>
      </c>
      <c r="D572" t="s">
        <v>718</v>
      </c>
      <c r="E572" t="s">
        <v>41</v>
      </c>
      <c r="F572" t="s">
        <v>48</v>
      </c>
      <c r="G572" t="s">
        <v>71</v>
      </c>
      <c r="H572">
        <v>55.8</v>
      </c>
      <c r="I572">
        <v>4808</v>
      </c>
      <c r="J572">
        <v>105</v>
      </c>
      <c r="K572">
        <v>19.899999999999999</v>
      </c>
      <c r="L572" t="s">
        <v>30</v>
      </c>
      <c r="M572">
        <v>28811.08</v>
      </c>
      <c r="N572">
        <v>21465</v>
      </c>
      <c r="O572" t="s">
        <v>31</v>
      </c>
      <c r="P572" t="str">
        <f t="shared" si="72"/>
        <v>Yes</v>
      </c>
      <c r="Q572">
        <f t="shared" si="73"/>
        <v>86.16</v>
      </c>
      <c r="R572">
        <f t="shared" si="74"/>
        <v>5.99</v>
      </c>
      <c r="S572">
        <f t="shared" si="75"/>
        <v>1.34</v>
      </c>
      <c r="T572" t="str">
        <f t="shared" si="76"/>
        <v>Delayed</v>
      </c>
      <c r="U572" t="str">
        <f t="shared" si="77"/>
        <v>Medium</v>
      </c>
      <c r="V572" t="str">
        <f t="shared" si="78"/>
        <v>Medium Risk</v>
      </c>
      <c r="W572" t="str">
        <f t="shared" si="79"/>
        <v>Dec</v>
      </c>
      <c r="X572">
        <f t="shared" si="80"/>
        <v>2025</v>
      </c>
    </row>
    <row r="573" spans="1:24" x14ac:dyDescent="0.35">
      <c r="A573" s="3">
        <v>46000</v>
      </c>
      <c r="B573" t="s">
        <v>133</v>
      </c>
      <c r="C573" t="s">
        <v>25</v>
      </c>
      <c r="D573" t="s">
        <v>719</v>
      </c>
      <c r="E573" t="s">
        <v>48</v>
      </c>
      <c r="F573" t="s">
        <v>27</v>
      </c>
      <c r="G573" t="s">
        <v>42</v>
      </c>
      <c r="H573">
        <v>50.3</v>
      </c>
      <c r="I573">
        <v>4077</v>
      </c>
      <c r="J573">
        <v>49</v>
      </c>
      <c r="K573">
        <v>15.3</v>
      </c>
      <c r="L573" t="s">
        <v>30</v>
      </c>
      <c r="M573">
        <v>31048.25</v>
      </c>
      <c r="N573">
        <v>9282</v>
      </c>
      <c r="O573" t="s">
        <v>36</v>
      </c>
      <c r="P573" t="str">
        <f t="shared" si="72"/>
        <v>Yes</v>
      </c>
      <c r="Q573">
        <f t="shared" si="73"/>
        <v>81.05</v>
      </c>
      <c r="R573">
        <f t="shared" si="74"/>
        <v>7.62</v>
      </c>
      <c r="S573">
        <f t="shared" si="75"/>
        <v>3.34</v>
      </c>
      <c r="T573" t="str">
        <f t="shared" si="76"/>
        <v>Delayed</v>
      </c>
      <c r="U573" t="str">
        <f t="shared" si="77"/>
        <v>Medium</v>
      </c>
      <c r="V573" t="str">
        <f t="shared" si="78"/>
        <v>Medium Risk</v>
      </c>
      <c r="W573" t="str">
        <f t="shared" si="79"/>
        <v>Dec</v>
      </c>
      <c r="X573">
        <f t="shared" si="80"/>
        <v>2025</v>
      </c>
    </row>
    <row r="574" spans="1:24" x14ac:dyDescent="0.35">
      <c r="A574" s="3">
        <v>45896</v>
      </c>
      <c r="B574" t="s">
        <v>171</v>
      </c>
      <c r="C574" t="s">
        <v>95</v>
      </c>
      <c r="D574" t="s">
        <v>720</v>
      </c>
      <c r="E574" t="s">
        <v>66</v>
      </c>
      <c r="F574" t="s">
        <v>48</v>
      </c>
      <c r="G574" t="s">
        <v>29</v>
      </c>
      <c r="H574">
        <v>31</v>
      </c>
      <c r="I574">
        <v>1606</v>
      </c>
      <c r="J574">
        <v>73</v>
      </c>
      <c r="K574">
        <v>19.100000000000001</v>
      </c>
      <c r="L574" t="s">
        <v>43</v>
      </c>
      <c r="M574">
        <v>21307.75</v>
      </c>
      <c r="N574">
        <v>6140</v>
      </c>
      <c r="O574" t="s">
        <v>84</v>
      </c>
      <c r="P574" t="str">
        <f t="shared" si="72"/>
        <v>Yes</v>
      </c>
      <c r="Q574">
        <f t="shared" si="73"/>
        <v>51.81</v>
      </c>
      <c r="R574">
        <f t="shared" si="74"/>
        <v>13.27</v>
      </c>
      <c r="S574">
        <f t="shared" si="75"/>
        <v>3.47</v>
      </c>
      <c r="T574" t="str">
        <f t="shared" si="76"/>
        <v>Delayed</v>
      </c>
      <c r="U574" t="str">
        <f t="shared" si="77"/>
        <v>Low</v>
      </c>
      <c r="V574" t="str">
        <f t="shared" si="78"/>
        <v>Low Risk</v>
      </c>
      <c r="W574" t="str">
        <f t="shared" si="79"/>
        <v>Aug</v>
      </c>
      <c r="X574">
        <f t="shared" si="80"/>
        <v>2025</v>
      </c>
    </row>
    <row r="575" spans="1:24" x14ac:dyDescent="0.35">
      <c r="A575" s="3">
        <v>45806</v>
      </c>
      <c r="B575" t="s">
        <v>217</v>
      </c>
      <c r="C575" t="s">
        <v>39</v>
      </c>
      <c r="D575" t="s">
        <v>721</v>
      </c>
      <c r="E575" t="s">
        <v>48</v>
      </c>
      <c r="F575" t="s">
        <v>63</v>
      </c>
      <c r="G575" t="s">
        <v>29</v>
      </c>
      <c r="H575">
        <v>76.900000000000006</v>
      </c>
      <c r="I575">
        <v>3059</v>
      </c>
      <c r="J575">
        <v>74</v>
      </c>
      <c r="K575">
        <v>20.2</v>
      </c>
      <c r="L575" t="s">
        <v>78</v>
      </c>
      <c r="M575">
        <v>38425.9</v>
      </c>
      <c r="N575">
        <v>26326</v>
      </c>
      <c r="O575" t="s">
        <v>50</v>
      </c>
      <c r="P575" t="str">
        <f t="shared" si="72"/>
        <v>No</v>
      </c>
      <c r="Q575">
        <f t="shared" si="73"/>
        <v>39.78</v>
      </c>
      <c r="R575">
        <f t="shared" si="74"/>
        <v>12.56</v>
      </c>
      <c r="S575">
        <f t="shared" si="75"/>
        <v>1.46</v>
      </c>
      <c r="T575" t="str">
        <f t="shared" si="76"/>
        <v>On Time</v>
      </c>
      <c r="U575" t="str">
        <f t="shared" si="77"/>
        <v>High</v>
      </c>
      <c r="V575" t="str">
        <f t="shared" si="78"/>
        <v>Low Risk</v>
      </c>
      <c r="W575" t="str">
        <f t="shared" si="79"/>
        <v>May</v>
      </c>
      <c r="X575">
        <f t="shared" si="80"/>
        <v>2025</v>
      </c>
    </row>
    <row r="576" spans="1:24" x14ac:dyDescent="0.35">
      <c r="A576" s="3">
        <v>45817</v>
      </c>
      <c r="B576" t="s">
        <v>111</v>
      </c>
      <c r="C576" t="s">
        <v>52</v>
      </c>
      <c r="D576" t="s">
        <v>722</v>
      </c>
      <c r="E576" t="s">
        <v>48</v>
      </c>
      <c r="F576" t="s">
        <v>66</v>
      </c>
      <c r="G576" t="s">
        <v>35</v>
      </c>
      <c r="H576">
        <v>29.7</v>
      </c>
      <c r="I576">
        <v>2712</v>
      </c>
      <c r="J576">
        <v>34</v>
      </c>
      <c r="K576">
        <v>15.7</v>
      </c>
      <c r="L576" t="s">
        <v>78</v>
      </c>
      <c r="M576">
        <v>15163.73</v>
      </c>
      <c r="N576">
        <v>7538</v>
      </c>
      <c r="O576" t="s">
        <v>59</v>
      </c>
      <c r="P576" t="str">
        <f t="shared" si="72"/>
        <v>No</v>
      </c>
      <c r="Q576">
        <f t="shared" si="73"/>
        <v>91.31</v>
      </c>
      <c r="R576">
        <f t="shared" si="74"/>
        <v>5.59</v>
      </c>
      <c r="S576">
        <f t="shared" si="75"/>
        <v>2.0099999999999998</v>
      </c>
      <c r="T576" t="str">
        <f t="shared" si="76"/>
        <v>On Time</v>
      </c>
      <c r="U576" t="str">
        <f t="shared" si="77"/>
        <v>Low</v>
      </c>
      <c r="V576" t="str">
        <f t="shared" si="78"/>
        <v>Low Risk</v>
      </c>
      <c r="W576" t="str">
        <f t="shared" si="79"/>
        <v>Jun</v>
      </c>
      <c r="X576">
        <f t="shared" si="80"/>
        <v>2025</v>
      </c>
    </row>
    <row r="577" spans="1:24" x14ac:dyDescent="0.35">
      <c r="A577" s="3">
        <v>45889</v>
      </c>
      <c r="B577" t="s">
        <v>256</v>
      </c>
      <c r="C577" t="s">
        <v>52</v>
      </c>
      <c r="D577" t="s">
        <v>723</v>
      </c>
      <c r="E577" t="s">
        <v>55</v>
      </c>
      <c r="F577" t="s">
        <v>63</v>
      </c>
      <c r="G577" t="s">
        <v>42</v>
      </c>
      <c r="H577">
        <v>24.2</v>
      </c>
      <c r="I577">
        <v>1542</v>
      </c>
      <c r="J577">
        <v>36</v>
      </c>
      <c r="K577">
        <v>13.2</v>
      </c>
      <c r="L577" t="s">
        <v>30</v>
      </c>
      <c r="M577">
        <v>12550.38</v>
      </c>
      <c r="N577">
        <v>5652</v>
      </c>
      <c r="O577" t="s">
        <v>91</v>
      </c>
      <c r="P577" t="str">
        <f t="shared" si="72"/>
        <v>Yes</v>
      </c>
      <c r="Q577">
        <f t="shared" si="73"/>
        <v>63.72</v>
      </c>
      <c r="R577">
        <f t="shared" si="74"/>
        <v>8.14</v>
      </c>
      <c r="S577">
        <f t="shared" si="75"/>
        <v>2.2200000000000002</v>
      </c>
      <c r="T577" t="str">
        <f t="shared" si="76"/>
        <v>Delayed</v>
      </c>
      <c r="U577" t="str">
        <f t="shared" si="77"/>
        <v>Low</v>
      </c>
      <c r="V577" t="str">
        <f t="shared" si="78"/>
        <v>Medium Risk</v>
      </c>
      <c r="W577" t="str">
        <f t="shared" si="79"/>
        <v>Aug</v>
      </c>
      <c r="X577">
        <f t="shared" si="80"/>
        <v>2025</v>
      </c>
    </row>
    <row r="578" spans="1:24" x14ac:dyDescent="0.35">
      <c r="A578" s="3">
        <v>45815</v>
      </c>
      <c r="B578" t="s">
        <v>115</v>
      </c>
      <c r="C578" t="s">
        <v>57</v>
      </c>
      <c r="D578" t="s">
        <v>724</v>
      </c>
      <c r="E578" t="s">
        <v>63</v>
      </c>
      <c r="F578" t="s">
        <v>66</v>
      </c>
      <c r="G578" t="s">
        <v>71</v>
      </c>
      <c r="H578">
        <v>78.599999999999994</v>
      </c>
      <c r="I578">
        <v>4593</v>
      </c>
      <c r="J578">
        <v>48</v>
      </c>
      <c r="K578">
        <v>13.8</v>
      </c>
      <c r="L578" t="s">
        <v>49</v>
      </c>
      <c r="M578">
        <v>54269.81</v>
      </c>
      <c r="N578">
        <v>12281</v>
      </c>
      <c r="O578" t="s">
        <v>50</v>
      </c>
      <c r="P578" t="str">
        <f t="shared" ref="P578:P641" si="81">IF(OR(L578="Rain",L578="Fog",L578="Storm"),"Yes","No")</f>
        <v>Yes</v>
      </c>
      <c r="Q578">
        <f t="shared" ref="Q578:Q641" si="82">ROUND(I578/H578,2)</f>
        <v>58.44</v>
      </c>
      <c r="R578">
        <f t="shared" ref="R578:R641" si="83">ROUND(M578/I578,2)</f>
        <v>11.82</v>
      </c>
      <c r="S578">
        <f t="shared" ref="S578:S641" si="84">ROUND(M578/N578,2)</f>
        <v>4.42</v>
      </c>
      <c r="T578" t="str">
        <f t="shared" ref="T578:T641" si="85">IF(P578="Yes","Delayed","On Time")</f>
        <v>Delayed</v>
      </c>
      <c r="U578" t="str">
        <f t="shared" ref="U578:U641" si="86">IF(H578&gt;=60,"High",IF(H578&gt;=40,"Medium","Low"))</f>
        <v>High</v>
      </c>
      <c r="V578" t="str">
        <f t="shared" ref="V578:V641" si="87">IF(L578="Storm","High Risk",IF(L578="Rain","Medium Risk","Low Risk"))</f>
        <v>High Risk</v>
      </c>
      <c r="W578" t="str">
        <f t="shared" ref="W578:W641" si="88">TEXT(A578,"mmm")</f>
        <v>Jun</v>
      </c>
      <c r="X578">
        <f t="shared" si="80"/>
        <v>2025</v>
      </c>
    </row>
    <row r="579" spans="1:24" x14ac:dyDescent="0.35">
      <c r="A579" s="3">
        <v>46014</v>
      </c>
      <c r="B579" t="s">
        <v>236</v>
      </c>
      <c r="C579" t="s">
        <v>57</v>
      </c>
      <c r="D579" t="s">
        <v>725</v>
      </c>
      <c r="E579" t="s">
        <v>54</v>
      </c>
      <c r="F579" t="s">
        <v>66</v>
      </c>
      <c r="G579" t="s">
        <v>35</v>
      </c>
      <c r="H579">
        <v>76.099999999999994</v>
      </c>
      <c r="I579">
        <v>1810</v>
      </c>
      <c r="J579">
        <v>86</v>
      </c>
      <c r="K579">
        <v>13</v>
      </c>
      <c r="L579" t="s">
        <v>78</v>
      </c>
      <c r="M579">
        <v>45510.46</v>
      </c>
      <c r="N579">
        <v>24524</v>
      </c>
      <c r="O579" t="s">
        <v>91</v>
      </c>
      <c r="P579" t="str">
        <f t="shared" si="81"/>
        <v>No</v>
      </c>
      <c r="Q579">
        <f t="shared" si="82"/>
        <v>23.78</v>
      </c>
      <c r="R579">
        <f t="shared" si="83"/>
        <v>25.14</v>
      </c>
      <c r="S579">
        <f t="shared" si="84"/>
        <v>1.86</v>
      </c>
      <c r="T579" t="str">
        <f t="shared" si="85"/>
        <v>On Time</v>
      </c>
      <c r="U579" t="str">
        <f t="shared" si="86"/>
        <v>High</v>
      </c>
      <c r="V579" t="str">
        <f t="shared" si="87"/>
        <v>Low Risk</v>
      </c>
      <c r="W579" t="str">
        <f t="shared" si="88"/>
        <v>Dec</v>
      </c>
      <c r="X579">
        <f t="shared" ref="X579:X642" si="89">YEAR(A579)</f>
        <v>2025</v>
      </c>
    </row>
    <row r="580" spans="1:24" x14ac:dyDescent="0.35">
      <c r="A580" s="3">
        <v>45690</v>
      </c>
      <c r="B580" t="s">
        <v>277</v>
      </c>
      <c r="C580" t="s">
        <v>109</v>
      </c>
      <c r="D580" t="s">
        <v>726</v>
      </c>
      <c r="E580" t="s">
        <v>48</v>
      </c>
      <c r="F580" t="s">
        <v>41</v>
      </c>
      <c r="G580" t="s">
        <v>35</v>
      </c>
      <c r="H580">
        <v>62</v>
      </c>
      <c r="I580">
        <v>3569</v>
      </c>
      <c r="J580">
        <v>73</v>
      </c>
      <c r="K580">
        <v>19.399999999999999</v>
      </c>
      <c r="L580" t="s">
        <v>49</v>
      </c>
      <c r="M580">
        <v>31532.63</v>
      </c>
      <c r="N580">
        <v>21138</v>
      </c>
      <c r="O580" t="s">
        <v>84</v>
      </c>
      <c r="P580" t="str">
        <f t="shared" si="81"/>
        <v>Yes</v>
      </c>
      <c r="Q580">
        <f t="shared" si="82"/>
        <v>57.56</v>
      </c>
      <c r="R580">
        <f t="shared" si="83"/>
        <v>8.84</v>
      </c>
      <c r="S580">
        <f t="shared" si="84"/>
        <v>1.49</v>
      </c>
      <c r="T580" t="str">
        <f t="shared" si="85"/>
        <v>Delayed</v>
      </c>
      <c r="U580" t="str">
        <f t="shared" si="86"/>
        <v>High</v>
      </c>
      <c r="V580" t="str">
        <f t="shared" si="87"/>
        <v>High Risk</v>
      </c>
      <c r="W580" t="str">
        <f t="shared" si="88"/>
        <v>Feb</v>
      </c>
      <c r="X580">
        <f t="shared" si="89"/>
        <v>2025</v>
      </c>
    </row>
    <row r="581" spans="1:24" x14ac:dyDescent="0.35">
      <c r="A581" s="3">
        <v>45703</v>
      </c>
      <c r="B581" t="s">
        <v>250</v>
      </c>
      <c r="C581" t="s">
        <v>57</v>
      </c>
      <c r="D581" t="s">
        <v>727</v>
      </c>
      <c r="E581" t="s">
        <v>63</v>
      </c>
      <c r="F581" t="s">
        <v>28</v>
      </c>
      <c r="G581" t="s">
        <v>29</v>
      </c>
      <c r="H581">
        <v>66.8</v>
      </c>
      <c r="I581">
        <v>4988</v>
      </c>
      <c r="J581">
        <v>88</v>
      </c>
      <c r="K581">
        <v>19.899999999999999</v>
      </c>
      <c r="L581" t="s">
        <v>78</v>
      </c>
      <c r="M581">
        <v>39891.14</v>
      </c>
      <c r="N581">
        <v>8987</v>
      </c>
      <c r="O581" t="s">
        <v>91</v>
      </c>
      <c r="P581" t="str">
        <f t="shared" si="81"/>
        <v>No</v>
      </c>
      <c r="Q581">
        <f t="shared" si="82"/>
        <v>74.67</v>
      </c>
      <c r="R581">
        <f t="shared" si="83"/>
        <v>8</v>
      </c>
      <c r="S581">
        <f t="shared" si="84"/>
        <v>4.4400000000000004</v>
      </c>
      <c r="T581" t="str">
        <f t="shared" si="85"/>
        <v>On Time</v>
      </c>
      <c r="U581" t="str">
        <f t="shared" si="86"/>
        <v>High</v>
      </c>
      <c r="V581" t="str">
        <f t="shared" si="87"/>
        <v>Low Risk</v>
      </c>
      <c r="W581" t="str">
        <f t="shared" si="88"/>
        <v>Feb</v>
      </c>
      <c r="X581">
        <f t="shared" si="89"/>
        <v>2025</v>
      </c>
    </row>
    <row r="582" spans="1:24" x14ac:dyDescent="0.35">
      <c r="A582" s="3">
        <v>45788</v>
      </c>
      <c r="B582" t="s">
        <v>111</v>
      </c>
      <c r="C582" t="s">
        <v>57</v>
      </c>
      <c r="D582" t="s">
        <v>728</v>
      </c>
      <c r="E582" t="s">
        <v>41</v>
      </c>
      <c r="F582" t="s">
        <v>63</v>
      </c>
      <c r="G582" t="s">
        <v>42</v>
      </c>
      <c r="H582">
        <v>39.4</v>
      </c>
      <c r="I582">
        <v>2459</v>
      </c>
      <c r="J582">
        <v>92</v>
      </c>
      <c r="K582">
        <v>11.8</v>
      </c>
      <c r="L582" t="s">
        <v>49</v>
      </c>
      <c r="M582">
        <v>20028.41</v>
      </c>
      <c r="N582">
        <v>26193</v>
      </c>
      <c r="O582" t="s">
        <v>36</v>
      </c>
      <c r="P582" t="str">
        <f t="shared" si="81"/>
        <v>Yes</v>
      </c>
      <c r="Q582">
        <f t="shared" si="82"/>
        <v>62.41</v>
      </c>
      <c r="R582">
        <f t="shared" si="83"/>
        <v>8.14</v>
      </c>
      <c r="S582">
        <f t="shared" si="84"/>
        <v>0.76</v>
      </c>
      <c r="T582" t="str">
        <f t="shared" si="85"/>
        <v>Delayed</v>
      </c>
      <c r="U582" t="str">
        <f t="shared" si="86"/>
        <v>Low</v>
      </c>
      <c r="V582" t="str">
        <f t="shared" si="87"/>
        <v>High Risk</v>
      </c>
      <c r="W582" t="str">
        <f t="shared" si="88"/>
        <v>May</v>
      </c>
      <c r="X582">
        <f t="shared" si="89"/>
        <v>2025</v>
      </c>
    </row>
    <row r="583" spans="1:24" x14ac:dyDescent="0.35">
      <c r="A583" s="3">
        <v>46014</v>
      </c>
      <c r="B583" t="s">
        <v>68</v>
      </c>
      <c r="C583" t="s">
        <v>69</v>
      </c>
      <c r="D583" t="s">
        <v>729</v>
      </c>
      <c r="E583" t="s">
        <v>66</v>
      </c>
      <c r="F583" t="s">
        <v>48</v>
      </c>
      <c r="G583" t="s">
        <v>42</v>
      </c>
      <c r="H583">
        <v>41.3</v>
      </c>
      <c r="I583">
        <v>2610</v>
      </c>
      <c r="J583">
        <v>87</v>
      </c>
      <c r="K583">
        <v>18.600000000000001</v>
      </c>
      <c r="L583" t="s">
        <v>30</v>
      </c>
      <c r="M583">
        <v>27868.76</v>
      </c>
      <c r="N583">
        <v>11411</v>
      </c>
      <c r="O583" t="s">
        <v>36</v>
      </c>
      <c r="P583" t="str">
        <f t="shared" si="81"/>
        <v>Yes</v>
      </c>
      <c r="Q583">
        <f t="shared" si="82"/>
        <v>63.2</v>
      </c>
      <c r="R583">
        <f t="shared" si="83"/>
        <v>10.68</v>
      </c>
      <c r="S583">
        <f t="shared" si="84"/>
        <v>2.44</v>
      </c>
      <c r="T583" t="str">
        <f t="shared" si="85"/>
        <v>Delayed</v>
      </c>
      <c r="U583" t="str">
        <f t="shared" si="86"/>
        <v>Medium</v>
      </c>
      <c r="V583" t="str">
        <f t="shared" si="87"/>
        <v>Medium Risk</v>
      </c>
      <c r="W583" t="str">
        <f t="shared" si="88"/>
        <v>Dec</v>
      </c>
      <c r="X583">
        <f t="shared" si="89"/>
        <v>2025</v>
      </c>
    </row>
    <row r="584" spans="1:24" x14ac:dyDescent="0.35">
      <c r="A584" s="3">
        <v>45746</v>
      </c>
      <c r="B584" t="s">
        <v>80</v>
      </c>
      <c r="C584" t="s">
        <v>95</v>
      </c>
      <c r="D584" t="s">
        <v>730</v>
      </c>
      <c r="E584" t="s">
        <v>48</v>
      </c>
      <c r="F584" t="s">
        <v>27</v>
      </c>
      <c r="G584" t="s">
        <v>42</v>
      </c>
      <c r="H584">
        <v>68</v>
      </c>
      <c r="I584">
        <v>1947</v>
      </c>
      <c r="J584">
        <v>44</v>
      </c>
      <c r="K584">
        <v>17.899999999999999</v>
      </c>
      <c r="L584" t="s">
        <v>30</v>
      </c>
      <c r="M584">
        <v>46202.99</v>
      </c>
      <c r="N584">
        <v>26527</v>
      </c>
      <c r="O584" t="s">
        <v>84</v>
      </c>
      <c r="P584" t="str">
        <f t="shared" si="81"/>
        <v>Yes</v>
      </c>
      <c r="Q584">
        <f t="shared" si="82"/>
        <v>28.63</v>
      </c>
      <c r="R584">
        <f t="shared" si="83"/>
        <v>23.73</v>
      </c>
      <c r="S584">
        <f t="shared" si="84"/>
        <v>1.74</v>
      </c>
      <c r="T584" t="str">
        <f t="shared" si="85"/>
        <v>Delayed</v>
      </c>
      <c r="U584" t="str">
        <f t="shared" si="86"/>
        <v>High</v>
      </c>
      <c r="V584" t="str">
        <f t="shared" si="87"/>
        <v>Medium Risk</v>
      </c>
      <c r="W584" t="str">
        <f t="shared" si="88"/>
        <v>Mar</v>
      </c>
      <c r="X584">
        <f t="shared" si="89"/>
        <v>2025</v>
      </c>
    </row>
    <row r="585" spans="1:24" x14ac:dyDescent="0.35">
      <c r="A585" s="3">
        <v>45783</v>
      </c>
      <c r="B585" t="s">
        <v>199</v>
      </c>
      <c r="C585" t="s">
        <v>95</v>
      </c>
      <c r="D585" t="s">
        <v>731</v>
      </c>
      <c r="E585" t="s">
        <v>41</v>
      </c>
      <c r="F585" t="s">
        <v>28</v>
      </c>
      <c r="G585" t="s">
        <v>35</v>
      </c>
      <c r="H585">
        <v>69.900000000000006</v>
      </c>
      <c r="I585">
        <v>3097</v>
      </c>
      <c r="J585">
        <v>66</v>
      </c>
      <c r="K585">
        <v>14.5</v>
      </c>
      <c r="L585" t="s">
        <v>43</v>
      </c>
      <c r="M585">
        <v>31566.99</v>
      </c>
      <c r="N585">
        <v>26751</v>
      </c>
      <c r="O585" t="s">
        <v>67</v>
      </c>
      <c r="P585" t="str">
        <f t="shared" si="81"/>
        <v>Yes</v>
      </c>
      <c r="Q585">
        <f t="shared" si="82"/>
        <v>44.31</v>
      </c>
      <c r="R585">
        <f t="shared" si="83"/>
        <v>10.19</v>
      </c>
      <c r="S585">
        <f t="shared" si="84"/>
        <v>1.18</v>
      </c>
      <c r="T585" t="str">
        <f t="shared" si="85"/>
        <v>Delayed</v>
      </c>
      <c r="U585" t="str">
        <f t="shared" si="86"/>
        <v>High</v>
      </c>
      <c r="V585" t="str">
        <f t="shared" si="87"/>
        <v>Low Risk</v>
      </c>
      <c r="W585" t="str">
        <f t="shared" si="88"/>
        <v>May</v>
      </c>
      <c r="X585">
        <f t="shared" si="89"/>
        <v>2025</v>
      </c>
    </row>
    <row r="586" spans="1:24" x14ac:dyDescent="0.35">
      <c r="A586" s="3">
        <v>45831</v>
      </c>
      <c r="B586" t="s">
        <v>136</v>
      </c>
      <c r="C586" t="s">
        <v>52</v>
      </c>
      <c r="D586" t="s">
        <v>732</v>
      </c>
      <c r="E586" t="s">
        <v>41</v>
      </c>
      <c r="F586" t="s">
        <v>54</v>
      </c>
      <c r="G586" t="s">
        <v>29</v>
      </c>
      <c r="H586">
        <v>41.3</v>
      </c>
      <c r="I586">
        <v>1069</v>
      </c>
      <c r="J586">
        <v>54</v>
      </c>
      <c r="K586">
        <v>15.7</v>
      </c>
      <c r="L586" t="s">
        <v>78</v>
      </c>
      <c r="M586">
        <v>21155.360000000001</v>
      </c>
      <c r="N586">
        <v>16765</v>
      </c>
      <c r="O586" t="s">
        <v>91</v>
      </c>
      <c r="P586" t="str">
        <f t="shared" si="81"/>
        <v>No</v>
      </c>
      <c r="Q586">
        <f t="shared" si="82"/>
        <v>25.88</v>
      </c>
      <c r="R586">
        <f t="shared" si="83"/>
        <v>19.79</v>
      </c>
      <c r="S586">
        <f t="shared" si="84"/>
        <v>1.26</v>
      </c>
      <c r="T586" t="str">
        <f t="shared" si="85"/>
        <v>On Time</v>
      </c>
      <c r="U586" t="str">
        <f t="shared" si="86"/>
        <v>Medium</v>
      </c>
      <c r="V586" t="str">
        <f t="shared" si="87"/>
        <v>Low Risk</v>
      </c>
      <c r="W586" t="str">
        <f t="shared" si="88"/>
        <v>Jun</v>
      </c>
      <c r="X586">
        <f t="shared" si="89"/>
        <v>2025</v>
      </c>
    </row>
    <row r="587" spans="1:24" x14ac:dyDescent="0.35">
      <c r="A587" s="3">
        <v>45865</v>
      </c>
      <c r="B587" t="s">
        <v>201</v>
      </c>
      <c r="C587" t="s">
        <v>109</v>
      </c>
      <c r="D587" t="s">
        <v>733</v>
      </c>
      <c r="E587" t="s">
        <v>55</v>
      </c>
      <c r="F587" t="s">
        <v>48</v>
      </c>
      <c r="G587" t="s">
        <v>42</v>
      </c>
      <c r="H587">
        <v>55.5</v>
      </c>
      <c r="I587">
        <v>1608</v>
      </c>
      <c r="J587">
        <v>32</v>
      </c>
      <c r="K587">
        <v>21.5</v>
      </c>
      <c r="L587" t="s">
        <v>78</v>
      </c>
      <c r="M587">
        <v>25880.25</v>
      </c>
      <c r="N587">
        <v>8612</v>
      </c>
      <c r="O587" t="s">
        <v>36</v>
      </c>
      <c r="P587" t="str">
        <f t="shared" si="81"/>
        <v>No</v>
      </c>
      <c r="Q587">
        <f t="shared" si="82"/>
        <v>28.97</v>
      </c>
      <c r="R587">
        <f t="shared" si="83"/>
        <v>16.09</v>
      </c>
      <c r="S587">
        <f t="shared" si="84"/>
        <v>3.01</v>
      </c>
      <c r="T587" t="str">
        <f t="shared" si="85"/>
        <v>On Time</v>
      </c>
      <c r="U587" t="str">
        <f t="shared" si="86"/>
        <v>Medium</v>
      </c>
      <c r="V587" t="str">
        <f t="shared" si="87"/>
        <v>Low Risk</v>
      </c>
      <c r="W587" t="str">
        <f t="shared" si="88"/>
        <v>Jul</v>
      </c>
      <c r="X587">
        <f t="shared" si="89"/>
        <v>2025</v>
      </c>
    </row>
    <row r="588" spans="1:24" x14ac:dyDescent="0.35">
      <c r="A588" s="3">
        <v>45822</v>
      </c>
      <c r="B588" t="s">
        <v>33</v>
      </c>
      <c r="C588" t="s">
        <v>25</v>
      </c>
      <c r="D588" t="s">
        <v>734</v>
      </c>
      <c r="E588" t="s">
        <v>41</v>
      </c>
      <c r="F588" t="s">
        <v>54</v>
      </c>
      <c r="G588" t="s">
        <v>71</v>
      </c>
      <c r="H588">
        <v>40</v>
      </c>
      <c r="I588">
        <v>4440</v>
      </c>
      <c r="J588">
        <v>118</v>
      </c>
      <c r="K588">
        <v>18.8</v>
      </c>
      <c r="L588" t="s">
        <v>43</v>
      </c>
      <c r="M588">
        <v>23488.67</v>
      </c>
      <c r="N588">
        <v>22483</v>
      </c>
      <c r="O588" t="s">
        <v>36</v>
      </c>
      <c r="P588" t="str">
        <f t="shared" si="81"/>
        <v>Yes</v>
      </c>
      <c r="Q588">
        <f t="shared" si="82"/>
        <v>111</v>
      </c>
      <c r="R588">
        <f t="shared" si="83"/>
        <v>5.29</v>
      </c>
      <c r="S588">
        <f t="shared" si="84"/>
        <v>1.04</v>
      </c>
      <c r="T588" t="str">
        <f t="shared" si="85"/>
        <v>Delayed</v>
      </c>
      <c r="U588" t="str">
        <f t="shared" si="86"/>
        <v>Medium</v>
      </c>
      <c r="V588" t="str">
        <f t="shared" si="87"/>
        <v>Low Risk</v>
      </c>
      <c r="W588" t="str">
        <f t="shared" si="88"/>
        <v>Jun</v>
      </c>
      <c r="X588">
        <f t="shared" si="89"/>
        <v>2025</v>
      </c>
    </row>
    <row r="589" spans="1:24" x14ac:dyDescent="0.35">
      <c r="A589" s="3">
        <v>45891</v>
      </c>
      <c r="B589" t="s">
        <v>210</v>
      </c>
      <c r="C589" t="s">
        <v>109</v>
      </c>
      <c r="D589" t="s">
        <v>735</v>
      </c>
      <c r="E589" t="s">
        <v>28</v>
      </c>
      <c r="F589" t="s">
        <v>63</v>
      </c>
      <c r="G589" t="s">
        <v>71</v>
      </c>
      <c r="H589">
        <v>74.7</v>
      </c>
      <c r="I589">
        <v>3902</v>
      </c>
      <c r="J589">
        <v>58</v>
      </c>
      <c r="K589">
        <v>18.7</v>
      </c>
      <c r="L589" t="s">
        <v>43</v>
      </c>
      <c r="M589">
        <v>48812.73</v>
      </c>
      <c r="N589">
        <v>17033</v>
      </c>
      <c r="O589" t="s">
        <v>31</v>
      </c>
      <c r="P589" t="str">
        <f t="shared" si="81"/>
        <v>Yes</v>
      </c>
      <c r="Q589">
        <f t="shared" si="82"/>
        <v>52.24</v>
      </c>
      <c r="R589">
        <f t="shared" si="83"/>
        <v>12.51</v>
      </c>
      <c r="S589">
        <f t="shared" si="84"/>
        <v>2.87</v>
      </c>
      <c r="T589" t="str">
        <f t="shared" si="85"/>
        <v>Delayed</v>
      </c>
      <c r="U589" t="str">
        <f t="shared" si="86"/>
        <v>High</v>
      </c>
      <c r="V589" t="str">
        <f t="shared" si="87"/>
        <v>Low Risk</v>
      </c>
      <c r="W589" t="str">
        <f t="shared" si="88"/>
        <v>Aug</v>
      </c>
      <c r="X589">
        <f t="shared" si="89"/>
        <v>2025</v>
      </c>
    </row>
    <row r="590" spans="1:24" x14ac:dyDescent="0.35">
      <c r="A590" s="3">
        <v>45776</v>
      </c>
      <c r="B590" t="s">
        <v>246</v>
      </c>
      <c r="C590" t="s">
        <v>25</v>
      </c>
      <c r="D590" t="s">
        <v>736</v>
      </c>
      <c r="E590" t="s">
        <v>48</v>
      </c>
      <c r="F590" t="s">
        <v>28</v>
      </c>
      <c r="G590" t="s">
        <v>71</v>
      </c>
      <c r="H590">
        <v>32.799999999999997</v>
      </c>
      <c r="I590">
        <v>927</v>
      </c>
      <c r="J590">
        <v>99</v>
      </c>
      <c r="K590">
        <v>16.399999999999999</v>
      </c>
      <c r="L590" t="s">
        <v>43</v>
      </c>
      <c r="M590">
        <v>21451.56</v>
      </c>
      <c r="N590">
        <v>26909</v>
      </c>
      <c r="O590" t="s">
        <v>50</v>
      </c>
      <c r="P590" t="str">
        <f t="shared" si="81"/>
        <v>Yes</v>
      </c>
      <c r="Q590">
        <f t="shared" si="82"/>
        <v>28.26</v>
      </c>
      <c r="R590">
        <f t="shared" si="83"/>
        <v>23.14</v>
      </c>
      <c r="S590">
        <f t="shared" si="84"/>
        <v>0.8</v>
      </c>
      <c r="T590" t="str">
        <f t="shared" si="85"/>
        <v>Delayed</v>
      </c>
      <c r="U590" t="str">
        <f t="shared" si="86"/>
        <v>Low</v>
      </c>
      <c r="V590" t="str">
        <f t="shared" si="87"/>
        <v>Low Risk</v>
      </c>
      <c r="W590" t="str">
        <f t="shared" si="88"/>
        <v>Apr</v>
      </c>
      <c r="X590">
        <f t="shared" si="89"/>
        <v>2025</v>
      </c>
    </row>
    <row r="591" spans="1:24" x14ac:dyDescent="0.35">
      <c r="A591" s="3">
        <v>45987</v>
      </c>
      <c r="B591" t="s">
        <v>104</v>
      </c>
      <c r="C591" t="s">
        <v>69</v>
      </c>
      <c r="D591" t="s">
        <v>737</v>
      </c>
      <c r="E591" t="s">
        <v>55</v>
      </c>
      <c r="F591" t="s">
        <v>41</v>
      </c>
      <c r="G591" t="s">
        <v>29</v>
      </c>
      <c r="H591">
        <v>74.5</v>
      </c>
      <c r="I591">
        <v>534</v>
      </c>
      <c r="J591">
        <v>116</v>
      </c>
      <c r="K591">
        <v>18.5</v>
      </c>
      <c r="L591" t="s">
        <v>30</v>
      </c>
      <c r="M591">
        <v>38768.43</v>
      </c>
      <c r="N591">
        <v>6453</v>
      </c>
      <c r="O591" t="s">
        <v>44</v>
      </c>
      <c r="P591" t="str">
        <f t="shared" si="81"/>
        <v>Yes</v>
      </c>
      <c r="Q591">
        <f t="shared" si="82"/>
        <v>7.17</v>
      </c>
      <c r="R591">
        <f t="shared" si="83"/>
        <v>72.599999999999994</v>
      </c>
      <c r="S591">
        <f t="shared" si="84"/>
        <v>6.01</v>
      </c>
      <c r="T591" t="str">
        <f t="shared" si="85"/>
        <v>Delayed</v>
      </c>
      <c r="U591" t="str">
        <f t="shared" si="86"/>
        <v>High</v>
      </c>
      <c r="V591" t="str">
        <f t="shared" si="87"/>
        <v>Medium Risk</v>
      </c>
      <c r="W591" t="str">
        <f t="shared" si="88"/>
        <v>Nov</v>
      </c>
      <c r="X591">
        <f t="shared" si="89"/>
        <v>2025</v>
      </c>
    </row>
    <row r="592" spans="1:24" x14ac:dyDescent="0.35">
      <c r="A592" s="3">
        <v>45983</v>
      </c>
      <c r="B592" t="s">
        <v>154</v>
      </c>
      <c r="C592" t="s">
        <v>95</v>
      </c>
      <c r="D592" t="s">
        <v>738</v>
      </c>
      <c r="E592" t="s">
        <v>28</v>
      </c>
      <c r="F592" t="s">
        <v>27</v>
      </c>
      <c r="G592" t="s">
        <v>71</v>
      </c>
      <c r="H592">
        <v>53</v>
      </c>
      <c r="I592">
        <v>1406</v>
      </c>
      <c r="J592">
        <v>49</v>
      </c>
      <c r="K592">
        <v>11.8</v>
      </c>
      <c r="L592" t="s">
        <v>43</v>
      </c>
      <c r="M592">
        <v>35458.74</v>
      </c>
      <c r="N592">
        <v>23089</v>
      </c>
      <c r="O592" t="s">
        <v>91</v>
      </c>
      <c r="P592" t="str">
        <f t="shared" si="81"/>
        <v>Yes</v>
      </c>
      <c r="Q592">
        <f t="shared" si="82"/>
        <v>26.53</v>
      </c>
      <c r="R592">
        <f t="shared" si="83"/>
        <v>25.22</v>
      </c>
      <c r="S592">
        <f t="shared" si="84"/>
        <v>1.54</v>
      </c>
      <c r="T592" t="str">
        <f t="shared" si="85"/>
        <v>Delayed</v>
      </c>
      <c r="U592" t="str">
        <f t="shared" si="86"/>
        <v>Medium</v>
      </c>
      <c r="V592" t="str">
        <f t="shared" si="87"/>
        <v>Low Risk</v>
      </c>
      <c r="W592" t="str">
        <f t="shared" si="88"/>
        <v>Nov</v>
      </c>
      <c r="X592">
        <f t="shared" si="89"/>
        <v>2025</v>
      </c>
    </row>
    <row r="593" spans="1:24" x14ac:dyDescent="0.35">
      <c r="A593" s="3">
        <v>45705</v>
      </c>
      <c r="B593" t="s">
        <v>33</v>
      </c>
      <c r="C593" t="s">
        <v>109</v>
      </c>
      <c r="D593" t="s">
        <v>739</v>
      </c>
      <c r="E593" t="s">
        <v>41</v>
      </c>
      <c r="F593" t="s">
        <v>48</v>
      </c>
      <c r="G593" t="s">
        <v>35</v>
      </c>
      <c r="H593">
        <v>69.5</v>
      </c>
      <c r="I593">
        <v>4062</v>
      </c>
      <c r="J593">
        <v>38</v>
      </c>
      <c r="K593">
        <v>14.1</v>
      </c>
      <c r="L593" t="s">
        <v>78</v>
      </c>
      <c r="M593">
        <v>43929.97</v>
      </c>
      <c r="N593">
        <v>8111</v>
      </c>
      <c r="O593" t="s">
        <v>84</v>
      </c>
      <c r="P593" t="str">
        <f t="shared" si="81"/>
        <v>No</v>
      </c>
      <c r="Q593">
        <f t="shared" si="82"/>
        <v>58.45</v>
      </c>
      <c r="R593">
        <f t="shared" si="83"/>
        <v>10.81</v>
      </c>
      <c r="S593">
        <f t="shared" si="84"/>
        <v>5.42</v>
      </c>
      <c r="T593" t="str">
        <f t="shared" si="85"/>
        <v>On Time</v>
      </c>
      <c r="U593" t="str">
        <f t="shared" si="86"/>
        <v>High</v>
      </c>
      <c r="V593" t="str">
        <f t="shared" si="87"/>
        <v>Low Risk</v>
      </c>
      <c r="W593" t="str">
        <f t="shared" si="88"/>
        <v>Feb</v>
      </c>
      <c r="X593">
        <f t="shared" si="89"/>
        <v>2025</v>
      </c>
    </row>
    <row r="594" spans="1:24" x14ac:dyDescent="0.35">
      <c r="A594" s="3">
        <v>45985</v>
      </c>
      <c r="B594" t="s">
        <v>94</v>
      </c>
      <c r="C594" t="s">
        <v>52</v>
      </c>
      <c r="D594" t="s">
        <v>740</v>
      </c>
      <c r="E594" t="s">
        <v>55</v>
      </c>
      <c r="F594" t="s">
        <v>54</v>
      </c>
      <c r="G594" t="s">
        <v>71</v>
      </c>
      <c r="H594">
        <v>51.4</v>
      </c>
      <c r="I594">
        <v>1722</v>
      </c>
      <c r="J594">
        <v>110</v>
      </c>
      <c r="K594">
        <v>14</v>
      </c>
      <c r="L594" t="s">
        <v>30</v>
      </c>
      <c r="M594">
        <v>24622.97</v>
      </c>
      <c r="N594">
        <v>13178</v>
      </c>
      <c r="O594" t="s">
        <v>36</v>
      </c>
      <c r="P594" t="str">
        <f t="shared" si="81"/>
        <v>Yes</v>
      </c>
      <c r="Q594">
        <f t="shared" si="82"/>
        <v>33.5</v>
      </c>
      <c r="R594">
        <f t="shared" si="83"/>
        <v>14.3</v>
      </c>
      <c r="S594">
        <f t="shared" si="84"/>
        <v>1.87</v>
      </c>
      <c r="T594" t="str">
        <f t="shared" si="85"/>
        <v>Delayed</v>
      </c>
      <c r="U594" t="str">
        <f t="shared" si="86"/>
        <v>Medium</v>
      </c>
      <c r="V594" t="str">
        <f t="shared" si="87"/>
        <v>Medium Risk</v>
      </c>
      <c r="W594" t="str">
        <f t="shared" si="88"/>
        <v>Nov</v>
      </c>
      <c r="X594">
        <f t="shared" si="89"/>
        <v>2025</v>
      </c>
    </row>
    <row r="595" spans="1:24" x14ac:dyDescent="0.35">
      <c r="A595" s="3">
        <v>45900</v>
      </c>
      <c r="B595" t="s">
        <v>185</v>
      </c>
      <c r="C595" t="s">
        <v>109</v>
      </c>
      <c r="D595" t="s">
        <v>741</v>
      </c>
      <c r="E595" t="s">
        <v>28</v>
      </c>
      <c r="F595" t="s">
        <v>63</v>
      </c>
      <c r="G595" t="s">
        <v>42</v>
      </c>
      <c r="H595">
        <v>46</v>
      </c>
      <c r="I595">
        <v>3963</v>
      </c>
      <c r="J595">
        <v>27</v>
      </c>
      <c r="K595">
        <v>16.5</v>
      </c>
      <c r="L595" t="s">
        <v>78</v>
      </c>
      <c r="M595">
        <v>29313.759999999998</v>
      </c>
      <c r="N595">
        <v>13527</v>
      </c>
      <c r="O595" t="s">
        <v>36</v>
      </c>
      <c r="P595" t="str">
        <f t="shared" si="81"/>
        <v>No</v>
      </c>
      <c r="Q595">
        <f t="shared" si="82"/>
        <v>86.15</v>
      </c>
      <c r="R595">
        <f t="shared" si="83"/>
        <v>7.4</v>
      </c>
      <c r="S595">
        <f t="shared" si="84"/>
        <v>2.17</v>
      </c>
      <c r="T595" t="str">
        <f t="shared" si="85"/>
        <v>On Time</v>
      </c>
      <c r="U595" t="str">
        <f t="shared" si="86"/>
        <v>Medium</v>
      </c>
      <c r="V595" t="str">
        <f t="shared" si="87"/>
        <v>Low Risk</v>
      </c>
      <c r="W595" t="str">
        <f t="shared" si="88"/>
        <v>Aug</v>
      </c>
      <c r="X595">
        <f t="shared" si="89"/>
        <v>2025</v>
      </c>
    </row>
    <row r="596" spans="1:24" x14ac:dyDescent="0.35">
      <c r="A596" s="3">
        <v>45939</v>
      </c>
      <c r="B596" t="s">
        <v>368</v>
      </c>
      <c r="C596" t="s">
        <v>39</v>
      </c>
      <c r="D596" t="s">
        <v>742</v>
      </c>
      <c r="E596" t="s">
        <v>27</v>
      </c>
      <c r="F596" t="s">
        <v>28</v>
      </c>
      <c r="G596" t="s">
        <v>35</v>
      </c>
      <c r="H596">
        <v>40.4</v>
      </c>
      <c r="I596">
        <v>4060</v>
      </c>
      <c r="J596">
        <v>101</v>
      </c>
      <c r="K596">
        <v>19.3</v>
      </c>
      <c r="L596" t="s">
        <v>78</v>
      </c>
      <c r="M596">
        <v>24004.82</v>
      </c>
      <c r="N596">
        <v>12215</v>
      </c>
      <c r="O596" t="s">
        <v>36</v>
      </c>
      <c r="P596" t="str">
        <f t="shared" si="81"/>
        <v>No</v>
      </c>
      <c r="Q596">
        <f t="shared" si="82"/>
        <v>100.5</v>
      </c>
      <c r="R596">
        <f t="shared" si="83"/>
        <v>5.91</v>
      </c>
      <c r="S596">
        <f t="shared" si="84"/>
        <v>1.97</v>
      </c>
      <c r="T596" t="str">
        <f t="shared" si="85"/>
        <v>On Time</v>
      </c>
      <c r="U596" t="str">
        <f t="shared" si="86"/>
        <v>Medium</v>
      </c>
      <c r="V596" t="str">
        <f t="shared" si="87"/>
        <v>Low Risk</v>
      </c>
      <c r="W596" t="str">
        <f t="shared" si="88"/>
        <v>Oct</v>
      </c>
      <c r="X596">
        <f t="shared" si="89"/>
        <v>2025</v>
      </c>
    </row>
    <row r="597" spans="1:24" x14ac:dyDescent="0.35">
      <c r="A597" s="3">
        <v>45740</v>
      </c>
      <c r="B597" t="s">
        <v>217</v>
      </c>
      <c r="C597" t="s">
        <v>109</v>
      </c>
      <c r="D597" t="s">
        <v>743</v>
      </c>
      <c r="E597" t="s">
        <v>66</v>
      </c>
      <c r="F597" t="s">
        <v>55</v>
      </c>
      <c r="G597" t="s">
        <v>42</v>
      </c>
      <c r="H597">
        <v>53.1</v>
      </c>
      <c r="I597">
        <v>846</v>
      </c>
      <c r="J597">
        <v>100</v>
      </c>
      <c r="K597">
        <v>15.1</v>
      </c>
      <c r="L597" t="s">
        <v>78</v>
      </c>
      <c r="M597">
        <v>34208.29</v>
      </c>
      <c r="N597">
        <v>13577</v>
      </c>
      <c r="O597" t="s">
        <v>84</v>
      </c>
      <c r="P597" t="str">
        <f t="shared" si="81"/>
        <v>No</v>
      </c>
      <c r="Q597">
        <f t="shared" si="82"/>
        <v>15.93</v>
      </c>
      <c r="R597">
        <f t="shared" si="83"/>
        <v>40.44</v>
      </c>
      <c r="S597">
        <f t="shared" si="84"/>
        <v>2.52</v>
      </c>
      <c r="T597" t="str">
        <f t="shared" si="85"/>
        <v>On Time</v>
      </c>
      <c r="U597" t="str">
        <f t="shared" si="86"/>
        <v>Medium</v>
      </c>
      <c r="V597" t="str">
        <f t="shared" si="87"/>
        <v>Low Risk</v>
      </c>
      <c r="W597" t="str">
        <f t="shared" si="88"/>
        <v>Mar</v>
      </c>
      <c r="X597">
        <f t="shared" si="89"/>
        <v>2025</v>
      </c>
    </row>
    <row r="598" spans="1:24" x14ac:dyDescent="0.35">
      <c r="A598" s="3">
        <v>45730</v>
      </c>
      <c r="B598" t="s">
        <v>256</v>
      </c>
      <c r="C598" t="s">
        <v>57</v>
      </c>
      <c r="D598" t="s">
        <v>744</v>
      </c>
      <c r="E598" t="s">
        <v>55</v>
      </c>
      <c r="F598" t="s">
        <v>41</v>
      </c>
      <c r="G598" t="s">
        <v>35</v>
      </c>
      <c r="H598">
        <v>49.2</v>
      </c>
      <c r="I598">
        <v>2594</v>
      </c>
      <c r="J598">
        <v>36</v>
      </c>
      <c r="K598">
        <v>15.1</v>
      </c>
      <c r="L598" t="s">
        <v>78</v>
      </c>
      <c r="M598">
        <v>26477.4</v>
      </c>
      <c r="N598">
        <v>5741</v>
      </c>
      <c r="O598" t="s">
        <v>91</v>
      </c>
      <c r="P598" t="str">
        <f t="shared" si="81"/>
        <v>No</v>
      </c>
      <c r="Q598">
        <f t="shared" si="82"/>
        <v>52.72</v>
      </c>
      <c r="R598">
        <f t="shared" si="83"/>
        <v>10.210000000000001</v>
      </c>
      <c r="S598">
        <f t="shared" si="84"/>
        <v>4.6100000000000003</v>
      </c>
      <c r="T598" t="str">
        <f t="shared" si="85"/>
        <v>On Time</v>
      </c>
      <c r="U598" t="str">
        <f t="shared" si="86"/>
        <v>Medium</v>
      </c>
      <c r="V598" t="str">
        <f t="shared" si="87"/>
        <v>Low Risk</v>
      </c>
      <c r="W598" t="str">
        <f t="shared" si="88"/>
        <v>Mar</v>
      </c>
      <c r="X598">
        <f t="shared" si="89"/>
        <v>2025</v>
      </c>
    </row>
    <row r="599" spans="1:24" x14ac:dyDescent="0.35">
      <c r="A599" s="3">
        <v>45970</v>
      </c>
      <c r="B599" t="s">
        <v>236</v>
      </c>
      <c r="C599" t="s">
        <v>69</v>
      </c>
      <c r="D599" t="s">
        <v>745</v>
      </c>
      <c r="E599" t="s">
        <v>27</v>
      </c>
      <c r="F599" t="s">
        <v>54</v>
      </c>
      <c r="G599" t="s">
        <v>71</v>
      </c>
      <c r="H599">
        <v>25.2</v>
      </c>
      <c r="I599">
        <v>4553</v>
      </c>
      <c r="J599">
        <v>106</v>
      </c>
      <c r="K599">
        <v>12.5</v>
      </c>
      <c r="L599" t="s">
        <v>30</v>
      </c>
      <c r="M599">
        <v>16980.650000000001</v>
      </c>
      <c r="N599">
        <v>21206</v>
      </c>
      <c r="O599" t="s">
        <v>44</v>
      </c>
      <c r="P599" t="str">
        <f t="shared" si="81"/>
        <v>Yes</v>
      </c>
      <c r="Q599">
        <f t="shared" si="82"/>
        <v>180.67</v>
      </c>
      <c r="R599">
        <f t="shared" si="83"/>
        <v>3.73</v>
      </c>
      <c r="S599">
        <f t="shared" si="84"/>
        <v>0.8</v>
      </c>
      <c r="T599" t="str">
        <f t="shared" si="85"/>
        <v>Delayed</v>
      </c>
      <c r="U599" t="str">
        <f t="shared" si="86"/>
        <v>Low</v>
      </c>
      <c r="V599" t="str">
        <f t="shared" si="87"/>
        <v>Medium Risk</v>
      </c>
      <c r="W599" t="str">
        <f t="shared" si="88"/>
        <v>Nov</v>
      </c>
      <c r="X599">
        <f t="shared" si="89"/>
        <v>2025</v>
      </c>
    </row>
    <row r="600" spans="1:24" x14ac:dyDescent="0.35">
      <c r="A600" s="3">
        <v>45716</v>
      </c>
      <c r="B600" t="s">
        <v>100</v>
      </c>
      <c r="C600" t="s">
        <v>69</v>
      </c>
      <c r="D600" t="s">
        <v>746</v>
      </c>
      <c r="E600" t="s">
        <v>28</v>
      </c>
      <c r="F600" t="s">
        <v>54</v>
      </c>
      <c r="G600" t="s">
        <v>42</v>
      </c>
      <c r="H600">
        <v>64.5</v>
      </c>
      <c r="I600">
        <v>898</v>
      </c>
      <c r="J600">
        <v>46</v>
      </c>
      <c r="K600">
        <v>20</v>
      </c>
      <c r="L600" t="s">
        <v>43</v>
      </c>
      <c r="M600">
        <v>40809.14</v>
      </c>
      <c r="N600">
        <v>14822</v>
      </c>
      <c r="O600" t="s">
        <v>36</v>
      </c>
      <c r="P600" t="str">
        <f t="shared" si="81"/>
        <v>Yes</v>
      </c>
      <c r="Q600">
        <f t="shared" si="82"/>
        <v>13.92</v>
      </c>
      <c r="R600">
        <f t="shared" si="83"/>
        <v>45.44</v>
      </c>
      <c r="S600">
        <f t="shared" si="84"/>
        <v>2.75</v>
      </c>
      <c r="T600" t="str">
        <f t="shared" si="85"/>
        <v>Delayed</v>
      </c>
      <c r="U600" t="str">
        <f t="shared" si="86"/>
        <v>High</v>
      </c>
      <c r="V600" t="str">
        <f t="shared" si="87"/>
        <v>Low Risk</v>
      </c>
      <c r="W600" t="str">
        <f t="shared" si="88"/>
        <v>Feb</v>
      </c>
      <c r="X600">
        <f t="shared" si="89"/>
        <v>2025</v>
      </c>
    </row>
    <row r="601" spans="1:24" x14ac:dyDescent="0.35">
      <c r="A601" s="3">
        <v>45974</v>
      </c>
      <c r="B601" t="s">
        <v>309</v>
      </c>
      <c r="C601" t="s">
        <v>25</v>
      </c>
      <c r="D601" t="s">
        <v>747</v>
      </c>
      <c r="E601" t="s">
        <v>28</v>
      </c>
      <c r="F601" t="s">
        <v>63</v>
      </c>
      <c r="G601" t="s">
        <v>29</v>
      </c>
      <c r="H601">
        <v>77.400000000000006</v>
      </c>
      <c r="I601">
        <v>1847</v>
      </c>
      <c r="J601">
        <v>116</v>
      </c>
      <c r="K601">
        <v>20.3</v>
      </c>
      <c r="L601" t="s">
        <v>78</v>
      </c>
      <c r="M601">
        <v>36771.46</v>
      </c>
      <c r="N601">
        <v>15229</v>
      </c>
      <c r="O601" t="s">
        <v>84</v>
      </c>
      <c r="P601" t="str">
        <f t="shared" si="81"/>
        <v>No</v>
      </c>
      <c r="Q601">
        <f t="shared" si="82"/>
        <v>23.86</v>
      </c>
      <c r="R601">
        <f t="shared" si="83"/>
        <v>19.91</v>
      </c>
      <c r="S601">
        <f t="shared" si="84"/>
        <v>2.41</v>
      </c>
      <c r="T601" t="str">
        <f t="shared" si="85"/>
        <v>On Time</v>
      </c>
      <c r="U601" t="str">
        <f t="shared" si="86"/>
        <v>High</v>
      </c>
      <c r="V601" t="str">
        <f t="shared" si="87"/>
        <v>Low Risk</v>
      </c>
      <c r="W601" t="str">
        <f t="shared" si="88"/>
        <v>Nov</v>
      </c>
      <c r="X601">
        <f t="shared" si="89"/>
        <v>2025</v>
      </c>
    </row>
    <row r="602" spans="1:24" x14ac:dyDescent="0.35">
      <c r="A602" s="3">
        <v>46010</v>
      </c>
      <c r="B602" t="s">
        <v>106</v>
      </c>
      <c r="C602" t="s">
        <v>39</v>
      </c>
      <c r="D602" t="s">
        <v>748</v>
      </c>
      <c r="E602" t="s">
        <v>55</v>
      </c>
      <c r="F602" t="s">
        <v>48</v>
      </c>
      <c r="G602" t="s">
        <v>35</v>
      </c>
      <c r="H602">
        <v>48.4</v>
      </c>
      <c r="I602">
        <v>3570</v>
      </c>
      <c r="J602">
        <v>35</v>
      </c>
      <c r="K602">
        <v>14.3</v>
      </c>
      <c r="L602" t="s">
        <v>78</v>
      </c>
      <c r="M602">
        <v>31863.74</v>
      </c>
      <c r="N602">
        <v>24689</v>
      </c>
      <c r="O602" t="s">
        <v>67</v>
      </c>
      <c r="P602" t="str">
        <f t="shared" si="81"/>
        <v>No</v>
      </c>
      <c r="Q602">
        <f t="shared" si="82"/>
        <v>73.760000000000005</v>
      </c>
      <c r="R602">
        <f t="shared" si="83"/>
        <v>8.93</v>
      </c>
      <c r="S602">
        <f t="shared" si="84"/>
        <v>1.29</v>
      </c>
      <c r="T602" t="str">
        <f t="shared" si="85"/>
        <v>On Time</v>
      </c>
      <c r="U602" t="str">
        <f t="shared" si="86"/>
        <v>Medium</v>
      </c>
      <c r="V602" t="str">
        <f t="shared" si="87"/>
        <v>Low Risk</v>
      </c>
      <c r="W602" t="str">
        <f t="shared" si="88"/>
        <v>Dec</v>
      </c>
      <c r="X602">
        <f t="shared" si="89"/>
        <v>2025</v>
      </c>
    </row>
    <row r="603" spans="1:24" x14ac:dyDescent="0.35">
      <c r="A603" s="3">
        <v>45921</v>
      </c>
      <c r="B603" t="s">
        <v>165</v>
      </c>
      <c r="C603" t="s">
        <v>52</v>
      </c>
      <c r="D603" t="s">
        <v>749</v>
      </c>
      <c r="E603" t="s">
        <v>66</v>
      </c>
      <c r="F603" t="s">
        <v>28</v>
      </c>
      <c r="G603" t="s">
        <v>29</v>
      </c>
      <c r="H603">
        <v>61.4</v>
      </c>
      <c r="I603">
        <v>2547</v>
      </c>
      <c r="J603">
        <v>80</v>
      </c>
      <c r="K603">
        <v>19.399999999999999</v>
      </c>
      <c r="L603" t="s">
        <v>49</v>
      </c>
      <c r="M603">
        <v>28623.99</v>
      </c>
      <c r="N603">
        <v>7603</v>
      </c>
      <c r="O603" t="s">
        <v>44</v>
      </c>
      <c r="P603" t="str">
        <f t="shared" si="81"/>
        <v>Yes</v>
      </c>
      <c r="Q603">
        <f t="shared" si="82"/>
        <v>41.48</v>
      </c>
      <c r="R603">
        <f t="shared" si="83"/>
        <v>11.24</v>
      </c>
      <c r="S603">
        <f t="shared" si="84"/>
        <v>3.76</v>
      </c>
      <c r="T603" t="str">
        <f t="shared" si="85"/>
        <v>Delayed</v>
      </c>
      <c r="U603" t="str">
        <f t="shared" si="86"/>
        <v>High</v>
      </c>
      <c r="V603" t="str">
        <f t="shared" si="87"/>
        <v>High Risk</v>
      </c>
      <c r="W603" t="str">
        <f t="shared" si="88"/>
        <v>Sep</v>
      </c>
      <c r="X603">
        <f t="shared" si="89"/>
        <v>2025</v>
      </c>
    </row>
    <row r="604" spans="1:24" x14ac:dyDescent="0.35">
      <c r="A604" s="3">
        <v>45815</v>
      </c>
      <c r="B604" t="s">
        <v>275</v>
      </c>
      <c r="C604" t="s">
        <v>69</v>
      </c>
      <c r="D604" t="s">
        <v>750</v>
      </c>
      <c r="E604" t="s">
        <v>28</v>
      </c>
      <c r="F604" t="s">
        <v>66</v>
      </c>
      <c r="G604" t="s">
        <v>42</v>
      </c>
      <c r="H604">
        <v>28.8</v>
      </c>
      <c r="I604">
        <v>3901</v>
      </c>
      <c r="J604">
        <v>78</v>
      </c>
      <c r="K604">
        <v>17.100000000000001</v>
      </c>
      <c r="L604" t="s">
        <v>43</v>
      </c>
      <c r="M604">
        <v>19284.98</v>
      </c>
      <c r="N604">
        <v>19524</v>
      </c>
      <c r="O604" t="s">
        <v>91</v>
      </c>
      <c r="P604" t="str">
        <f t="shared" si="81"/>
        <v>Yes</v>
      </c>
      <c r="Q604">
        <f t="shared" si="82"/>
        <v>135.44999999999999</v>
      </c>
      <c r="R604">
        <f t="shared" si="83"/>
        <v>4.9400000000000004</v>
      </c>
      <c r="S604">
        <f t="shared" si="84"/>
        <v>0.99</v>
      </c>
      <c r="T604" t="str">
        <f t="shared" si="85"/>
        <v>Delayed</v>
      </c>
      <c r="U604" t="str">
        <f t="shared" si="86"/>
        <v>Low</v>
      </c>
      <c r="V604" t="str">
        <f t="shared" si="87"/>
        <v>Low Risk</v>
      </c>
      <c r="W604" t="str">
        <f t="shared" si="88"/>
        <v>Jun</v>
      </c>
      <c r="X604">
        <f t="shared" si="89"/>
        <v>2025</v>
      </c>
    </row>
    <row r="605" spans="1:24" x14ac:dyDescent="0.35">
      <c r="A605" s="3">
        <v>45828</v>
      </c>
      <c r="B605" t="s">
        <v>223</v>
      </c>
      <c r="C605" t="s">
        <v>95</v>
      </c>
      <c r="D605" t="s">
        <v>751</v>
      </c>
      <c r="E605" t="s">
        <v>27</v>
      </c>
      <c r="F605" t="s">
        <v>63</v>
      </c>
      <c r="G605" t="s">
        <v>71</v>
      </c>
      <c r="H605">
        <v>65.3</v>
      </c>
      <c r="I605">
        <v>3963</v>
      </c>
      <c r="J605">
        <v>54</v>
      </c>
      <c r="K605">
        <v>20.6</v>
      </c>
      <c r="L605" t="s">
        <v>49</v>
      </c>
      <c r="M605">
        <v>39195.4</v>
      </c>
      <c r="N605">
        <v>12252</v>
      </c>
      <c r="O605" t="s">
        <v>31</v>
      </c>
      <c r="P605" t="str">
        <f t="shared" si="81"/>
        <v>Yes</v>
      </c>
      <c r="Q605">
        <f t="shared" si="82"/>
        <v>60.69</v>
      </c>
      <c r="R605">
        <f t="shared" si="83"/>
        <v>9.89</v>
      </c>
      <c r="S605">
        <f t="shared" si="84"/>
        <v>3.2</v>
      </c>
      <c r="T605" t="str">
        <f t="shared" si="85"/>
        <v>Delayed</v>
      </c>
      <c r="U605" t="str">
        <f t="shared" si="86"/>
        <v>High</v>
      </c>
      <c r="V605" t="str">
        <f t="shared" si="87"/>
        <v>High Risk</v>
      </c>
      <c r="W605" t="str">
        <f t="shared" si="88"/>
        <v>Jun</v>
      </c>
      <c r="X605">
        <f t="shared" si="89"/>
        <v>2025</v>
      </c>
    </row>
    <row r="606" spans="1:24" x14ac:dyDescent="0.35">
      <c r="A606" s="3">
        <v>45659</v>
      </c>
      <c r="B606" t="s">
        <v>157</v>
      </c>
      <c r="C606" t="s">
        <v>25</v>
      </c>
      <c r="D606" t="s">
        <v>752</v>
      </c>
      <c r="E606" t="s">
        <v>28</v>
      </c>
      <c r="F606" t="s">
        <v>27</v>
      </c>
      <c r="G606" t="s">
        <v>71</v>
      </c>
      <c r="H606">
        <v>41</v>
      </c>
      <c r="I606">
        <v>931</v>
      </c>
      <c r="J606">
        <v>41</v>
      </c>
      <c r="K606">
        <v>10.4</v>
      </c>
      <c r="L606" t="s">
        <v>49</v>
      </c>
      <c r="M606">
        <v>26918.49</v>
      </c>
      <c r="N606">
        <v>7628</v>
      </c>
      <c r="O606" t="s">
        <v>91</v>
      </c>
      <c r="P606" t="str">
        <f t="shared" si="81"/>
        <v>Yes</v>
      </c>
      <c r="Q606">
        <f t="shared" si="82"/>
        <v>22.71</v>
      </c>
      <c r="R606">
        <f t="shared" si="83"/>
        <v>28.91</v>
      </c>
      <c r="S606">
        <f t="shared" si="84"/>
        <v>3.53</v>
      </c>
      <c r="T606" t="str">
        <f t="shared" si="85"/>
        <v>Delayed</v>
      </c>
      <c r="U606" t="str">
        <f t="shared" si="86"/>
        <v>Medium</v>
      </c>
      <c r="V606" t="str">
        <f t="shared" si="87"/>
        <v>High Risk</v>
      </c>
      <c r="W606" t="str">
        <f t="shared" si="88"/>
        <v>Jan</v>
      </c>
      <c r="X606">
        <f t="shared" si="89"/>
        <v>2025</v>
      </c>
    </row>
    <row r="607" spans="1:24" x14ac:dyDescent="0.35">
      <c r="A607" s="3">
        <v>45715</v>
      </c>
      <c r="B607" t="s">
        <v>199</v>
      </c>
      <c r="C607" t="s">
        <v>109</v>
      </c>
      <c r="D607" t="s">
        <v>753</v>
      </c>
      <c r="E607" t="s">
        <v>48</v>
      </c>
      <c r="F607" t="s">
        <v>54</v>
      </c>
      <c r="G607" t="s">
        <v>35</v>
      </c>
      <c r="H607">
        <v>62.5</v>
      </c>
      <c r="I607">
        <v>2592</v>
      </c>
      <c r="J607">
        <v>35</v>
      </c>
      <c r="K607">
        <v>18.100000000000001</v>
      </c>
      <c r="L607" t="s">
        <v>49</v>
      </c>
      <c r="M607">
        <v>41445.08</v>
      </c>
      <c r="N607">
        <v>11323</v>
      </c>
      <c r="O607" t="s">
        <v>59</v>
      </c>
      <c r="P607" t="str">
        <f t="shared" si="81"/>
        <v>Yes</v>
      </c>
      <c r="Q607">
        <f t="shared" si="82"/>
        <v>41.47</v>
      </c>
      <c r="R607">
        <f t="shared" si="83"/>
        <v>15.99</v>
      </c>
      <c r="S607">
        <f t="shared" si="84"/>
        <v>3.66</v>
      </c>
      <c r="T607" t="str">
        <f t="shared" si="85"/>
        <v>Delayed</v>
      </c>
      <c r="U607" t="str">
        <f t="shared" si="86"/>
        <v>High</v>
      </c>
      <c r="V607" t="str">
        <f t="shared" si="87"/>
        <v>High Risk</v>
      </c>
      <c r="W607" t="str">
        <f t="shared" si="88"/>
        <v>Feb</v>
      </c>
      <c r="X607">
        <f t="shared" si="89"/>
        <v>2025</v>
      </c>
    </row>
    <row r="608" spans="1:24" x14ac:dyDescent="0.35">
      <c r="A608" s="3">
        <v>45889</v>
      </c>
      <c r="B608" t="s">
        <v>207</v>
      </c>
      <c r="C608" t="s">
        <v>95</v>
      </c>
      <c r="D608" t="s">
        <v>754</v>
      </c>
      <c r="E608" t="s">
        <v>28</v>
      </c>
      <c r="F608" t="s">
        <v>41</v>
      </c>
      <c r="G608" t="s">
        <v>42</v>
      </c>
      <c r="H608">
        <v>45.9</v>
      </c>
      <c r="I608">
        <v>2434</v>
      </c>
      <c r="J608">
        <v>114</v>
      </c>
      <c r="K608">
        <v>14.5</v>
      </c>
      <c r="L608" t="s">
        <v>78</v>
      </c>
      <c r="M608">
        <v>26128.94</v>
      </c>
      <c r="N608">
        <v>27741</v>
      </c>
      <c r="O608" t="s">
        <v>59</v>
      </c>
      <c r="P608" t="str">
        <f t="shared" si="81"/>
        <v>No</v>
      </c>
      <c r="Q608">
        <f t="shared" si="82"/>
        <v>53.03</v>
      </c>
      <c r="R608">
        <f t="shared" si="83"/>
        <v>10.73</v>
      </c>
      <c r="S608">
        <f t="shared" si="84"/>
        <v>0.94</v>
      </c>
      <c r="T608" t="str">
        <f t="shared" si="85"/>
        <v>On Time</v>
      </c>
      <c r="U608" t="str">
        <f t="shared" si="86"/>
        <v>Medium</v>
      </c>
      <c r="V608" t="str">
        <f t="shared" si="87"/>
        <v>Low Risk</v>
      </c>
      <c r="W608" t="str">
        <f t="shared" si="88"/>
        <v>Aug</v>
      </c>
      <c r="X608">
        <f t="shared" si="89"/>
        <v>2025</v>
      </c>
    </row>
    <row r="609" spans="1:24" x14ac:dyDescent="0.35">
      <c r="A609" s="3">
        <v>45687</v>
      </c>
      <c r="B609" t="s">
        <v>129</v>
      </c>
      <c r="C609" t="s">
        <v>95</v>
      </c>
      <c r="D609" t="s">
        <v>755</v>
      </c>
      <c r="E609" t="s">
        <v>48</v>
      </c>
      <c r="F609" t="s">
        <v>54</v>
      </c>
      <c r="G609" t="s">
        <v>71</v>
      </c>
      <c r="H609">
        <v>43.6</v>
      </c>
      <c r="I609">
        <v>3305</v>
      </c>
      <c r="J609">
        <v>95</v>
      </c>
      <c r="K609">
        <v>18.2</v>
      </c>
      <c r="L609" t="s">
        <v>43</v>
      </c>
      <c r="M609">
        <v>24235.439999999999</v>
      </c>
      <c r="N609">
        <v>25387</v>
      </c>
      <c r="O609" t="s">
        <v>36</v>
      </c>
      <c r="P609" t="str">
        <f t="shared" si="81"/>
        <v>Yes</v>
      </c>
      <c r="Q609">
        <f t="shared" si="82"/>
        <v>75.8</v>
      </c>
      <c r="R609">
        <f t="shared" si="83"/>
        <v>7.33</v>
      </c>
      <c r="S609">
        <f t="shared" si="84"/>
        <v>0.95</v>
      </c>
      <c r="T609" t="str">
        <f t="shared" si="85"/>
        <v>Delayed</v>
      </c>
      <c r="U609" t="str">
        <f t="shared" si="86"/>
        <v>Medium</v>
      </c>
      <c r="V609" t="str">
        <f t="shared" si="87"/>
        <v>Low Risk</v>
      </c>
      <c r="W609" t="str">
        <f t="shared" si="88"/>
        <v>Jan</v>
      </c>
      <c r="X609">
        <f t="shared" si="89"/>
        <v>2025</v>
      </c>
    </row>
    <row r="610" spans="1:24" x14ac:dyDescent="0.35">
      <c r="A610" s="3">
        <v>45660</v>
      </c>
      <c r="B610" t="s">
        <v>188</v>
      </c>
      <c r="C610" t="s">
        <v>39</v>
      </c>
      <c r="D610" t="s">
        <v>756</v>
      </c>
      <c r="E610" t="s">
        <v>28</v>
      </c>
      <c r="F610" t="s">
        <v>54</v>
      </c>
      <c r="G610" t="s">
        <v>42</v>
      </c>
      <c r="H610">
        <v>68.099999999999994</v>
      </c>
      <c r="I610">
        <v>4323</v>
      </c>
      <c r="J610">
        <v>87</v>
      </c>
      <c r="K610">
        <v>17.600000000000001</v>
      </c>
      <c r="L610" t="s">
        <v>49</v>
      </c>
      <c r="M610">
        <v>36193.4</v>
      </c>
      <c r="N610">
        <v>5525</v>
      </c>
      <c r="O610" t="s">
        <v>36</v>
      </c>
      <c r="P610" t="str">
        <f t="shared" si="81"/>
        <v>Yes</v>
      </c>
      <c r="Q610">
        <f t="shared" si="82"/>
        <v>63.48</v>
      </c>
      <c r="R610">
        <f t="shared" si="83"/>
        <v>8.3699999999999992</v>
      </c>
      <c r="S610">
        <f t="shared" si="84"/>
        <v>6.55</v>
      </c>
      <c r="T610" t="str">
        <f t="shared" si="85"/>
        <v>Delayed</v>
      </c>
      <c r="U610" t="str">
        <f t="shared" si="86"/>
        <v>High</v>
      </c>
      <c r="V610" t="str">
        <f t="shared" si="87"/>
        <v>High Risk</v>
      </c>
      <c r="W610" t="str">
        <f t="shared" si="88"/>
        <v>Jan</v>
      </c>
      <c r="X610">
        <f t="shared" si="89"/>
        <v>2025</v>
      </c>
    </row>
    <row r="611" spans="1:24" x14ac:dyDescent="0.35">
      <c r="A611" s="3">
        <v>45956</v>
      </c>
      <c r="B611" t="s">
        <v>142</v>
      </c>
      <c r="C611" t="s">
        <v>109</v>
      </c>
      <c r="D611" t="s">
        <v>757</v>
      </c>
      <c r="E611" t="s">
        <v>54</v>
      </c>
      <c r="F611" t="s">
        <v>48</v>
      </c>
      <c r="G611" t="s">
        <v>71</v>
      </c>
      <c r="H611">
        <v>34.200000000000003</v>
      </c>
      <c r="I611">
        <v>3387</v>
      </c>
      <c r="J611">
        <v>104</v>
      </c>
      <c r="K611">
        <v>20.8</v>
      </c>
      <c r="L611" t="s">
        <v>43</v>
      </c>
      <c r="M611">
        <v>16075.78</v>
      </c>
      <c r="N611">
        <v>8662</v>
      </c>
      <c r="O611" t="s">
        <v>50</v>
      </c>
      <c r="P611" t="str">
        <f t="shared" si="81"/>
        <v>Yes</v>
      </c>
      <c r="Q611">
        <f t="shared" si="82"/>
        <v>99.04</v>
      </c>
      <c r="R611">
        <f t="shared" si="83"/>
        <v>4.75</v>
      </c>
      <c r="S611">
        <f t="shared" si="84"/>
        <v>1.86</v>
      </c>
      <c r="T611" t="str">
        <f t="shared" si="85"/>
        <v>Delayed</v>
      </c>
      <c r="U611" t="str">
        <f t="shared" si="86"/>
        <v>Low</v>
      </c>
      <c r="V611" t="str">
        <f t="shared" si="87"/>
        <v>Low Risk</v>
      </c>
      <c r="W611" t="str">
        <f t="shared" si="88"/>
        <v>Oct</v>
      </c>
      <c r="X611">
        <f t="shared" si="89"/>
        <v>2025</v>
      </c>
    </row>
    <row r="612" spans="1:24" x14ac:dyDescent="0.35">
      <c r="A612" s="3">
        <v>45829</v>
      </c>
      <c r="B612" t="s">
        <v>104</v>
      </c>
      <c r="C612" t="s">
        <v>109</v>
      </c>
      <c r="D612" t="s">
        <v>758</v>
      </c>
      <c r="E612" t="s">
        <v>41</v>
      </c>
      <c r="F612" t="s">
        <v>66</v>
      </c>
      <c r="G612" t="s">
        <v>29</v>
      </c>
      <c r="H612">
        <v>38.299999999999997</v>
      </c>
      <c r="I612">
        <v>589</v>
      </c>
      <c r="J612">
        <v>70</v>
      </c>
      <c r="K612">
        <v>14.5</v>
      </c>
      <c r="L612" t="s">
        <v>43</v>
      </c>
      <c r="M612">
        <v>21669.759999999998</v>
      </c>
      <c r="N612">
        <v>15333</v>
      </c>
      <c r="O612" t="s">
        <v>59</v>
      </c>
      <c r="P612" t="str">
        <f t="shared" si="81"/>
        <v>Yes</v>
      </c>
      <c r="Q612">
        <f t="shared" si="82"/>
        <v>15.38</v>
      </c>
      <c r="R612">
        <f t="shared" si="83"/>
        <v>36.79</v>
      </c>
      <c r="S612">
        <f t="shared" si="84"/>
        <v>1.41</v>
      </c>
      <c r="T612" t="str">
        <f t="shared" si="85"/>
        <v>Delayed</v>
      </c>
      <c r="U612" t="str">
        <f t="shared" si="86"/>
        <v>Low</v>
      </c>
      <c r="V612" t="str">
        <f t="shared" si="87"/>
        <v>Low Risk</v>
      </c>
      <c r="W612" t="str">
        <f t="shared" si="88"/>
        <v>Jun</v>
      </c>
      <c r="X612">
        <f t="shared" si="89"/>
        <v>2025</v>
      </c>
    </row>
    <row r="613" spans="1:24" x14ac:dyDescent="0.35">
      <c r="A613" s="3">
        <v>45768</v>
      </c>
      <c r="B613" t="s">
        <v>92</v>
      </c>
      <c r="C613" t="s">
        <v>69</v>
      </c>
      <c r="D613" t="s">
        <v>759</v>
      </c>
      <c r="E613" t="s">
        <v>54</v>
      </c>
      <c r="F613" t="s">
        <v>27</v>
      </c>
      <c r="G613" t="s">
        <v>29</v>
      </c>
      <c r="H613">
        <v>69.2</v>
      </c>
      <c r="I613">
        <v>1008</v>
      </c>
      <c r="J613">
        <v>22</v>
      </c>
      <c r="K613">
        <v>19.3</v>
      </c>
      <c r="L613" t="s">
        <v>43</v>
      </c>
      <c r="M613">
        <v>47823.41</v>
      </c>
      <c r="N613">
        <v>9181</v>
      </c>
      <c r="O613" t="s">
        <v>91</v>
      </c>
      <c r="P613" t="str">
        <f t="shared" si="81"/>
        <v>Yes</v>
      </c>
      <c r="Q613">
        <f t="shared" si="82"/>
        <v>14.57</v>
      </c>
      <c r="R613">
        <f t="shared" si="83"/>
        <v>47.44</v>
      </c>
      <c r="S613">
        <f t="shared" si="84"/>
        <v>5.21</v>
      </c>
      <c r="T613" t="str">
        <f t="shared" si="85"/>
        <v>Delayed</v>
      </c>
      <c r="U613" t="str">
        <f t="shared" si="86"/>
        <v>High</v>
      </c>
      <c r="V613" t="str">
        <f t="shared" si="87"/>
        <v>Low Risk</v>
      </c>
      <c r="W613" t="str">
        <f t="shared" si="88"/>
        <v>Apr</v>
      </c>
      <c r="X613">
        <f t="shared" si="89"/>
        <v>2025</v>
      </c>
    </row>
    <row r="614" spans="1:24" x14ac:dyDescent="0.35">
      <c r="A614" s="3">
        <v>45683</v>
      </c>
      <c r="B614" t="s">
        <v>162</v>
      </c>
      <c r="C614" t="s">
        <v>130</v>
      </c>
      <c r="D614" t="s">
        <v>760</v>
      </c>
      <c r="E614" t="s">
        <v>66</v>
      </c>
      <c r="F614" t="s">
        <v>54</v>
      </c>
      <c r="G614" t="s">
        <v>71</v>
      </c>
      <c r="H614">
        <v>45.6</v>
      </c>
      <c r="I614">
        <v>4646</v>
      </c>
      <c r="J614">
        <v>87</v>
      </c>
      <c r="K614">
        <v>14.7</v>
      </c>
      <c r="L614" t="s">
        <v>30</v>
      </c>
      <c r="M614">
        <v>24949.08</v>
      </c>
      <c r="N614">
        <v>17281</v>
      </c>
      <c r="O614" t="s">
        <v>84</v>
      </c>
      <c r="P614" t="str">
        <f t="shared" si="81"/>
        <v>Yes</v>
      </c>
      <c r="Q614">
        <f t="shared" si="82"/>
        <v>101.89</v>
      </c>
      <c r="R614">
        <f t="shared" si="83"/>
        <v>5.37</v>
      </c>
      <c r="S614">
        <f t="shared" si="84"/>
        <v>1.44</v>
      </c>
      <c r="T614" t="str">
        <f t="shared" si="85"/>
        <v>Delayed</v>
      </c>
      <c r="U614" t="str">
        <f t="shared" si="86"/>
        <v>Medium</v>
      </c>
      <c r="V614" t="str">
        <f t="shared" si="87"/>
        <v>Medium Risk</v>
      </c>
      <c r="W614" t="str">
        <f t="shared" si="88"/>
        <v>Jan</v>
      </c>
      <c r="X614">
        <f t="shared" si="89"/>
        <v>2025</v>
      </c>
    </row>
    <row r="615" spans="1:24" x14ac:dyDescent="0.35">
      <c r="A615" s="3">
        <v>45965</v>
      </c>
      <c r="B615" t="s">
        <v>430</v>
      </c>
      <c r="C615" t="s">
        <v>52</v>
      </c>
      <c r="D615" t="s">
        <v>761</v>
      </c>
      <c r="E615" t="s">
        <v>63</v>
      </c>
      <c r="F615" t="s">
        <v>28</v>
      </c>
      <c r="G615" t="s">
        <v>71</v>
      </c>
      <c r="H615">
        <v>24.8</v>
      </c>
      <c r="I615">
        <v>3908</v>
      </c>
      <c r="J615">
        <v>37</v>
      </c>
      <c r="K615">
        <v>10.199999999999999</v>
      </c>
      <c r="L615" t="s">
        <v>43</v>
      </c>
      <c r="M615">
        <v>13706.8</v>
      </c>
      <c r="N615">
        <v>24635</v>
      </c>
      <c r="O615" t="s">
        <v>59</v>
      </c>
      <c r="P615" t="str">
        <f t="shared" si="81"/>
        <v>Yes</v>
      </c>
      <c r="Q615">
        <f t="shared" si="82"/>
        <v>157.58000000000001</v>
      </c>
      <c r="R615">
        <f t="shared" si="83"/>
        <v>3.51</v>
      </c>
      <c r="S615">
        <f t="shared" si="84"/>
        <v>0.56000000000000005</v>
      </c>
      <c r="T615" t="str">
        <f t="shared" si="85"/>
        <v>Delayed</v>
      </c>
      <c r="U615" t="str">
        <f t="shared" si="86"/>
        <v>Low</v>
      </c>
      <c r="V615" t="str">
        <f t="shared" si="87"/>
        <v>Low Risk</v>
      </c>
      <c r="W615" t="str">
        <f t="shared" si="88"/>
        <v>Nov</v>
      </c>
      <c r="X615">
        <f t="shared" si="89"/>
        <v>2025</v>
      </c>
    </row>
    <row r="616" spans="1:24" x14ac:dyDescent="0.35">
      <c r="A616" s="3">
        <v>45894</v>
      </c>
      <c r="B616" t="s">
        <v>193</v>
      </c>
      <c r="C616" t="s">
        <v>57</v>
      </c>
      <c r="D616" t="s">
        <v>762</v>
      </c>
      <c r="E616" t="s">
        <v>54</v>
      </c>
      <c r="F616" t="s">
        <v>41</v>
      </c>
      <c r="G616" t="s">
        <v>29</v>
      </c>
      <c r="H616">
        <v>49.8</v>
      </c>
      <c r="I616">
        <v>1530</v>
      </c>
      <c r="J616">
        <v>91</v>
      </c>
      <c r="K616">
        <v>13.7</v>
      </c>
      <c r="L616" t="s">
        <v>43</v>
      </c>
      <c r="M616">
        <v>33882.129999999997</v>
      </c>
      <c r="N616">
        <v>6863</v>
      </c>
      <c r="O616" t="s">
        <v>67</v>
      </c>
      <c r="P616" t="str">
        <f t="shared" si="81"/>
        <v>Yes</v>
      </c>
      <c r="Q616">
        <f t="shared" si="82"/>
        <v>30.72</v>
      </c>
      <c r="R616">
        <f t="shared" si="83"/>
        <v>22.15</v>
      </c>
      <c r="S616">
        <f t="shared" si="84"/>
        <v>4.9400000000000004</v>
      </c>
      <c r="T616" t="str">
        <f t="shared" si="85"/>
        <v>Delayed</v>
      </c>
      <c r="U616" t="str">
        <f t="shared" si="86"/>
        <v>Medium</v>
      </c>
      <c r="V616" t="str">
        <f t="shared" si="87"/>
        <v>Low Risk</v>
      </c>
      <c r="W616" t="str">
        <f t="shared" si="88"/>
        <v>Aug</v>
      </c>
      <c r="X616">
        <f t="shared" si="89"/>
        <v>2025</v>
      </c>
    </row>
    <row r="617" spans="1:24" x14ac:dyDescent="0.35">
      <c r="A617" s="3">
        <v>45744</v>
      </c>
      <c r="B617" t="s">
        <v>244</v>
      </c>
      <c r="C617" t="s">
        <v>52</v>
      </c>
      <c r="D617" t="s">
        <v>763</v>
      </c>
      <c r="E617" t="s">
        <v>41</v>
      </c>
      <c r="F617" t="s">
        <v>48</v>
      </c>
      <c r="G617" t="s">
        <v>29</v>
      </c>
      <c r="H617">
        <v>33.799999999999997</v>
      </c>
      <c r="I617">
        <v>4387</v>
      </c>
      <c r="J617">
        <v>34</v>
      </c>
      <c r="K617">
        <v>17.600000000000001</v>
      </c>
      <c r="L617" t="s">
        <v>43</v>
      </c>
      <c r="M617">
        <v>17441.95</v>
      </c>
      <c r="N617">
        <v>21396</v>
      </c>
      <c r="O617" t="s">
        <v>31</v>
      </c>
      <c r="P617" t="str">
        <f t="shared" si="81"/>
        <v>Yes</v>
      </c>
      <c r="Q617">
        <f t="shared" si="82"/>
        <v>129.79</v>
      </c>
      <c r="R617">
        <f t="shared" si="83"/>
        <v>3.98</v>
      </c>
      <c r="S617">
        <f t="shared" si="84"/>
        <v>0.82</v>
      </c>
      <c r="T617" t="str">
        <f t="shared" si="85"/>
        <v>Delayed</v>
      </c>
      <c r="U617" t="str">
        <f t="shared" si="86"/>
        <v>Low</v>
      </c>
      <c r="V617" t="str">
        <f t="shared" si="87"/>
        <v>Low Risk</v>
      </c>
      <c r="W617" t="str">
        <f t="shared" si="88"/>
        <v>Mar</v>
      </c>
      <c r="X617">
        <f t="shared" si="89"/>
        <v>2025</v>
      </c>
    </row>
    <row r="618" spans="1:24" x14ac:dyDescent="0.35">
      <c r="A618" s="3">
        <v>45748</v>
      </c>
      <c r="B618" t="s">
        <v>68</v>
      </c>
      <c r="C618" t="s">
        <v>109</v>
      </c>
      <c r="D618" t="s">
        <v>764</v>
      </c>
      <c r="E618" t="s">
        <v>55</v>
      </c>
      <c r="F618" t="s">
        <v>48</v>
      </c>
      <c r="G618" t="s">
        <v>42</v>
      </c>
      <c r="H618">
        <v>77.400000000000006</v>
      </c>
      <c r="I618">
        <v>4083</v>
      </c>
      <c r="J618">
        <v>117</v>
      </c>
      <c r="K618">
        <v>15.4</v>
      </c>
      <c r="L618" t="s">
        <v>30</v>
      </c>
      <c r="M618">
        <v>43682.5</v>
      </c>
      <c r="N618">
        <v>13606</v>
      </c>
      <c r="O618" t="s">
        <v>36</v>
      </c>
      <c r="P618" t="str">
        <f t="shared" si="81"/>
        <v>Yes</v>
      </c>
      <c r="Q618">
        <f t="shared" si="82"/>
        <v>52.75</v>
      </c>
      <c r="R618">
        <f t="shared" si="83"/>
        <v>10.7</v>
      </c>
      <c r="S618">
        <f t="shared" si="84"/>
        <v>3.21</v>
      </c>
      <c r="T618" t="str">
        <f t="shared" si="85"/>
        <v>Delayed</v>
      </c>
      <c r="U618" t="str">
        <f t="shared" si="86"/>
        <v>High</v>
      </c>
      <c r="V618" t="str">
        <f t="shared" si="87"/>
        <v>Medium Risk</v>
      </c>
      <c r="W618" t="str">
        <f t="shared" si="88"/>
        <v>Apr</v>
      </c>
      <c r="X618">
        <f t="shared" si="89"/>
        <v>2025</v>
      </c>
    </row>
    <row r="619" spans="1:24" x14ac:dyDescent="0.35">
      <c r="A619" s="3">
        <v>45968</v>
      </c>
      <c r="B619" t="s">
        <v>185</v>
      </c>
      <c r="C619" t="s">
        <v>69</v>
      </c>
      <c r="D619" t="s">
        <v>765</v>
      </c>
      <c r="E619" t="s">
        <v>48</v>
      </c>
      <c r="F619" t="s">
        <v>55</v>
      </c>
      <c r="G619" t="s">
        <v>42</v>
      </c>
      <c r="H619">
        <v>47</v>
      </c>
      <c r="I619">
        <v>2790</v>
      </c>
      <c r="J619">
        <v>118</v>
      </c>
      <c r="K619">
        <v>13.2</v>
      </c>
      <c r="L619" t="s">
        <v>49</v>
      </c>
      <c r="M619">
        <v>24324.880000000001</v>
      </c>
      <c r="N619">
        <v>22671</v>
      </c>
      <c r="O619" t="s">
        <v>59</v>
      </c>
      <c r="P619" t="str">
        <f t="shared" si="81"/>
        <v>Yes</v>
      </c>
      <c r="Q619">
        <f t="shared" si="82"/>
        <v>59.36</v>
      </c>
      <c r="R619">
        <f t="shared" si="83"/>
        <v>8.7200000000000006</v>
      </c>
      <c r="S619">
        <f t="shared" si="84"/>
        <v>1.07</v>
      </c>
      <c r="T619" t="str">
        <f t="shared" si="85"/>
        <v>Delayed</v>
      </c>
      <c r="U619" t="str">
        <f t="shared" si="86"/>
        <v>Medium</v>
      </c>
      <c r="V619" t="str">
        <f t="shared" si="87"/>
        <v>High Risk</v>
      </c>
      <c r="W619" t="str">
        <f t="shared" si="88"/>
        <v>Nov</v>
      </c>
      <c r="X619">
        <f t="shared" si="89"/>
        <v>2025</v>
      </c>
    </row>
    <row r="620" spans="1:24" x14ac:dyDescent="0.35">
      <c r="A620" s="3">
        <v>45694</v>
      </c>
      <c r="B620" t="s">
        <v>113</v>
      </c>
      <c r="C620" t="s">
        <v>52</v>
      </c>
      <c r="D620" t="s">
        <v>766</v>
      </c>
      <c r="E620" t="s">
        <v>28</v>
      </c>
      <c r="F620" t="s">
        <v>63</v>
      </c>
      <c r="G620" t="s">
        <v>42</v>
      </c>
      <c r="H620">
        <v>60.8</v>
      </c>
      <c r="I620">
        <v>2838</v>
      </c>
      <c r="J620">
        <v>49</v>
      </c>
      <c r="K620">
        <v>20.2</v>
      </c>
      <c r="L620" t="s">
        <v>30</v>
      </c>
      <c r="M620">
        <v>40026.99</v>
      </c>
      <c r="N620">
        <v>21821</v>
      </c>
      <c r="O620" t="s">
        <v>31</v>
      </c>
      <c r="P620" t="str">
        <f t="shared" si="81"/>
        <v>Yes</v>
      </c>
      <c r="Q620">
        <f t="shared" si="82"/>
        <v>46.68</v>
      </c>
      <c r="R620">
        <f t="shared" si="83"/>
        <v>14.1</v>
      </c>
      <c r="S620">
        <f t="shared" si="84"/>
        <v>1.83</v>
      </c>
      <c r="T620" t="str">
        <f t="shared" si="85"/>
        <v>Delayed</v>
      </c>
      <c r="U620" t="str">
        <f t="shared" si="86"/>
        <v>High</v>
      </c>
      <c r="V620" t="str">
        <f t="shared" si="87"/>
        <v>Medium Risk</v>
      </c>
      <c r="W620" t="str">
        <f t="shared" si="88"/>
        <v>Feb</v>
      </c>
      <c r="X620">
        <f t="shared" si="89"/>
        <v>2025</v>
      </c>
    </row>
    <row r="621" spans="1:24" x14ac:dyDescent="0.35">
      <c r="A621" s="3">
        <v>45864</v>
      </c>
      <c r="B621" t="s">
        <v>115</v>
      </c>
      <c r="C621" t="s">
        <v>69</v>
      </c>
      <c r="D621" t="s">
        <v>767</v>
      </c>
      <c r="E621" t="s">
        <v>54</v>
      </c>
      <c r="F621" t="s">
        <v>48</v>
      </c>
      <c r="G621" t="s">
        <v>29</v>
      </c>
      <c r="H621">
        <v>41.4</v>
      </c>
      <c r="I621">
        <v>2167</v>
      </c>
      <c r="J621">
        <v>97</v>
      </c>
      <c r="K621">
        <v>14.7</v>
      </c>
      <c r="L621" t="s">
        <v>49</v>
      </c>
      <c r="M621">
        <v>26919.45</v>
      </c>
      <c r="N621">
        <v>21741</v>
      </c>
      <c r="O621" t="s">
        <v>59</v>
      </c>
      <c r="P621" t="str">
        <f t="shared" si="81"/>
        <v>Yes</v>
      </c>
      <c r="Q621">
        <f t="shared" si="82"/>
        <v>52.34</v>
      </c>
      <c r="R621">
        <f t="shared" si="83"/>
        <v>12.42</v>
      </c>
      <c r="S621">
        <f t="shared" si="84"/>
        <v>1.24</v>
      </c>
      <c r="T621" t="str">
        <f t="shared" si="85"/>
        <v>Delayed</v>
      </c>
      <c r="U621" t="str">
        <f t="shared" si="86"/>
        <v>Medium</v>
      </c>
      <c r="V621" t="str">
        <f t="shared" si="87"/>
        <v>High Risk</v>
      </c>
      <c r="W621" t="str">
        <f t="shared" si="88"/>
        <v>Jul</v>
      </c>
      <c r="X621">
        <f t="shared" si="89"/>
        <v>2025</v>
      </c>
    </row>
    <row r="622" spans="1:24" x14ac:dyDescent="0.35">
      <c r="A622" s="3">
        <v>45992</v>
      </c>
      <c r="B622" t="s">
        <v>120</v>
      </c>
      <c r="C622" t="s">
        <v>109</v>
      </c>
      <c r="D622" t="s">
        <v>768</v>
      </c>
      <c r="E622" t="s">
        <v>54</v>
      </c>
      <c r="F622" t="s">
        <v>27</v>
      </c>
      <c r="G622" t="s">
        <v>42</v>
      </c>
      <c r="H622">
        <v>67.400000000000006</v>
      </c>
      <c r="I622">
        <v>4940</v>
      </c>
      <c r="J622">
        <v>89</v>
      </c>
      <c r="K622">
        <v>11.9</v>
      </c>
      <c r="L622" t="s">
        <v>43</v>
      </c>
      <c r="M622">
        <v>37970.53</v>
      </c>
      <c r="N622">
        <v>25866</v>
      </c>
      <c r="O622" t="s">
        <v>36</v>
      </c>
      <c r="P622" t="str">
        <f t="shared" si="81"/>
        <v>Yes</v>
      </c>
      <c r="Q622">
        <f t="shared" si="82"/>
        <v>73.290000000000006</v>
      </c>
      <c r="R622">
        <f t="shared" si="83"/>
        <v>7.69</v>
      </c>
      <c r="S622">
        <f t="shared" si="84"/>
        <v>1.47</v>
      </c>
      <c r="T622" t="str">
        <f t="shared" si="85"/>
        <v>Delayed</v>
      </c>
      <c r="U622" t="str">
        <f t="shared" si="86"/>
        <v>High</v>
      </c>
      <c r="V622" t="str">
        <f t="shared" si="87"/>
        <v>Low Risk</v>
      </c>
      <c r="W622" t="str">
        <f t="shared" si="88"/>
        <v>Dec</v>
      </c>
      <c r="X622">
        <f t="shared" si="89"/>
        <v>2025</v>
      </c>
    </row>
    <row r="623" spans="1:24" x14ac:dyDescent="0.35">
      <c r="A623" s="3">
        <v>45862</v>
      </c>
      <c r="B623" t="s">
        <v>244</v>
      </c>
      <c r="C623" t="s">
        <v>39</v>
      </c>
      <c r="D623" t="s">
        <v>769</v>
      </c>
      <c r="E623" t="s">
        <v>54</v>
      </c>
      <c r="F623" t="s">
        <v>41</v>
      </c>
      <c r="G623" t="s">
        <v>71</v>
      </c>
      <c r="H623">
        <v>42.7</v>
      </c>
      <c r="I623">
        <v>2995</v>
      </c>
      <c r="J623">
        <v>27</v>
      </c>
      <c r="K623">
        <v>17.899999999999999</v>
      </c>
      <c r="L623" t="s">
        <v>49</v>
      </c>
      <c r="M623">
        <v>29192.19</v>
      </c>
      <c r="N623">
        <v>21121</v>
      </c>
      <c r="O623" t="s">
        <v>36</v>
      </c>
      <c r="P623" t="str">
        <f t="shared" si="81"/>
        <v>Yes</v>
      </c>
      <c r="Q623">
        <f t="shared" si="82"/>
        <v>70.14</v>
      </c>
      <c r="R623">
        <f t="shared" si="83"/>
        <v>9.75</v>
      </c>
      <c r="S623">
        <f t="shared" si="84"/>
        <v>1.38</v>
      </c>
      <c r="T623" t="str">
        <f t="shared" si="85"/>
        <v>Delayed</v>
      </c>
      <c r="U623" t="str">
        <f t="shared" si="86"/>
        <v>Medium</v>
      </c>
      <c r="V623" t="str">
        <f t="shared" si="87"/>
        <v>High Risk</v>
      </c>
      <c r="W623" t="str">
        <f t="shared" si="88"/>
        <v>Jul</v>
      </c>
      <c r="X623">
        <f t="shared" si="89"/>
        <v>2025</v>
      </c>
    </row>
    <row r="624" spans="1:24" x14ac:dyDescent="0.35">
      <c r="A624" s="3">
        <v>45962</v>
      </c>
      <c r="B624" t="s">
        <v>317</v>
      </c>
      <c r="C624" t="s">
        <v>52</v>
      </c>
      <c r="D624" t="s">
        <v>770</v>
      </c>
      <c r="E624" t="s">
        <v>54</v>
      </c>
      <c r="F624" t="s">
        <v>66</v>
      </c>
      <c r="G624" t="s">
        <v>71</v>
      </c>
      <c r="H624">
        <v>43.2</v>
      </c>
      <c r="I624">
        <v>625</v>
      </c>
      <c r="J624">
        <v>52</v>
      </c>
      <c r="K624">
        <v>20.100000000000001</v>
      </c>
      <c r="L624" t="s">
        <v>43</v>
      </c>
      <c r="M624">
        <v>20555.07</v>
      </c>
      <c r="N624">
        <v>23168</v>
      </c>
      <c r="O624" t="s">
        <v>36</v>
      </c>
      <c r="P624" t="str">
        <f t="shared" si="81"/>
        <v>Yes</v>
      </c>
      <c r="Q624">
        <f t="shared" si="82"/>
        <v>14.47</v>
      </c>
      <c r="R624">
        <f t="shared" si="83"/>
        <v>32.89</v>
      </c>
      <c r="S624">
        <f t="shared" si="84"/>
        <v>0.89</v>
      </c>
      <c r="T624" t="str">
        <f t="shared" si="85"/>
        <v>Delayed</v>
      </c>
      <c r="U624" t="str">
        <f t="shared" si="86"/>
        <v>Medium</v>
      </c>
      <c r="V624" t="str">
        <f t="shared" si="87"/>
        <v>Low Risk</v>
      </c>
      <c r="W624" t="str">
        <f t="shared" si="88"/>
        <v>Nov</v>
      </c>
      <c r="X624">
        <f t="shared" si="89"/>
        <v>2025</v>
      </c>
    </row>
    <row r="625" spans="1:24" x14ac:dyDescent="0.35">
      <c r="A625" s="3">
        <v>46009</v>
      </c>
      <c r="B625" t="s">
        <v>300</v>
      </c>
      <c r="C625" t="s">
        <v>52</v>
      </c>
      <c r="D625" t="s">
        <v>771</v>
      </c>
      <c r="E625" t="s">
        <v>28</v>
      </c>
      <c r="F625" t="s">
        <v>48</v>
      </c>
      <c r="G625" t="s">
        <v>71</v>
      </c>
      <c r="H625">
        <v>58.1</v>
      </c>
      <c r="I625">
        <v>2466</v>
      </c>
      <c r="J625">
        <v>53</v>
      </c>
      <c r="K625">
        <v>20.6</v>
      </c>
      <c r="L625" t="s">
        <v>78</v>
      </c>
      <c r="M625">
        <v>28433.02</v>
      </c>
      <c r="N625">
        <v>22962</v>
      </c>
      <c r="O625" t="s">
        <v>84</v>
      </c>
      <c r="P625" t="str">
        <f t="shared" si="81"/>
        <v>No</v>
      </c>
      <c r="Q625">
        <f t="shared" si="82"/>
        <v>42.44</v>
      </c>
      <c r="R625">
        <f t="shared" si="83"/>
        <v>11.53</v>
      </c>
      <c r="S625">
        <f t="shared" si="84"/>
        <v>1.24</v>
      </c>
      <c r="T625" t="str">
        <f t="shared" si="85"/>
        <v>On Time</v>
      </c>
      <c r="U625" t="str">
        <f t="shared" si="86"/>
        <v>Medium</v>
      </c>
      <c r="V625" t="str">
        <f t="shared" si="87"/>
        <v>Low Risk</v>
      </c>
      <c r="W625" t="str">
        <f t="shared" si="88"/>
        <v>Dec</v>
      </c>
      <c r="X625">
        <f t="shared" si="89"/>
        <v>2025</v>
      </c>
    </row>
    <row r="626" spans="1:24" x14ac:dyDescent="0.35">
      <c r="A626" s="3">
        <v>45666</v>
      </c>
      <c r="B626" t="s">
        <v>185</v>
      </c>
      <c r="C626" t="s">
        <v>25</v>
      </c>
      <c r="D626" t="s">
        <v>772</v>
      </c>
      <c r="E626" t="s">
        <v>48</v>
      </c>
      <c r="F626" t="s">
        <v>63</v>
      </c>
      <c r="G626" t="s">
        <v>35</v>
      </c>
      <c r="H626">
        <v>74.099999999999994</v>
      </c>
      <c r="I626">
        <v>1682</v>
      </c>
      <c r="J626">
        <v>69</v>
      </c>
      <c r="K626">
        <v>16.3</v>
      </c>
      <c r="L626" t="s">
        <v>78</v>
      </c>
      <c r="M626">
        <v>44986.75</v>
      </c>
      <c r="N626">
        <v>20876</v>
      </c>
      <c r="O626" t="s">
        <v>36</v>
      </c>
      <c r="P626" t="str">
        <f t="shared" si="81"/>
        <v>No</v>
      </c>
      <c r="Q626">
        <f t="shared" si="82"/>
        <v>22.7</v>
      </c>
      <c r="R626">
        <f t="shared" si="83"/>
        <v>26.75</v>
      </c>
      <c r="S626">
        <f t="shared" si="84"/>
        <v>2.15</v>
      </c>
      <c r="T626" t="str">
        <f t="shared" si="85"/>
        <v>On Time</v>
      </c>
      <c r="U626" t="str">
        <f t="shared" si="86"/>
        <v>High</v>
      </c>
      <c r="V626" t="str">
        <f t="shared" si="87"/>
        <v>Low Risk</v>
      </c>
      <c r="W626" t="str">
        <f t="shared" si="88"/>
        <v>Jan</v>
      </c>
      <c r="X626">
        <f t="shared" si="89"/>
        <v>2025</v>
      </c>
    </row>
    <row r="627" spans="1:24" x14ac:dyDescent="0.35">
      <c r="A627" s="3">
        <v>45934</v>
      </c>
      <c r="B627" t="s">
        <v>349</v>
      </c>
      <c r="C627" t="s">
        <v>57</v>
      </c>
      <c r="D627" t="s">
        <v>773</v>
      </c>
      <c r="E627" t="s">
        <v>28</v>
      </c>
      <c r="F627" t="s">
        <v>55</v>
      </c>
      <c r="G627" t="s">
        <v>35</v>
      </c>
      <c r="H627">
        <v>31.1</v>
      </c>
      <c r="I627">
        <v>4196</v>
      </c>
      <c r="J627">
        <v>65</v>
      </c>
      <c r="K627">
        <v>15.1</v>
      </c>
      <c r="L627" t="s">
        <v>43</v>
      </c>
      <c r="M627">
        <v>16181.4</v>
      </c>
      <c r="N627">
        <v>7124</v>
      </c>
      <c r="O627" t="s">
        <v>50</v>
      </c>
      <c r="P627" t="str">
        <f t="shared" si="81"/>
        <v>Yes</v>
      </c>
      <c r="Q627">
        <f t="shared" si="82"/>
        <v>134.91999999999999</v>
      </c>
      <c r="R627">
        <f t="shared" si="83"/>
        <v>3.86</v>
      </c>
      <c r="S627">
        <f t="shared" si="84"/>
        <v>2.27</v>
      </c>
      <c r="T627" t="str">
        <f t="shared" si="85"/>
        <v>Delayed</v>
      </c>
      <c r="U627" t="str">
        <f t="shared" si="86"/>
        <v>Low</v>
      </c>
      <c r="V627" t="str">
        <f t="shared" si="87"/>
        <v>Low Risk</v>
      </c>
      <c r="W627" t="str">
        <f t="shared" si="88"/>
        <v>Oct</v>
      </c>
      <c r="X627">
        <f t="shared" si="89"/>
        <v>2025</v>
      </c>
    </row>
    <row r="628" spans="1:24" x14ac:dyDescent="0.35">
      <c r="A628" s="3">
        <v>45788</v>
      </c>
      <c r="B628" t="s">
        <v>142</v>
      </c>
      <c r="C628" t="s">
        <v>95</v>
      </c>
      <c r="D628" t="s">
        <v>774</v>
      </c>
      <c r="E628" t="s">
        <v>63</v>
      </c>
      <c r="F628" t="s">
        <v>54</v>
      </c>
      <c r="G628" t="s">
        <v>71</v>
      </c>
      <c r="H628">
        <v>64</v>
      </c>
      <c r="I628">
        <v>1041</v>
      </c>
      <c r="J628">
        <v>50</v>
      </c>
      <c r="K628">
        <v>19.899999999999999</v>
      </c>
      <c r="L628" t="s">
        <v>78</v>
      </c>
      <c r="M628">
        <v>29875.29</v>
      </c>
      <c r="N628">
        <v>25493</v>
      </c>
      <c r="O628" t="s">
        <v>31</v>
      </c>
      <c r="P628" t="str">
        <f t="shared" si="81"/>
        <v>No</v>
      </c>
      <c r="Q628">
        <f t="shared" si="82"/>
        <v>16.27</v>
      </c>
      <c r="R628">
        <f t="shared" si="83"/>
        <v>28.7</v>
      </c>
      <c r="S628">
        <f t="shared" si="84"/>
        <v>1.17</v>
      </c>
      <c r="T628" t="str">
        <f t="shared" si="85"/>
        <v>On Time</v>
      </c>
      <c r="U628" t="str">
        <f t="shared" si="86"/>
        <v>High</v>
      </c>
      <c r="V628" t="str">
        <f t="shared" si="87"/>
        <v>Low Risk</v>
      </c>
      <c r="W628" t="str">
        <f t="shared" si="88"/>
        <v>May</v>
      </c>
      <c r="X628">
        <f t="shared" si="89"/>
        <v>2025</v>
      </c>
    </row>
    <row r="629" spans="1:24" x14ac:dyDescent="0.35">
      <c r="A629" s="3">
        <v>45852</v>
      </c>
      <c r="B629" t="s">
        <v>80</v>
      </c>
      <c r="C629" t="s">
        <v>95</v>
      </c>
      <c r="D629" t="s">
        <v>775</v>
      </c>
      <c r="E629" t="s">
        <v>63</v>
      </c>
      <c r="F629" t="s">
        <v>41</v>
      </c>
      <c r="G629" t="s">
        <v>29</v>
      </c>
      <c r="H629">
        <v>62.4</v>
      </c>
      <c r="I629">
        <v>4917</v>
      </c>
      <c r="J629">
        <v>37</v>
      </c>
      <c r="K629">
        <v>19.3</v>
      </c>
      <c r="L629" t="s">
        <v>43</v>
      </c>
      <c r="M629">
        <v>34549.300000000003</v>
      </c>
      <c r="N629">
        <v>8057</v>
      </c>
      <c r="O629" t="s">
        <v>36</v>
      </c>
      <c r="P629" t="str">
        <f t="shared" si="81"/>
        <v>Yes</v>
      </c>
      <c r="Q629">
        <f t="shared" si="82"/>
        <v>78.8</v>
      </c>
      <c r="R629">
        <f t="shared" si="83"/>
        <v>7.03</v>
      </c>
      <c r="S629">
        <f t="shared" si="84"/>
        <v>4.29</v>
      </c>
      <c r="T629" t="str">
        <f t="shared" si="85"/>
        <v>Delayed</v>
      </c>
      <c r="U629" t="str">
        <f t="shared" si="86"/>
        <v>High</v>
      </c>
      <c r="V629" t="str">
        <f t="shared" si="87"/>
        <v>Low Risk</v>
      </c>
      <c r="W629" t="str">
        <f t="shared" si="88"/>
        <v>Jul</v>
      </c>
      <c r="X629">
        <f t="shared" si="89"/>
        <v>2025</v>
      </c>
    </row>
    <row r="630" spans="1:24" x14ac:dyDescent="0.35">
      <c r="A630" s="3">
        <v>45994</v>
      </c>
      <c r="B630" t="s">
        <v>152</v>
      </c>
      <c r="C630" t="s">
        <v>130</v>
      </c>
      <c r="D630" t="s">
        <v>776</v>
      </c>
      <c r="E630" t="s">
        <v>54</v>
      </c>
      <c r="F630" t="s">
        <v>28</v>
      </c>
      <c r="G630" t="s">
        <v>71</v>
      </c>
      <c r="H630">
        <v>45.7</v>
      </c>
      <c r="I630">
        <v>1971</v>
      </c>
      <c r="J630">
        <v>77</v>
      </c>
      <c r="K630">
        <v>19.600000000000001</v>
      </c>
      <c r="L630" t="s">
        <v>49</v>
      </c>
      <c r="M630">
        <v>24518.240000000002</v>
      </c>
      <c r="N630">
        <v>6131</v>
      </c>
      <c r="O630" t="s">
        <v>91</v>
      </c>
      <c r="P630" t="str">
        <f t="shared" si="81"/>
        <v>Yes</v>
      </c>
      <c r="Q630">
        <f t="shared" si="82"/>
        <v>43.13</v>
      </c>
      <c r="R630">
        <f t="shared" si="83"/>
        <v>12.44</v>
      </c>
      <c r="S630">
        <f t="shared" si="84"/>
        <v>4</v>
      </c>
      <c r="T630" t="str">
        <f t="shared" si="85"/>
        <v>Delayed</v>
      </c>
      <c r="U630" t="str">
        <f t="shared" si="86"/>
        <v>Medium</v>
      </c>
      <c r="V630" t="str">
        <f t="shared" si="87"/>
        <v>High Risk</v>
      </c>
      <c r="W630" t="str">
        <f t="shared" si="88"/>
        <v>Dec</v>
      </c>
      <c r="X630">
        <f t="shared" si="89"/>
        <v>2025</v>
      </c>
    </row>
    <row r="631" spans="1:24" x14ac:dyDescent="0.35">
      <c r="A631" s="3">
        <v>45797</v>
      </c>
      <c r="B631" t="s">
        <v>199</v>
      </c>
      <c r="C631" t="s">
        <v>69</v>
      </c>
      <c r="D631" t="s">
        <v>777</v>
      </c>
      <c r="E631" t="s">
        <v>27</v>
      </c>
      <c r="F631" t="s">
        <v>66</v>
      </c>
      <c r="G631" t="s">
        <v>35</v>
      </c>
      <c r="H631">
        <v>53.1</v>
      </c>
      <c r="I631">
        <v>2697</v>
      </c>
      <c r="J631">
        <v>38</v>
      </c>
      <c r="K631">
        <v>13.1</v>
      </c>
      <c r="L631" t="s">
        <v>49</v>
      </c>
      <c r="M631">
        <v>32079.48</v>
      </c>
      <c r="N631">
        <v>25609</v>
      </c>
      <c r="O631" t="s">
        <v>59</v>
      </c>
      <c r="P631" t="str">
        <f t="shared" si="81"/>
        <v>Yes</v>
      </c>
      <c r="Q631">
        <f t="shared" si="82"/>
        <v>50.79</v>
      </c>
      <c r="R631">
        <f t="shared" si="83"/>
        <v>11.89</v>
      </c>
      <c r="S631">
        <f t="shared" si="84"/>
        <v>1.25</v>
      </c>
      <c r="T631" t="str">
        <f t="shared" si="85"/>
        <v>Delayed</v>
      </c>
      <c r="U631" t="str">
        <f t="shared" si="86"/>
        <v>Medium</v>
      </c>
      <c r="V631" t="str">
        <f t="shared" si="87"/>
        <v>High Risk</v>
      </c>
      <c r="W631" t="str">
        <f t="shared" si="88"/>
        <v>May</v>
      </c>
      <c r="X631">
        <f t="shared" si="89"/>
        <v>2025</v>
      </c>
    </row>
    <row r="632" spans="1:24" x14ac:dyDescent="0.35">
      <c r="A632" s="3">
        <v>45772</v>
      </c>
      <c r="B632" t="s">
        <v>417</v>
      </c>
      <c r="C632" t="s">
        <v>109</v>
      </c>
      <c r="D632" t="s">
        <v>778</v>
      </c>
      <c r="E632" t="s">
        <v>48</v>
      </c>
      <c r="F632" t="s">
        <v>27</v>
      </c>
      <c r="G632" t="s">
        <v>29</v>
      </c>
      <c r="H632">
        <v>43.5</v>
      </c>
      <c r="I632">
        <v>912</v>
      </c>
      <c r="J632">
        <v>55</v>
      </c>
      <c r="K632">
        <v>11.8</v>
      </c>
      <c r="L632" t="s">
        <v>78</v>
      </c>
      <c r="M632">
        <v>27671.96</v>
      </c>
      <c r="N632">
        <v>15633</v>
      </c>
      <c r="O632" t="s">
        <v>50</v>
      </c>
      <c r="P632" t="str">
        <f t="shared" si="81"/>
        <v>No</v>
      </c>
      <c r="Q632">
        <f t="shared" si="82"/>
        <v>20.97</v>
      </c>
      <c r="R632">
        <f t="shared" si="83"/>
        <v>30.34</v>
      </c>
      <c r="S632">
        <f t="shared" si="84"/>
        <v>1.77</v>
      </c>
      <c r="T632" t="str">
        <f t="shared" si="85"/>
        <v>On Time</v>
      </c>
      <c r="U632" t="str">
        <f t="shared" si="86"/>
        <v>Medium</v>
      </c>
      <c r="V632" t="str">
        <f t="shared" si="87"/>
        <v>Low Risk</v>
      </c>
      <c r="W632" t="str">
        <f t="shared" si="88"/>
        <v>Apr</v>
      </c>
      <c r="X632">
        <f t="shared" si="89"/>
        <v>2025</v>
      </c>
    </row>
    <row r="633" spans="1:24" x14ac:dyDescent="0.35">
      <c r="A633" s="3">
        <v>45703</v>
      </c>
      <c r="B633" t="s">
        <v>171</v>
      </c>
      <c r="C633" t="s">
        <v>69</v>
      </c>
      <c r="D633" t="s">
        <v>779</v>
      </c>
      <c r="E633" t="s">
        <v>66</v>
      </c>
      <c r="F633" t="s">
        <v>48</v>
      </c>
      <c r="G633" t="s">
        <v>35</v>
      </c>
      <c r="H633">
        <v>60.8</v>
      </c>
      <c r="I633">
        <v>1714</v>
      </c>
      <c r="J633">
        <v>118</v>
      </c>
      <c r="K633">
        <v>10.5</v>
      </c>
      <c r="L633" t="s">
        <v>43</v>
      </c>
      <c r="M633">
        <v>33963.35</v>
      </c>
      <c r="N633">
        <v>21678</v>
      </c>
      <c r="O633" t="s">
        <v>84</v>
      </c>
      <c r="P633" t="str">
        <f t="shared" si="81"/>
        <v>Yes</v>
      </c>
      <c r="Q633">
        <f t="shared" si="82"/>
        <v>28.19</v>
      </c>
      <c r="R633">
        <f t="shared" si="83"/>
        <v>19.82</v>
      </c>
      <c r="S633">
        <f t="shared" si="84"/>
        <v>1.57</v>
      </c>
      <c r="T633" t="str">
        <f t="shared" si="85"/>
        <v>Delayed</v>
      </c>
      <c r="U633" t="str">
        <f t="shared" si="86"/>
        <v>High</v>
      </c>
      <c r="V633" t="str">
        <f t="shared" si="87"/>
        <v>Low Risk</v>
      </c>
      <c r="W633" t="str">
        <f t="shared" si="88"/>
        <v>Feb</v>
      </c>
      <c r="X633">
        <f t="shared" si="89"/>
        <v>2025</v>
      </c>
    </row>
    <row r="634" spans="1:24" x14ac:dyDescent="0.35">
      <c r="A634" s="3">
        <v>45761</v>
      </c>
      <c r="B634" t="s">
        <v>199</v>
      </c>
      <c r="C634" t="s">
        <v>95</v>
      </c>
      <c r="D634" t="s">
        <v>780</v>
      </c>
      <c r="E634" t="s">
        <v>55</v>
      </c>
      <c r="F634" t="s">
        <v>54</v>
      </c>
      <c r="G634" t="s">
        <v>42</v>
      </c>
      <c r="H634">
        <v>58.7</v>
      </c>
      <c r="I634">
        <v>3744</v>
      </c>
      <c r="J634">
        <v>114</v>
      </c>
      <c r="K634">
        <v>11.6</v>
      </c>
      <c r="L634" t="s">
        <v>43</v>
      </c>
      <c r="M634">
        <v>32929.629999999997</v>
      </c>
      <c r="N634">
        <v>10464</v>
      </c>
      <c r="O634" t="s">
        <v>31</v>
      </c>
      <c r="P634" t="str">
        <f t="shared" si="81"/>
        <v>Yes</v>
      </c>
      <c r="Q634">
        <f t="shared" si="82"/>
        <v>63.78</v>
      </c>
      <c r="R634">
        <f t="shared" si="83"/>
        <v>8.8000000000000007</v>
      </c>
      <c r="S634">
        <f t="shared" si="84"/>
        <v>3.15</v>
      </c>
      <c r="T634" t="str">
        <f t="shared" si="85"/>
        <v>Delayed</v>
      </c>
      <c r="U634" t="str">
        <f t="shared" si="86"/>
        <v>Medium</v>
      </c>
      <c r="V634" t="str">
        <f t="shared" si="87"/>
        <v>Low Risk</v>
      </c>
      <c r="W634" t="str">
        <f t="shared" si="88"/>
        <v>Apr</v>
      </c>
      <c r="X634">
        <f t="shared" si="89"/>
        <v>2025</v>
      </c>
    </row>
    <row r="635" spans="1:24" x14ac:dyDescent="0.35">
      <c r="A635" s="3">
        <v>45745</v>
      </c>
      <c r="B635" t="s">
        <v>317</v>
      </c>
      <c r="C635" t="s">
        <v>57</v>
      </c>
      <c r="D635" t="s">
        <v>781</v>
      </c>
      <c r="E635" t="s">
        <v>66</v>
      </c>
      <c r="F635" t="s">
        <v>55</v>
      </c>
      <c r="G635" t="s">
        <v>42</v>
      </c>
      <c r="H635">
        <v>32.299999999999997</v>
      </c>
      <c r="I635">
        <v>4509</v>
      </c>
      <c r="J635">
        <v>119</v>
      </c>
      <c r="K635">
        <v>17.7</v>
      </c>
      <c r="L635" t="s">
        <v>49</v>
      </c>
      <c r="M635">
        <v>19706.96</v>
      </c>
      <c r="N635">
        <v>18645</v>
      </c>
      <c r="O635" t="s">
        <v>59</v>
      </c>
      <c r="P635" t="str">
        <f t="shared" si="81"/>
        <v>Yes</v>
      </c>
      <c r="Q635">
        <f t="shared" si="82"/>
        <v>139.6</v>
      </c>
      <c r="R635">
        <f t="shared" si="83"/>
        <v>4.37</v>
      </c>
      <c r="S635">
        <f t="shared" si="84"/>
        <v>1.06</v>
      </c>
      <c r="T635" t="str">
        <f t="shared" si="85"/>
        <v>Delayed</v>
      </c>
      <c r="U635" t="str">
        <f t="shared" si="86"/>
        <v>Low</v>
      </c>
      <c r="V635" t="str">
        <f t="shared" si="87"/>
        <v>High Risk</v>
      </c>
      <c r="W635" t="str">
        <f t="shared" si="88"/>
        <v>Mar</v>
      </c>
      <c r="X635">
        <f t="shared" si="89"/>
        <v>2025</v>
      </c>
    </row>
    <row r="636" spans="1:24" x14ac:dyDescent="0.35">
      <c r="A636" s="3">
        <v>45768</v>
      </c>
      <c r="B636" t="s">
        <v>300</v>
      </c>
      <c r="C636" t="s">
        <v>130</v>
      </c>
      <c r="D636" t="s">
        <v>782</v>
      </c>
      <c r="E636" t="s">
        <v>48</v>
      </c>
      <c r="F636" t="s">
        <v>54</v>
      </c>
      <c r="G636" t="s">
        <v>35</v>
      </c>
      <c r="H636">
        <v>30.3</v>
      </c>
      <c r="I636">
        <v>2579</v>
      </c>
      <c r="J636">
        <v>115</v>
      </c>
      <c r="K636">
        <v>20.6</v>
      </c>
      <c r="L636" t="s">
        <v>30</v>
      </c>
      <c r="M636">
        <v>21045.16</v>
      </c>
      <c r="N636">
        <v>7926</v>
      </c>
      <c r="O636" t="s">
        <v>91</v>
      </c>
      <c r="P636" t="str">
        <f t="shared" si="81"/>
        <v>Yes</v>
      </c>
      <c r="Q636">
        <f t="shared" si="82"/>
        <v>85.12</v>
      </c>
      <c r="R636">
        <f t="shared" si="83"/>
        <v>8.16</v>
      </c>
      <c r="S636">
        <f t="shared" si="84"/>
        <v>2.66</v>
      </c>
      <c r="T636" t="str">
        <f t="shared" si="85"/>
        <v>Delayed</v>
      </c>
      <c r="U636" t="str">
        <f t="shared" si="86"/>
        <v>Low</v>
      </c>
      <c r="V636" t="str">
        <f t="shared" si="87"/>
        <v>Medium Risk</v>
      </c>
      <c r="W636" t="str">
        <f t="shared" si="88"/>
        <v>Apr</v>
      </c>
      <c r="X636">
        <f t="shared" si="89"/>
        <v>2025</v>
      </c>
    </row>
    <row r="637" spans="1:24" x14ac:dyDescent="0.35">
      <c r="A637" s="3">
        <v>45865</v>
      </c>
      <c r="B637" t="s">
        <v>150</v>
      </c>
      <c r="C637" t="s">
        <v>130</v>
      </c>
      <c r="D637" t="s">
        <v>783</v>
      </c>
      <c r="E637" t="s">
        <v>66</v>
      </c>
      <c r="F637" t="s">
        <v>63</v>
      </c>
      <c r="G637" t="s">
        <v>29</v>
      </c>
      <c r="H637">
        <v>71.7</v>
      </c>
      <c r="I637">
        <v>625</v>
      </c>
      <c r="J637">
        <v>22</v>
      </c>
      <c r="K637">
        <v>14.8</v>
      </c>
      <c r="L637" t="s">
        <v>49</v>
      </c>
      <c r="M637">
        <v>39423.97</v>
      </c>
      <c r="N637">
        <v>6303</v>
      </c>
      <c r="O637" t="s">
        <v>50</v>
      </c>
      <c r="P637" t="str">
        <f t="shared" si="81"/>
        <v>Yes</v>
      </c>
      <c r="Q637">
        <f t="shared" si="82"/>
        <v>8.7200000000000006</v>
      </c>
      <c r="R637">
        <f t="shared" si="83"/>
        <v>63.08</v>
      </c>
      <c r="S637">
        <f t="shared" si="84"/>
        <v>6.25</v>
      </c>
      <c r="T637" t="str">
        <f t="shared" si="85"/>
        <v>Delayed</v>
      </c>
      <c r="U637" t="str">
        <f t="shared" si="86"/>
        <v>High</v>
      </c>
      <c r="V637" t="str">
        <f t="shared" si="87"/>
        <v>High Risk</v>
      </c>
      <c r="W637" t="str">
        <f t="shared" si="88"/>
        <v>Jul</v>
      </c>
      <c r="X637">
        <f t="shared" si="89"/>
        <v>2025</v>
      </c>
    </row>
    <row r="638" spans="1:24" x14ac:dyDescent="0.35">
      <c r="A638" s="3">
        <v>46019</v>
      </c>
      <c r="B638" t="s">
        <v>217</v>
      </c>
      <c r="C638" t="s">
        <v>25</v>
      </c>
      <c r="D638" t="s">
        <v>784</v>
      </c>
      <c r="E638" t="s">
        <v>41</v>
      </c>
      <c r="F638" t="s">
        <v>54</v>
      </c>
      <c r="G638" t="s">
        <v>42</v>
      </c>
      <c r="H638">
        <v>31.8</v>
      </c>
      <c r="I638">
        <v>3198</v>
      </c>
      <c r="J638">
        <v>42</v>
      </c>
      <c r="K638">
        <v>12.1</v>
      </c>
      <c r="L638" t="s">
        <v>78</v>
      </c>
      <c r="M638">
        <v>18201.36</v>
      </c>
      <c r="N638">
        <v>28009</v>
      </c>
      <c r="O638" t="s">
        <v>36</v>
      </c>
      <c r="P638" t="str">
        <f t="shared" si="81"/>
        <v>No</v>
      </c>
      <c r="Q638">
        <f t="shared" si="82"/>
        <v>100.57</v>
      </c>
      <c r="R638">
        <f t="shared" si="83"/>
        <v>5.69</v>
      </c>
      <c r="S638">
        <f t="shared" si="84"/>
        <v>0.65</v>
      </c>
      <c r="T638" t="str">
        <f t="shared" si="85"/>
        <v>On Time</v>
      </c>
      <c r="U638" t="str">
        <f t="shared" si="86"/>
        <v>Low</v>
      </c>
      <c r="V638" t="str">
        <f t="shared" si="87"/>
        <v>Low Risk</v>
      </c>
      <c r="W638" t="str">
        <f t="shared" si="88"/>
        <v>Dec</v>
      </c>
      <c r="X638">
        <f t="shared" si="89"/>
        <v>2025</v>
      </c>
    </row>
    <row r="639" spans="1:24" x14ac:dyDescent="0.35">
      <c r="A639" s="3">
        <v>45722</v>
      </c>
      <c r="B639" t="s">
        <v>92</v>
      </c>
      <c r="C639" t="s">
        <v>39</v>
      </c>
      <c r="D639" t="s">
        <v>785</v>
      </c>
      <c r="E639" t="s">
        <v>41</v>
      </c>
      <c r="F639" t="s">
        <v>54</v>
      </c>
      <c r="G639" t="s">
        <v>35</v>
      </c>
      <c r="H639">
        <v>24.7</v>
      </c>
      <c r="I639">
        <v>3623</v>
      </c>
      <c r="J639">
        <v>83</v>
      </c>
      <c r="K639">
        <v>17.2</v>
      </c>
      <c r="L639" t="s">
        <v>78</v>
      </c>
      <c r="M639">
        <v>15718.1</v>
      </c>
      <c r="N639">
        <v>16553</v>
      </c>
      <c r="O639" t="s">
        <v>84</v>
      </c>
      <c r="P639" t="str">
        <f t="shared" si="81"/>
        <v>No</v>
      </c>
      <c r="Q639">
        <f t="shared" si="82"/>
        <v>146.68</v>
      </c>
      <c r="R639">
        <f t="shared" si="83"/>
        <v>4.34</v>
      </c>
      <c r="S639">
        <f t="shared" si="84"/>
        <v>0.95</v>
      </c>
      <c r="T639" t="str">
        <f t="shared" si="85"/>
        <v>On Time</v>
      </c>
      <c r="U639" t="str">
        <f t="shared" si="86"/>
        <v>Low</v>
      </c>
      <c r="V639" t="str">
        <f t="shared" si="87"/>
        <v>Low Risk</v>
      </c>
      <c r="W639" t="str">
        <f t="shared" si="88"/>
        <v>Mar</v>
      </c>
      <c r="X639">
        <f t="shared" si="89"/>
        <v>2025</v>
      </c>
    </row>
    <row r="640" spans="1:24" x14ac:dyDescent="0.35">
      <c r="A640" s="3">
        <v>45713</v>
      </c>
      <c r="B640" t="s">
        <v>136</v>
      </c>
      <c r="C640" t="s">
        <v>25</v>
      </c>
      <c r="D640" t="s">
        <v>786</v>
      </c>
      <c r="E640" t="s">
        <v>28</v>
      </c>
      <c r="F640" t="s">
        <v>54</v>
      </c>
      <c r="G640" t="s">
        <v>71</v>
      </c>
      <c r="H640">
        <v>36.799999999999997</v>
      </c>
      <c r="I640">
        <v>2758</v>
      </c>
      <c r="J640">
        <v>106</v>
      </c>
      <c r="K640">
        <v>18.600000000000001</v>
      </c>
      <c r="L640" t="s">
        <v>78</v>
      </c>
      <c r="M640">
        <v>22040.560000000001</v>
      </c>
      <c r="N640">
        <v>20830</v>
      </c>
      <c r="O640" t="s">
        <v>44</v>
      </c>
      <c r="P640" t="str">
        <f t="shared" si="81"/>
        <v>No</v>
      </c>
      <c r="Q640">
        <f t="shared" si="82"/>
        <v>74.95</v>
      </c>
      <c r="R640">
        <f t="shared" si="83"/>
        <v>7.99</v>
      </c>
      <c r="S640">
        <f t="shared" si="84"/>
        <v>1.06</v>
      </c>
      <c r="T640" t="str">
        <f t="shared" si="85"/>
        <v>On Time</v>
      </c>
      <c r="U640" t="str">
        <f t="shared" si="86"/>
        <v>Low</v>
      </c>
      <c r="V640" t="str">
        <f t="shared" si="87"/>
        <v>Low Risk</v>
      </c>
      <c r="W640" t="str">
        <f t="shared" si="88"/>
        <v>Feb</v>
      </c>
      <c r="X640">
        <f t="shared" si="89"/>
        <v>2025</v>
      </c>
    </row>
    <row r="641" spans="1:24" x14ac:dyDescent="0.35">
      <c r="A641" s="3">
        <v>45668</v>
      </c>
      <c r="B641" t="s">
        <v>87</v>
      </c>
      <c r="C641" t="s">
        <v>69</v>
      </c>
      <c r="D641" t="s">
        <v>787</v>
      </c>
      <c r="E641" t="s">
        <v>55</v>
      </c>
      <c r="F641" t="s">
        <v>63</v>
      </c>
      <c r="G641" t="s">
        <v>35</v>
      </c>
      <c r="H641">
        <v>32.5</v>
      </c>
      <c r="I641">
        <v>1884</v>
      </c>
      <c r="J641">
        <v>41</v>
      </c>
      <c r="K641">
        <v>12</v>
      </c>
      <c r="L641" t="s">
        <v>43</v>
      </c>
      <c r="M641">
        <v>16739.47</v>
      </c>
      <c r="N641">
        <v>8472</v>
      </c>
      <c r="O641" t="s">
        <v>84</v>
      </c>
      <c r="P641" t="str">
        <f t="shared" si="81"/>
        <v>Yes</v>
      </c>
      <c r="Q641">
        <f t="shared" si="82"/>
        <v>57.97</v>
      </c>
      <c r="R641">
        <f t="shared" si="83"/>
        <v>8.89</v>
      </c>
      <c r="S641">
        <f t="shared" si="84"/>
        <v>1.98</v>
      </c>
      <c r="T641" t="str">
        <f t="shared" si="85"/>
        <v>Delayed</v>
      </c>
      <c r="U641" t="str">
        <f t="shared" si="86"/>
        <v>Low</v>
      </c>
      <c r="V641" t="str">
        <f t="shared" si="87"/>
        <v>Low Risk</v>
      </c>
      <c r="W641" t="str">
        <f t="shared" si="88"/>
        <v>Jan</v>
      </c>
      <c r="X641">
        <f t="shared" si="89"/>
        <v>2025</v>
      </c>
    </row>
    <row r="642" spans="1:24" x14ac:dyDescent="0.35">
      <c r="A642" s="3">
        <v>45961</v>
      </c>
      <c r="B642" t="s">
        <v>142</v>
      </c>
      <c r="C642" t="s">
        <v>130</v>
      </c>
      <c r="D642" t="s">
        <v>788</v>
      </c>
      <c r="E642" t="s">
        <v>48</v>
      </c>
      <c r="F642" t="s">
        <v>66</v>
      </c>
      <c r="G642" t="s">
        <v>35</v>
      </c>
      <c r="H642">
        <v>40.299999999999997</v>
      </c>
      <c r="I642">
        <v>4259</v>
      </c>
      <c r="J642">
        <v>79</v>
      </c>
      <c r="K642">
        <v>21.4</v>
      </c>
      <c r="L642" t="s">
        <v>43</v>
      </c>
      <c r="M642">
        <v>23175.02</v>
      </c>
      <c r="N642">
        <v>14481</v>
      </c>
      <c r="O642" t="s">
        <v>50</v>
      </c>
      <c r="P642" t="str">
        <f t="shared" ref="P642:P705" si="90">IF(OR(L642="Rain",L642="Fog",L642="Storm"),"Yes","No")</f>
        <v>Yes</v>
      </c>
      <c r="Q642">
        <f t="shared" ref="Q642:Q705" si="91">ROUND(I642/H642,2)</f>
        <v>105.68</v>
      </c>
      <c r="R642">
        <f t="shared" ref="R642:R705" si="92">ROUND(M642/I642,2)</f>
        <v>5.44</v>
      </c>
      <c r="S642">
        <f t="shared" ref="S642:S705" si="93">ROUND(M642/N642,2)</f>
        <v>1.6</v>
      </c>
      <c r="T642" t="str">
        <f t="shared" ref="T642:T705" si="94">IF(P642="Yes","Delayed","On Time")</f>
        <v>Delayed</v>
      </c>
      <c r="U642" t="str">
        <f t="shared" ref="U642:U705" si="95">IF(H642&gt;=60,"High",IF(H642&gt;=40,"Medium","Low"))</f>
        <v>Medium</v>
      </c>
      <c r="V642" t="str">
        <f t="shared" ref="V642:V705" si="96">IF(L642="Storm","High Risk",IF(L642="Rain","Medium Risk","Low Risk"))</f>
        <v>Low Risk</v>
      </c>
      <c r="W642" t="str">
        <f t="shared" ref="W642:W705" si="97">TEXT(A642,"mmm")</f>
        <v>Oct</v>
      </c>
      <c r="X642">
        <f t="shared" si="89"/>
        <v>2025</v>
      </c>
    </row>
    <row r="643" spans="1:24" x14ac:dyDescent="0.35">
      <c r="A643" s="3">
        <v>45669</v>
      </c>
      <c r="B643" t="s">
        <v>100</v>
      </c>
      <c r="C643" t="s">
        <v>69</v>
      </c>
      <c r="D643" t="s">
        <v>789</v>
      </c>
      <c r="E643" t="s">
        <v>48</v>
      </c>
      <c r="F643" t="s">
        <v>41</v>
      </c>
      <c r="G643" t="s">
        <v>35</v>
      </c>
      <c r="H643">
        <v>50.2</v>
      </c>
      <c r="I643">
        <v>1402</v>
      </c>
      <c r="J643">
        <v>115</v>
      </c>
      <c r="K643">
        <v>12.6</v>
      </c>
      <c r="L643" t="s">
        <v>49</v>
      </c>
      <c r="M643">
        <v>32272.93</v>
      </c>
      <c r="N643">
        <v>5558</v>
      </c>
      <c r="O643" t="s">
        <v>59</v>
      </c>
      <c r="P643" t="str">
        <f t="shared" si="90"/>
        <v>Yes</v>
      </c>
      <c r="Q643">
        <f t="shared" si="91"/>
        <v>27.93</v>
      </c>
      <c r="R643">
        <f t="shared" si="92"/>
        <v>23.02</v>
      </c>
      <c r="S643">
        <f t="shared" si="93"/>
        <v>5.81</v>
      </c>
      <c r="T643" t="str">
        <f t="shared" si="94"/>
        <v>Delayed</v>
      </c>
      <c r="U643" t="str">
        <f t="shared" si="95"/>
        <v>Medium</v>
      </c>
      <c r="V643" t="str">
        <f t="shared" si="96"/>
        <v>High Risk</v>
      </c>
      <c r="W643" t="str">
        <f t="shared" si="97"/>
        <v>Jan</v>
      </c>
      <c r="X643">
        <f t="shared" ref="X643:X706" si="98">YEAR(A643)</f>
        <v>2025</v>
      </c>
    </row>
    <row r="644" spans="1:24" x14ac:dyDescent="0.35">
      <c r="A644" s="3">
        <v>46002</v>
      </c>
      <c r="B644" t="s">
        <v>173</v>
      </c>
      <c r="C644" t="s">
        <v>57</v>
      </c>
      <c r="D644" t="s">
        <v>790</v>
      </c>
      <c r="E644" t="s">
        <v>63</v>
      </c>
      <c r="F644" t="s">
        <v>66</v>
      </c>
      <c r="G644" t="s">
        <v>71</v>
      </c>
      <c r="H644">
        <v>62</v>
      </c>
      <c r="I644">
        <v>1207</v>
      </c>
      <c r="J644">
        <v>41</v>
      </c>
      <c r="K644">
        <v>13.5</v>
      </c>
      <c r="L644" t="s">
        <v>49</v>
      </c>
      <c r="M644">
        <v>32023.200000000001</v>
      </c>
      <c r="N644">
        <v>19477</v>
      </c>
      <c r="O644" t="s">
        <v>67</v>
      </c>
      <c r="P644" t="str">
        <f t="shared" si="90"/>
        <v>Yes</v>
      </c>
      <c r="Q644">
        <f t="shared" si="91"/>
        <v>19.47</v>
      </c>
      <c r="R644">
        <f t="shared" si="92"/>
        <v>26.53</v>
      </c>
      <c r="S644">
        <f t="shared" si="93"/>
        <v>1.64</v>
      </c>
      <c r="T644" t="str">
        <f t="shared" si="94"/>
        <v>Delayed</v>
      </c>
      <c r="U644" t="str">
        <f t="shared" si="95"/>
        <v>High</v>
      </c>
      <c r="V644" t="str">
        <f t="shared" si="96"/>
        <v>High Risk</v>
      </c>
      <c r="W644" t="str">
        <f t="shared" si="97"/>
        <v>Dec</v>
      </c>
      <c r="X644">
        <f t="shared" si="98"/>
        <v>2025</v>
      </c>
    </row>
    <row r="645" spans="1:24" x14ac:dyDescent="0.35">
      <c r="A645" s="3">
        <v>45667</v>
      </c>
      <c r="B645" t="s">
        <v>82</v>
      </c>
      <c r="C645" t="s">
        <v>109</v>
      </c>
      <c r="D645" t="s">
        <v>791</v>
      </c>
      <c r="E645" t="s">
        <v>48</v>
      </c>
      <c r="F645" t="s">
        <v>28</v>
      </c>
      <c r="G645" t="s">
        <v>29</v>
      </c>
      <c r="H645">
        <v>71.5</v>
      </c>
      <c r="I645">
        <v>2419</v>
      </c>
      <c r="J645">
        <v>58</v>
      </c>
      <c r="K645">
        <v>12.1</v>
      </c>
      <c r="L645" t="s">
        <v>49</v>
      </c>
      <c r="M645">
        <v>44702.94</v>
      </c>
      <c r="N645">
        <v>20296</v>
      </c>
      <c r="O645" t="s">
        <v>84</v>
      </c>
      <c r="P645" t="str">
        <f t="shared" si="90"/>
        <v>Yes</v>
      </c>
      <c r="Q645">
        <f t="shared" si="91"/>
        <v>33.83</v>
      </c>
      <c r="R645">
        <f t="shared" si="92"/>
        <v>18.48</v>
      </c>
      <c r="S645">
        <f t="shared" si="93"/>
        <v>2.2000000000000002</v>
      </c>
      <c r="T645" t="str">
        <f t="shared" si="94"/>
        <v>Delayed</v>
      </c>
      <c r="U645" t="str">
        <f t="shared" si="95"/>
        <v>High</v>
      </c>
      <c r="V645" t="str">
        <f t="shared" si="96"/>
        <v>High Risk</v>
      </c>
      <c r="W645" t="str">
        <f t="shared" si="97"/>
        <v>Jan</v>
      </c>
      <c r="X645">
        <f t="shared" si="98"/>
        <v>2025</v>
      </c>
    </row>
    <row r="646" spans="1:24" x14ac:dyDescent="0.35">
      <c r="A646" s="3">
        <v>45800</v>
      </c>
      <c r="B646" t="s">
        <v>203</v>
      </c>
      <c r="C646" t="s">
        <v>39</v>
      </c>
      <c r="D646" t="s">
        <v>792</v>
      </c>
      <c r="E646" t="s">
        <v>55</v>
      </c>
      <c r="F646" t="s">
        <v>28</v>
      </c>
      <c r="G646" t="s">
        <v>42</v>
      </c>
      <c r="H646">
        <v>33.299999999999997</v>
      </c>
      <c r="I646">
        <v>3056</v>
      </c>
      <c r="J646">
        <v>27</v>
      </c>
      <c r="K646">
        <v>20.7</v>
      </c>
      <c r="L646" t="s">
        <v>78</v>
      </c>
      <c r="M646">
        <v>22182.61</v>
      </c>
      <c r="N646">
        <v>9373</v>
      </c>
      <c r="O646" t="s">
        <v>84</v>
      </c>
      <c r="P646" t="str">
        <f t="shared" si="90"/>
        <v>No</v>
      </c>
      <c r="Q646">
        <f t="shared" si="91"/>
        <v>91.77</v>
      </c>
      <c r="R646">
        <f t="shared" si="92"/>
        <v>7.26</v>
      </c>
      <c r="S646">
        <f t="shared" si="93"/>
        <v>2.37</v>
      </c>
      <c r="T646" t="str">
        <f t="shared" si="94"/>
        <v>On Time</v>
      </c>
      <c r="U646" t="str">
        <f t="shared" si="95"/>
        <v>Low</v>
      </c>
      <c r="V646" t="str">
        <f t="shared" si="96"/>
        <v>Low Risk</v>
      </c>
      <c r="W646" t="str">
        <f t="shared" si="97"/>
        <v>May</v>
      </c>
      <c r="X646">
        <f t="shared" si="98"/>
        <v>2025</v>
      </c>
    </row>
    <row r="647" spans="1:24" x14ac:dyDescent="0.35">
      <c r="A647" s="3">
        <v>45960</v>
      </c>
      <c r="B647" t="s">
        <v>173</v>
      </c>
      <c r="C647" t="s">
        <v>109</v>
      </c>
      <c r="D647" t="s">
        <v>793</v>
      </c>
      <c r="E647" t="s">
        <v>54</v>
      </c>
      <c r="F647" t="s">
        <v>55</v>
      </c>
      <c r="G647" t="s">
        <v>29</v>
      </c>
      <c r="H647">
        <v>50.1</v>
      </c>
      <c r="I647">
        <v>3850</v>
      </c>
      <c r="J647">
        <v>120</v>
      </c>
      <c r="K647">
        <v>12.5</v>
      </c>
      <c r="L647" t="s">
        <v>78</v>
      </c>
      <c r="M647">
        <v>26255.33</v>
      </c>
      <c r="N647">
        <v>14490</v>
      </c>
      <c r="O647" t="s">
        <v>67</v>
      </c>
      <c r="P647" t="str">
        <f t="shared" si="90"/>
        <v>No</v>
      </c>
      <c r="Q647">
        <f t="shared" si="91"/>
        <v>76.849999999999994</v>
      </c>
      <c r="R647">
        <f t="shared" si="92"/>
        <v>6.82</v>
      </c>
      <c r="S647">
        <f t="shared" si="93"/>
        <v>1.81</v>
      </c>
      <c r="T647" t="str">
        <f t="shared" si="94"/>
        <v>On Time</v>
      </c>
      <c r="U647" t="str">
        <f t="shared" si="95"/>
        <v>Medium</v>
      </c>
      <c r="V647" t="str">
        <f t="shared" si="96"/>
        <v>Low Risk</v>
      </c>
      <c r="W647" t="str">
        <f t="shared" si="97"/>
        <v>Oct</v>
      </c>
      <c r="X647">
        <f t="shared" si="98"/>
        <v>2025</v>
      </c>
    </row>
    <row r="648" spans="1:24" x14ac:dyDescent="0.35">
      <c r="A648" s="3">
        <v>46014</v>
      </c>
      <c r="B648" t="s">
        <v>139</v>
      </c>
      <c r="C648" t="s">
        <v>57</v>
      </c>
      <c r="D648" t="s">
        <v>794</v>
      </c>
      <c r="E648" t="s">
        <v>63</v>
      </c>
      <c r="F648" t="s">
        <v>41</v>
      </c>
      <c r="G648" t="s">
        <v>71</v>
      </c>
      <c r="H648">
        <v>46.3</v>
      </c>
      <c r="I648">
        <v>2287</v>
      </c>
      <c r="J648">
        <v>97</v>
      </c>
      <c r="K648">
        <v>18.899999999999999</v>
      </c>
      <c r="L648" t="s">
        <v>30</v>
      </c>
      <c r="M648">
        <v>22123.66</v>
      </c>
      <c r="N648">
        <v>18755</v>
      </c>
      <c r="O648" t="s">
        <v>91</v>
      </c>
      <c r="P648" t="str">
        <f t="shared" si="90"/>
        <v>Yes</v>
      </c>
      <c r="Q648">
        <f t="shared" si="91"/>
        <v>49.4</v>
      </c>
      <c r="R648">
        <f t="shared" si="92"/>
        <v>9.67</v>
      </c>
      <c r="S648">
        <f t="shared" si="93"/>
        <v>1.18</v>
      </c>
      <c r="T648" t="str">
        <f t="shared" si="94"/>
        <v>Delayed</v>
      </c>
      <c r="U648" t="str">
        <f t="shared" si="95"/>
        <v>Medium</v>
      </c>
      <c r="V648" t="str">
        <f t="shared" si="96"/>
        <v>Medium Risk</v>
      </c>
      <c r="W648" t="str">
        <f t="shared" si="97"/>
        <v>Dec</v>
      </c>
      <c r="X648">
        <f t="shared" si="98"/>
        <v>2025</v>
      </c>
    </row>
    <row r="649" spans="1:24" x14ac:dyDescent="0.35">
      <c r="A649" s="3">
        <v>45899</v>
      </c>
      <c r="B649" t="s">
        <v>246</v>
      </c>
      <c r="C649" t="s">
        <v>69</v>
      </c>
      <c r="D649" t="s">
        <v>795</v>
      </c>
      <c r="E649" t="s">
        <v>54</v>
      </c>
      <c r="F649" t="s">
        <v>27</v>
      </c>
      <c r="G649" t="s">
        <v>29</v>
      </c>
      <c r="H649">
        <v>27.8</v>
      </c>
      <c r="I649">
        <v>1087</v>
      </c>
      <c r="J649">
        <v>72</v>
      </c>
      <c r="K649">
        <v>18.100000000000001</v>
      </c>
      <c r="L649" t="s">
        <v>78</v>
      </c>
      <c r="M649">
        <v>16838.87</v>
      </c>
      <c r="N649">
        <v>18001</v>
      </c>
      <c r="O649" t="s">
        <v>84</v>
      </c>
      <c r="P649" t="str">
        <f t="shared" si="90"/>
        <v>No</v>
      </c>
      <c r="Q649">
        <f t="shared" si="91"/>
        <v>39.1</v>
      </c>
      <c r="R649">
        <f t="shared" si="92"/>
        <v>15.49</v>
      </c>
      <c r="S649">
        <f t="shared" si="93"/>
        <v>0.94</v>
      </c>
      <c r="T649" t="str">
        <f t="shared" si="94"/>
        <v>On Time</v>
      </c>
      <c r="U649" t="str">
        <f t="shared" si="95"/>
        <v>Low</v>
      </c>
      <c r="V649" t="str">
        <f t="shared" si="96"/>
        <v>Low Risk</v>
      </c>
      <c r="W649" t="str">
        <f t="shared" si="97"/>
        <v>Aug</v>
      </c>
      <c r="X649">
        <f t="shared" si="98"/>
        <v>2025</v>
      </c>
    </row>
    <row r="650" spans="1:24" x14ac:dyDescent="0.35">
      <c r="A650" s="3">
        <v>45851</v>
      </c>
      <c r="B650" t="s">
        <v>275</v>
      </c>
      <c r="C650" t="s">
        <v>25</v>
      </c>
      <c r="D650" t="s">
        <v>796</v>
      </c>
      <c r="E650" t="s">
        <v>41</v>
      </c>
      <c r="F650" t="s">
        <v>54</v>
      </c>
      <c r="G650" t="s">
        <v>42</v>
      </c>
      <c r="H650">
        <v>23.2</v>
      </c>
      <c r="I650">
        <v>1778</v>
      </c>
      <c r="J650">
        <v>99</v>
      </c>
      <c r="K650">
        <v>10.8</v>
      </c>
      <c r="L650" t="s">
        <v>43</v>
      </c>
      <c r="M650">
        <v>15862.6</v>
      </c>
      <c r="N650">
        <v>27217</v>
      </c>
      <c r="O650" t="s">
        <v>59</v>
      </c>
      <c r="P650" t="str">
        <f t="shared" si="90"/>
        <v>Yes</v>
      </c>
      <c r="Q650">
        <f t="shared" si="91"/>
        <v>76.64</v>
      </c>
      <c r="R650">
        <f t="shared" si="92"/>
        <v>8.92</v>
      </c>
      <c r="S650">
        <f t="shared" si="93"/>
        <v>0.57999999999999996</v>
      </c>
      <c r="T650" t="str">
        <f t="shared" si="94"/>
        <v>Delayed</v>
      </c>
      <c r="U650" t="str">
        <f t="shared" si="95"/>
        <v>Low</v>
      </c>
      <c r="V650" t="str">
        <f t="shared" si="96"/>
        <v>Low Risk</v>
      </c>
      <c r="W650" t="str">
        <f t="shared" si="97"/>
        <v>Jul</v>
      </c>
      <c r="X650">
        <f t="shared" si="98"/>
        <v>2025</v>
      </c>
    </row>
    <row r="651" spans="1:24" x14ac:dyDescent="0.35">
      <c r="A651" s="3">
        <v>45803</v>
      </c>
      <c r="B651" t="s">
        <v>89</v>
      </c>
      <c r="C651" t="s">
        <v>52</v>
      </c>
      <c r="D651" t="s">
        <v>797</v>
      </c>
      <c r="E651" t="s">
        <v>54</v>
      </c>
      <c r="F651" t="s">
        <v>41</v>
      </c>
      <c r="G651" t="s">
        <v>35</v>
      </c>
      <c r="H651">
        <v>43.2</v>
      </c>
      <c r="I651">
        <v>1601</v>
      </c>
      <c r="J651">
        <v>75</v>
      </c>
      <c r="K651">
        <v>10.9</v>
      </c>
      <c r="L651" t="s">
        <v>43</v>
      </c>
      <c r="M651">
        <v>28524.05</v>
      </c>
      <c r="N651">
        <v>5220</v>
      </c>
      <c r="O651" t="s">
        <v>31</v>
      </c>
      <c r="P651" t="str">
        <f t="shared" si="90"/>
        <v>Yes</v>
      </c>
      <c r="Q651">
        <f t="shared" si="91"/>
        <v>37.06</v>
      </c>
      <c r="R651">
        <f t="shared" si="92"/>
        <v>17.82</v>
      </c>
      <c r="S651">
        <f t="shared" si="93"/>
        <v>5.46</v>
      </c>
      <c r="T651" t="str">
        <f t="shared" si="94"/>
        <v>Delayed</v>
      </c>
      <c r="U651" t="str">
        <f t="shared" si="95"/>
        <v>Medium</v>
      </c>
      <c r="V651" t="str">
        <f t="shared" si="96"/>
        <v>Low Risk</v>
      </c>
      <c r="W651" t="str">
        <f t="shared" si="97"/>
        <v>May</v>
      </c>
      <c r="X651">
        <f t="shared" si="98"/>
        <v>2025</v>
      </c>
    </row>
    <row r="652" spans="1:24" x14ac:dyDescent="0.35">
      <c r="A652" s="3">
        <v>45981</v>
      </c>
      <c r="B652" t="s">
        <v>73</v>
      </c>
      <c r="C652" t="s">
        <v>95</v>
      </c>
      <c r="D652" t="s">
        <v>798</v>
      </c>
      <c r="E652" t="s">
        <v>54</v>
      </c>
      <c r="F652" t="s">
        <v>48</v>
      </c>
      <c r="G652" t="s">
        <v>71</v>
      </c>
      <c r="H652">
        <v>42.1</v>
      </c>
      <c r="I652">
        <v>2532</v>
      </c>
      <c r="J652">
        <v>107</v>
      </c>
      <c r="K652">
        <v>13.2</v>
      </c>
      <c r="L652" t="s">
        <v>30</v>
      </c>
      <c r="M652">
        <v>24078.25</v>
      </c>
      <c r="N652">
        <v>24529</v>
      </c>
      <c r="O652" t="s">
        <v>67</v>
      </c>
      <c r="P652" t="str">
        <f t="shared" si="90"/>
        <v>Yes</v>
      </c>
      <c r="Q652">
        <f t="shared" si="91"/>
        <v>60.14</v>
      </c>
      <c r="R652">
        <f t="shared" si="92"/>
        <v>9.51</v>
      </c>
      <c r="S652">
        <f t="shared" si="93"/>
        <v>0.98</v>
      </c>
      <c r="T652" t="str">
        <f t="shared" si="94"/>
        <v>Delayed</v>
      </c>
      <c r="U652" t="str">
        <f t="shared" si="95"/>
        <v>Medium</v>
      </c>
      <c r="V652" t="str">
        <f t="shared" si="96"/>
        <v>Medium Risk</v>
      </c>
      <c r="W652" t="str">
        <f t="shared" si="97"/>
        <v>Nov</v>
      </c>
      <c r="X652">
        <f t="shared" si="98"/>
        <v>2025</v>
      </c>
    </row>
    <row r="653" spans="1:24" x14ac:dyDescent="0.35">
      <c r="A653" s="3">
        <v>45721</v>
      </c>
      <c r="B653" t="s">
        <v>98</v>
      </c>
      <c r="C653" t="s">
        <v>130</v>
      </c>
      <c r="D653" t="s">
        <v>799</v>
      </c>
      <c r="E653" t="s">
        <v>28</v>
      </c>
      <c r="F653" t="s">
        <v>54</v>
      </c>
      <c r="G653" t="s">
        <v>42</v>
      </c>
      <c r="H653">
        <v>57.7</v>
      </c>
      <c r="I653">
        <v>4786</v>
      </c>
      <c r="J653">
        <v>101</v>
      </c>
      <c r="K653">
        <v>21.6</v>
      </c>
      <c r="L653" t="s">
        <v>43</v>
      </c>
      <c r="M653">
        <v>30277.23</v>
      </c>
      <c r="N653">
        <v>8085</v>
      </c>
      <c r="O653" t="s">
        <v>44</v>
      </c>
      <c r="P653" t="str">
        <f t="shared" si="90"/>
        <v>Yes</v>
      </c>
      <c r="Q653">
        <f t="shared" si="91"/>
        <v>82.95</v>
      </c>
      <c r="R653">
        <f t="shared" si="92"/>
        <v>6.33</v>
      </c>
      <c r="S653">
        <f t="shared" si="93"/>
        <v>3.74</v>
      </c>
      <c r="T653" t="str">
        <f t="shared" si="94"/>
        <v>Delayed</v>
      </c>
      <c r="U653" t="str">
        <f t="shared" si="95"/>
        <v>Medium</v>
      </c>
      <c r="V653" t="str">
        <f t="shared" si="96"/>
        <v>Low Risk</v>
      </c>
      <c r="W653" t="str">
        <f t="shared" si="97"/>
        <v>Mar</v>
      </c>
      <c r="X653">
        <f t="shared" si="98"/>
        <v>2025</v>
      </c>
    </row>
    <row r="654" spans="1:24" x14ac:dyDescent="0.35">
      <c r="A654" s="3">
        <v>45921</v>
      </c>
      <c r="B654" t="s">
        <v>76</v>
      </c>
      <c r="C654" t="s">
        <v>109</v>
      </c>
      <c r="D654" t="s">
        <v>800</v>
      </c>
      <c r="E654" t="s">
        <v>27</v>
      </c>
      <c r="F654" t="s">
        <v>28</v>
      </c>
      <c r="G654" t="s">
        <v>71</v>
      </c>
      <c r="H654">
        <v>76.099999999999994</v>
      </c>
      <c r="I654">
        <v>2859</v>
      </c>
      <c r="J654">
        <v>55</v>
      </c>
      <c r="K654">
        <v>16.5</v>
      </c>
      <c r="L654" t="s">
        <v>30</v>
      </c>
      <c r="M654">
        <v>40370.39</v>
      </c>
      <c r="N654">
        <v>22544</v>
      </c>
      <c r="O654" t="s">
        <v>50</v>
      </c>
      <c r="P654" t="str">
        <f t="shared" si="90"/>
        <v>Yes</v>
      </c>
      <c r="Q654">
        <f t="shared" si="91"/>
        <v>37.57</v>
      </c>
      <c r="R654">
        <f t="shared" si="92"/>
        <v>14.12</v>
      </c>
      <c r="S654">
        <f t="shared" si="93"/>
        <v>1.79</v>
      </c>
      <c r="T654" t="str">
        <f t="shared" si="94"/>
        <v>Delayed</v>
      </c>
      <c r="U654" t="str">
        <f t="shared" si="95"/>
        <v>High</v>
      </c>
      <c r="V654" t="str">
        <f t="shared" si="96"/>
        <v>Medium Risk</v>
      </c>
      <c r="W654" t="str">
        <f t="shared" si="97"/>
        <v>Sep</v>
      </c>
      <c r="X654">
        <f t="shared" si="98"/>
        <v>2025</v>
      </c>
    </row>
    <row r="655" spans="1:24" x14ac:dyDescent="0.35">
      <c r="A655" s="3">
        <v>46004</v>
      </c>
      <c r="B655" t="s">
        <v>127</v>
      </c>
      <c r="C655" t="s">
        <v>69</v>
      </c>
      <c r="D655" t="s">
        <v>801</v>
      </c>
      <c r="E655" t="s">
        <v>27</v>
      </c>
      <c r="F655" t="s">
        <v>28</v>
      </c>
      <c r="G655" t="s">
        <v>42</v>
      </c>
      <c r="H655">
        <v>58.3</v>
      </c>
      <c r="I655">
        <v>3719</v>
      </c>
      <c r="J655">
        <v>44</v>
      </c>
      <c r="K655">
        <v>13.8</v>
      </c>
      <c r="L655" t="s">
        <v>30</v>
      </c>
      <c r="M655">
        <v>29835.48</v>
      </c>
      <c r="N655">
        <v>6387</v>
      </c>
      <c r="O655" t="s">
        <v>36</v>
      </c>
      <c r="P655" t="str">
        <f t="shared" si="90"/>
        <v>Yes</v>
      </c>
      <c r="Q655">
        <f t="shared" si="91"/>
        <v>63.79</v>
      </c>
      <c r="R655">
        <f t="shared" si="92"/>
        <v>8.02</v>
      </c>
      <c r="S655">
        <f t="shared" si="93"/>
        <v>4.67</v>
      </c>
      <c r="T655" t="str">
        <f t="shared" si="94"/>
        <v>Delayed</v>
      </c>
      <c r="U655" t="str">
        <f t="shared" si="95"/>
        <v>Medium</v>
      </c>
      <c r="V655" t="str">
        <f t="shared" si="96"/>
        <v>Medium Risk</v>
      </c>
      <c r="W655" t="str">
        <f t="shared" si="97"/>
        <v>Dec</v>
      </c>
      <c r="X655">
        <f t="shared" si="98"/>
        <v>2025</v>
      </c>
    </row>
    <row r="656" spans="1:24" x14ac:dyDescent="0.35">
      <c r="A656" s="3">
        <v>45942</v>
      </c>
      <c r="B656" t="s">
        <v>133</v>
      </c>
      <c r="C656" t="s">
        <v>69</v>
      </c>
      <c r="D656" t="s">
        <v>802</v>
      </c>
      <c r="E656" t="s">
        <v>41</v>
      </c>
      <c r="F656" t="s">
        <v>27</v>
      </c>
      <c r="G656" t="s">
        <v>29</v>
      </c>
      <c r="H656">
        <v>52.6</v>
      </c>
      <c r="I656">
        <v>1330</v>
      </c>
      <c r="J656">
        <v>65</v>
      </c>
      <c r="K656">
        <v>13.5</v>
      </c>
      <c r="L656" t="s">
        <v>78</v>
      </c>
      <c r="M656">
        <v>33730.089999999997</v>
      </c>
      <c r="N656">
        <v>17241</v>
      </c>
      <c r="O656" t="s">
        <v>91</v>
      </c>
      <c r="P656" t="str">
        <f t="shared" si="90"/>
        <v>No</v>
      </c>
      <c r="Q656">
        <f t="shared" si="91"/>
        <v>25.29</v>
      </c>
      <c r="R656">
        <f t="shared" si="92"/>
        <v>25.36</v>
      </c>
      <c r="S656">
        <f t="shared" si="93"/>
        <v>1.96</v>
      </c>
      <c r="T656" t="str">
        <f t="shared" si="94"/>
        <v>On Time</v>
      </c>
      <c r="U656" t="str">
        <f t="shared" si="95"/>
        <v>Medium</v>
      </c>
      <c r="V656" t="str">
        <f t="shared" si="96"/>
        <v>Low Risk</v>
      </c>
      <c r="W656" t="str">
        <f t="shared" si="97"/>
        <v>Oct</v>
      </c>
      <c r="X656">
        <f t="shared" si="98"/>
        <v>2025</v>
      </c>
    </row>
    <row r="657" spans="1:24" x14ac:dyDescent="0.35">
      <c r="A657" s="3">
        <v>45946</v>
      </c>
      <c r="B657" t="s">
        <v>108</v>
      </c>
      <c r="C657" t="s">
        <v>57</v>
      </c>
      <c r="D657" t="s">
        <v>803</v>
      </c>
      <c r="E657" t="s">
        <v>28</v>
      </c>
      <c r="F657" t="s">
        <v>48</v>
      </c>
      <c r="G657" t="s">
        <v>29</v>
      </c>
      <c r="H657">
        <v>40.1</v>
      </c>
      <c r="I657">
        <v>4628</v>
      </c>
      <c r="J657">
        <v>39</v>
      </c>
      <c r="K657">
        <v>21.9</v>
      </c>
      <c r="L657" t="s">
        <v>30</v>
      </c>
      <c r="M657">
        <v>27345.21</v>
      </c>
      <c r="N657">
        <v>22705</v>
      </c>
      <c r="O657" t="s">
        <v>67</v>
      </c>
      <c r="P657" t="str">
        <f t="shared" si="90"/>
        <v>Yes</v>
      </c>
      <c r="Q657">
        <f t="shared" si="91"/>
        <v>115.41</v>
      </c>
      <c r="R657">
        <f t="shared" si="92"/>
        <v>5.91</v>
      </c>
      <c r="S657">
        <f t="shared" si="93"/>
        <v>1.2</v>
      </c>
      <c r="T657" t="str">
        <f t="shared" si="94"/>
        <v>Delayed</v>
      </c>
      <c r="U657" t="str">
        <f t="shared" si="95"/>
        <v>Medium</v>
      </c>
      <c r="V657" t="str">
        <f t="shared" si="96"/>
        <v>Medium Risk</v>
      </c>
      <c r="W657" t="str">
        <f t="shared" si="97"/>
        <v>Oct</v>
      </c>
      <c r="X657">
        <f t="shared" si="98"/>
        <v>2025</v>
      </c>
    </row>
    <row r="658" spans="1:24" x14ac:dyDescent="0.35">
      <c r="A658" s="3">
        <v>45685</v>
      </c>
      <c r="B658" t="s">
        <v>120</v>
      </c>
      <c r="C658" t="s">
        <v>109</v>
      </c>
      <c r="D658" t="s">
        <v>804</v>
      </c>
      <c r="E658" t="s">
        <v>41</v>
      </c>
      <c r="F658" t="s">
        <v>54</v>
      </c>
      <c r="G658" t="s">
        <v>35</v>
      </c>
      <c r="H658">
        <v>37.5</v>
      </c>
      <c r="I658">
        <v>4964</v>
      </c>
      <c r="J658">
        <v>23</v>
      </c>
      <c r="K658">
        <v>15.2</v>
      </c>
      <c r="L658" t="s">
        <v>78</v>
      </c>
      <c r="M658">
        <v>25173.98</v>
      </c>
      <c r="N658">
        <v>7760</v>
      </c>
      <c r="O658" t="s">
        <v>36</v>
      </c>
      <c r="P658" t="str">
        <f t="shared" si="90"/>
        <v>No</v>
      </c>
      <c r="Q658">
        <f t="shared" si="91"/>
        <v>132.37</v>
      </c>
      <c r="R658">
        <f t="shared" si="92"/>
        <v>5.07</v>
      </c>
      <c r="S658">
        <f t="shared" si="93"/>
        <v>3.24</v>
      </c>
      <c r="T658" t="str">
        <f t="shared" si="94"/>
        <v>On Time</v>
      </c>
      <c r="U658" t="str">
        <f t="shared" si="95"/>
        <v>Low</v>
      </c>
      <c r="V658" t="str">
        <f t="shared" si="96"/>
        <v>Low Risk</v>
      </c>
      <c r="W658" t="str">
        <f t="shared" si="97"/>
        <v>Jan</v>
      </c>
      <c r="X658">
        <f t="shared" si="98"/>
        <v>2025</v>
      </c>
    </row>
    <row r="659" spans="1:24" x14ac:dyDescent="0.35">
      <c r="A659" s="3">
        <v>45944</v>
      </c>
      <c r="B659" t="s">
        <v>195</v>
      </c>
      <c r="C659" t="s">
        <v>69</v>
      </c>
      <c r="D659" t="s">
        <v>805</v>
      </c>
      <c r="E659" t="s">
        <v>54</v>
      </c>
      <c r="F659" t="s">
        <v>66</v>
      </c>
      <c r="G659" t="s">
        <v>35</v>
      </c>
      <c r="H659">
        <v>77.5</v>
      </c>
      <c r="I659">
        <v>3677</v>
      </c>
      <c r="J659">
        <v>101</v>
      </c>
      <c r="K659">
        <v>15</v>
      </c>
      <c r="L659" t="s">
        <v>49</v>
      </c>
      <c r="M659">
        <v>43064.3</v>
      </c>
      <c r="N659">
        <v>25126</v>
      </c>
      <c r="O659" t="s">
        <v>67</v>
      </c>
      <c r="P659" t="str">
        <f t="shared" si="90"/>
        <v>Yes</v>
      </c>
      <c r="Q659">
        <f t="shared" si="91"/>
        <v>47.45</v>
      </c>
      <c r="R659">
        <f t="shared" si="92"/>
        <v>11.71</v>
      </c>
      <c r="S659">
        <f t="shared" si="93"/>
        <v>1.71</v>
      </c>
      <c r="T659" t="str">
        <f t="shared" si="94"/>
        <v>Delayed</v>
      </c>
      <c r="U659" t="str">
        <f t="shared" si="95"/>
        <v>High</v>
      </c>
      <c r="V659" t="str">
        <f t="shared" si="96"/>
        <v>High Risk</v>
      </c>
      <c r="W659" t="str">
        <f t="shared" si="97"/>
        <v>Oct</v>
      </c>
      <c r="X659">
        <f t="shared" si="98"/>
        <v>2025</v>
      </c>
    </row>
    <row r="660" spans="1:24" x14ac:dyDescent="0.35">
      <c r="A660" s="3">
        <v>45764</v>
      </c>
      <c r="B660" t="s">
        <v>210</v>
      </c>
      <c r="C660" t="s">
        <v>69</v>
      </c>
      <c r="D660" t="s">
        <v>806</v>
      </c>
      <c r="E660" t="s">
        <v>27</v>
      </c>
      <c r="F660" t="s">
        <v>54</v>
      </c>
      <c r="G660" t="s">
        <v>42</v>
      </c>
      <c r="H660">
        <v>26.7</v>
      </c>
      <c r="I660">
        <v>2652</v>
      </c>
      <c r="J660">
        <v>44</v>
      </c>
      <c r="K660">
        <v>11.3</v>
      </c>
      <c r="L660" t="s">
        <v>49</v>
      </c>
      <c r="M660">
        <v>16829.09</v>
      </c>
      <c r="N660">
        <v>24672</v>
      </c>
      <c r="O660" t="s">
        <v>31</v>
      </c>
      <c r="P660" t="str">
        <f t="shared" si="90"/>
        <v>Yes</v>
      </c>
      <c r="Q660">
        <f t="shared" si="91"/>
        <v>99.33</v>
      </c>
      <c r="R660">
        <f t="shared" si="92"/>
        <v>6.35</v>
      </c>
      <c r="S660">
        <f t="shared" si="93"/>
        <v>0.68</v>
      </c>
      <c r="T660" t="str">
        <f t="shared" si="94"/>
        <v>Delayed</v>
      </c>
      <c r="U660" t="str">
        <f t="shared" si="95"/>
        <v>Low</v>
      </c>
      <c r="V660" t="str">
        <f t="shared" si="96"/>
        <v>High Risk</v>
      </c>
      <c r="W660" t="str">
        <f t="shared" si="97"/>
        <v>Apr</v>
      </c>
      <c r="X660">
        <f t="shared" si="98"/>
        <v>2025</v>
      </c>
    </row>
    <row r="661" spans="1:24" x14ac:dyDescent="0.35">
      <c r="A661" s="3">
        <v>45814</v>
      </c>
      <c r="B661" t="s">
        <v>246</v>
      </c>
      <c r="C661" t="s">
        <v>95</v>
      </c>
      <c r="D661" t="s">
        <v>807</v>
      </c>
      <c r="E661" t="s">
        <v>63</v>
      </c>
      <c r="F661" t="s">
        <v>28</v>
      </c>
      <c r="G661" t="s">
        <v>35</v>
      </c>
      <c r="H661">
        <v>39.5</v>
      </c>
      <c r="I661">
        <v>4940</v>
      </c>
      <c r="J661">
        <v>42</v>
      </c>
      <c r="K661">
        <v>18.2</v>
      </c>
      <c r="L661" t="s">
        <v>30</v>
      </c>
      <c r="M661">
        <v>20682.89</v>
      </c>
      <c r="N661">
        <v>6422</v>
      </c>
      <c r="O661" t="s">
        <v>31</v>
      </c>
      <c r="P661" t="str">
        <f t="shared" si="90"/>
        <v>Yes</v>
      </c>
      <c r="Q661">
        <f t="shared" si="91"/>
        <v>125.06</v>
      </c>
      <c r="R661">
        <f t="shared" si="92"/>
        <v>4.1900000000000004</v>
      </c>
      <c r="S661">
        <f t="shared" si="93"/>
        <v>3.22</v>
      </c>
      <c r="T661" t="str">
        <f t="shared" si="94"/>
        <v>Delayed</v>
      </c>
      <c r="U661" t="str">
        <f t="shared" si="95"/>
        <v>Low</v>
      </c>
      <c r="V661" t="str">
        <f t="shared" si="96"/>
        <v>Medium Risk</v>
      </c>
      <c r="W661" t="str">
        <f t="shared" si="97"/>
        <v>Jun</v>
      </c>
      <c r="X661">
        <f t="shared" si="98"/>
        <v>2025</v>
      </c>
    </row>
    <row r="662" spans="1:24" x14ac:dyDescent="0.35">
      <c r="A662" s="3">
        <v>45894</v>
      </c>
      <c r="B662" t="s">
        <v>275</v>
      </c>
      <c r="C662" t="s">
        <v>39</v>
      </c>
      <c r="D662" t="s">
        <v>808</v>
      </c>
      <c r="E662" t="s">
        <v>66</v>
      </c>
      <c r="F662" t="s">
        <v>63</v>
      </c>
      <c r="G662" t="s">
        <v>71</v>
      </c>
      <c r="H662">
        <v>53</v>
      </c>
      <c r="I662">
        <v>4918</v>
      </c>
      <c r="J662">
        <v>77</v>
      </c>
      <c r="K662">
        <v>15.4</v>
      </c>
      <c r="L662" t="s">
        <v>78</v>
      </c>
      <c r="M662">
        <v>30068.91</v>
      </c>
      <c r="N662">
        <v>18866</v>
      </c>
      <c r="O662" t="s">
        <v>50</v>
      </c>
      <c r="P662" t="str">
        <f t="shared" si="90"/>
        <v>No</v>
      </c>
      <c r="Q662">
        <f t="shared" si="91"/>
        <v>92.79</v>
      </c>
      <c r="R662">
        <f t="shared" si="92"/>
        <v>6.11</v>
      </c>
      <c r="S662">
        <f t="shared" si="93"/>
        <v>1.59</v>
      </c>
      <c r="T662" t="str">
        <f t="shared" si="94"/>
        <v>On Time</v>
      </c>
      <c r="U662" t="str">
        <f t="shared" si="95"/>
        <v>Medium</v>
      </c>
      <c r="V662" t="str">
        <f t="shared" si="96"/>
        <v>Low Risk</v>
      </c>
      <c r="W662" t="str">
        <f t="shared" si="97"/>
        <v>Aug</v>
      </c>
      <c r="X662">
        <f t="shared" si="98"/>
        <v>2025</v>
      </c>
    </row>
    <row r="663" spans="1:24" x14ac:dyDescent="0.35">
      <c r="A663" s="3">
        <v>45988</v>
      </c>
      <c r="B663" t="s">
        <v>236</v>
      </c>
      <c r="C663" t="s">
        <v>39</v>
      </c>
      <c r="D663" t="s">
        <v>809</v>
      </c>
      <c r="E663" t="s">
        <v>41</v>
      </c>
      <c r="F663" t="s">
        <v>55</v>
      </c>
      <c r="G663" t="s">
        <v>35</v>
      </c>
      <c r="H663">
        <v>52.8</v>
      </c>
      <c r="I663">
        <v>4080</v>
      </c>
      <c r="J663">
        <v>39</v>
      </c>
      <c r="K663">
        <v>11.5</v>
      </c>
      <c r="L663" t="s">
        <v>49</v>
      </c>
      <c r="M663">
        <v>33832.620000000003</v>
      </c>
      <c r="N663">
        <v>10851</v>
      </c>
      <c r="O663" t="s">
        <v>50</v>
      </c>
      <c r="P663" t="str">
        <f t="shared" si="90"/>
        <v>Yes</v>
      </c>
      <c r="Q663">
        <f t="shared" si="91"/>
        <v>77.27</v>
      </c>
      <c r="R663">
        <f t="shared" si="92"/>
        <v>8.2899999999999991</v>
      </c>
      <c r="S663">
        <f t="shared" si="93"/>
        <v>3.12</v>
      </c>
      <c r="T663" t="str">
        <f t="shared" si="94"/>
        <v>Delayed</v>
      </c>
      <c r="U663" t="str">
        <f t="shared" si="95"/>
        <v>Medium</v>
      </c>
      <c r="V663" t="str">
        <f t="shared" si="96"/>
        <v>High Risk</v>
      </c>
      <c r="W663" t="str">
        <f t="shared" si="97"/>
        <v>Nov</v>
      </c>
      <c r="X663">
        <f t="shared" si="98"/>
        <v>2025</v>
      </c>
    </row>
    <row r="664" spans="1:24" x14ac:dyDescent="0.35">
      <c r="A664" s="3">
        <v>45888</v>
      </c>
      <c r="B664" t="s">
        <v>89</v>
      </c>
      <c r="C664" t="s">
        <v>39</v>
      </c>
      <c r="D664" t="s">
        <v>810</v>
      </c>
      <c r="E664" t="s">
        <v>41</v>
      </c>
      <c r="F664" t="s">
        <v>48</v>
      </c>
      <c r="G664" t="s">
        <v>42</v>
      </c>
      <c r="H664">
        <v>25.1</v>
      </c>
      <c r="I664">
        <v>4889</v>
      </c>
      <c r="J664">
        <v>59</v>
      </c>
      <c r="K664">
        <v>17.5</v>
      </c>
      <c r="L664" t="s">
        <v>43</v>
      </c>
      <c r="M664">
        <v>16506.150000000001</v>
      </c>
      <c r="N664">
        <v>10338</v>
      </c>
      <c r="O664" t="s">
        <v>59</v>
      </c>
      <c r="P664" t="str">
        <f t="shared" si="90"/>
        <v>Yes</v>
      </c>
      <c r="Q664">
        <f t="shared" si="91"/>
        <v>194.78</v>
      </c>
      <c r="R664">
        <f t="shared" si="92"/>
        <v>3.38</v>
      </c>
      <c r="S664">
        <f t="shared" si="93"/>
        <v>1.6</v>
      </c>
      <c r="T664" t="str">
        <f t="shared" si="94"/>
        <v>Delayed</v>
      </c>
      <c r="U664" t="str">
        <f t="shared" si="95"/>
        <v>Low</v>
      </c>
      <c r="V664" t="str">
        <f t="shared" si="96"/>
        <v>Low Risk</v>
      </c>
      <c r="W664" t="str">
        <f t="shared" si="97"/>
        <v>Aug</v>
      </c>
      <c r="X664">
        <f t="shared" si="98"/>
        <v>2025</v>
      </c>
    </row>
    <row r="665" spans="1:24" x14ac:dyDescent="0.35">
      <c r="A665" s="3">
        <v>45781</v>
      </c>
      <c r="B665" t="s">
        <v>108</v>
      </c>
      <c r="C665" t="s">
        <v>109</v>
      </c>
      <c r="D665" t="s">
        <v>811</v>
      </c>
      <c r="E665" t="s">
        <v>27</v>
      </c>
      <c r="F665" t="s">
        <v>55</v>
      </c>
      <c r="G665" t="s">
        <v>42</v>
      </c>
      <c r="H665">
        <v>58.7</v>
      </c>
      <c r="I665">
        <v>1974</v>
      </c>
      <c r="J665">
        <v>43</v>
      </c>
      <c r="K665">
        <v>20</v>
      </c>
      <c r="L665" t="s">
        <v>78</v>
      </c>
      <c r="M665">
        <v>37986.49</v>
      </c>
      <c r="N665">
        <v>29126</v>
      </c>
      <c r="O665" t="s">
        <v>50</v>
      </c>
      <c r="P665" t="str">
        <f t="shared" si="90"/>
        <v>No</v>
      </c>
      <c r="Q665">
        <f t="shared" si="91"/>
        <v>33.630000000000003</v>
      </c>
      <c r="R665">
        <f t="shared" si="92"/>
        <v>19.239999999999998</v>
      </c>
      <c r="S665">
        <f t="shared" si="93"/>
        <v>1.3</v>
      </c>
      <c r="T665" t="str">
        <f t="shared" si="94"/>
        <v>On Time</v>
      </c>
      <c r="U665" t="str">
        <f t="shared" si="95"/>
        <v>Medium</v>
      </c>
      <c r="V665" t="str">
        <f t="shared" si="96"/>
        <v>Low Risk</v>
      </c>
      <c r="W665" t="str">
        <f t="shared" si="97"/>
        <v>May</v>
      </c>
      <c r="X665">
        <f t="shared" si="98"/>
        <v>2025</v>
      </c>
    </row>
    <row r="666" spans="1:24" x14ac:dyDescent="0.35">
      <c r="A666" s="3">
        <v>45788</v>
      </c>
      <c r="B666" t="s">
        <v>157</v>
      </c>
      <c r="C666" t="s">
        <v>109</v>
      </c>
      <c r="D666" t="s">
        <v>812</v>
      </c>
      <c r="E666" t="s">
        <v>54</v>
      </c>
      <c r="F666" t="s">
        <v>41</v>
      </c>
      <c r="G666" t="s">
        <v>35</v>
      </c>
      <c r="H666">
        <v>20</v>
      </c>
      <c r="I666">
        <v>4452</v>
      </c>
      <c r="J666">
        <v>103</v>
      </c>
      <c r="K666">
        <v>15.3</v>
      </c>
      <c r="L666" t="s">
        <v>30</v>
      </c>
      <c r="M666">
        <v>12579.92</v>
      </c>
      <c r="N666">
        <v>6456</v>
      </c>
      <c r="O666" t="s">
        <v>36</v>
      </c>
      <c r="P666" t="str">
        <f t="shared" si="90"/>
        <v>Yes</v>
      </c>
      <c r="Q666">
        <f t="shared" si="91"/>
        <v>222.6</v>
      </c>
      <c r="R666">
        <f t="shared" si="92"/>
        <v>2.83</v>
      </c>
      <c r="S666">
        <f t="shared" si="93"/>
        <v>1.95</v>
      </c>
      <c r="T666" t="str">
        <f t="shared" si="94"/>
        <v>Delayed</v>
      </c>
      <c r="U666" t="str">
        <f t="shared" si="95"/>
        <v>Low</v>
      </c>
      <c r="V666" t="str">
        <f t="shared" si="96"/>
        <v>Medium Risk</v>
      </c>
      <c r="W666" t="str">
        <f t="shared" si="97"/>
        <v>May</v>
      </c>
      <c r="X666">
        <f t="shared" si="98"/>
        <v>2025</v>
      </c>
    </row>
    <row r="667" spans="1:24" x14ac:dyDescent="0.35">
      <c r="A667" s="3">
        <v>45886</v>
      </c>
      <c r="B667" t="s">
        <v>120</v>
      </c>
      <c r="C667" t="s">
        <v>95</v>
      </c>
      <c r="D667" t="s">
        <v>813</v>
      </c>
      <c r="E667" t="s">
        <v>28</v>
      </c>
      <c r="F667" t="s">
        <v>41</v>
      </c>
      <c r="G667" t="s">
        <v>35</v>
      </c>
      <c r="H667">
        <v>60</v>
      </c>
      <c r="I667">
        <v>4801</v>
      </c>
      <c r="J667">
        <v>61</v>
      </c>
      <c r="K667">
        <v>12</v>
      </c>
      <c r="L667" t="s">
        <v>43</v>
      </c>
      <c r="M667">
        <v>37726.01</v>
      </c>
      <c r="N667">
        <v>22752</v>
      </c>
      <c r="O667" t="s">
        <v>59</v>
      </c>
      <c r="P667" t="str">
        <f t="shared" si="90"/>
        <v>Yes</v>
      </c>
      <c r="Q667">
        <f t="shared" si="91"/>
        <v>80.02</v>
      </c>
      <c r="R667">
        <f t="shared" si="92"/>
        <v>7.86</v>
      </c>
      <c r="S667">
        <f t="shared" si="93"/>
        <v>1.66</v>
      </c>
      <c r="T667" t="str">
        <f t="shared" si="94"/>
        <v>Delayed</v>
      </c>
      <c r="U667" t="str">
        <f t="shared" si="95"/>
        <v>High</v>
      </c>
      <c r="V667" t="str">
        <f t="shared" si="96"/>
        <v>Low Risk</v>
      </c>
      <c r="W667" t="str">
        <f t="shared" si="97"/>
        <v>Aug</v>
      </c>
      <c r="X667">
        <f t="shared" si="98"/>
        <v>2025</v>
      </c>
    </row>
    <row r="668" spans="1:24" x14ac:dyDescent="0.35">
      <c r="A668" s="3">
        <v>46009</v>
      </c>
      <c r="B668" t="s">
        <v>68</v>
      </c>
      <c r="C668" t="s">
        <v>95</v>
      </c>
      <c r="D668" t="s">
        <v>814</v>
      </c>
      <c r="E668" t="s">
        <v>27</v>
      </c>
      <c r="F668" t="s">
        <v>54</v>
      </c>
      <c r="G668" t="s">
        <v>42</v>
      </c>
      <c r="H668">
        <v>54.6</v>
      </c>
      <c r="I668">
        <v>1404</v>
      </c>
      <c r="J668">
        <v>27</v>
      </c>
      <c r="K668">
        <v>10.8</v>
      </c>
      <c r="L668" t="s">
        <v>43</v>
      </c>
      <c r="M668">
        <v>27789.05</v>
      </c>
      <c r="N668">
        <v>21788</v>
      </c>
      <c r="O668" t="s">
        <v>50</v>
      </c>
      <c r="P668" t="str">
        <f t="shared" si="90"/>
        <v>Yes</v>
      </c>
      <c r="Q668">
        <f t="shared" si="91"/>
        <v>25.71</v>
      </c>
      <c r="R668">
        <f t="shared" si="92"/>
        <v>19.79</v>
      </c>
      <c r="S668">
        <f t="shared" si="93"/>
        <v>1.28</v>
      </c>
      <c r="T668" t="str">
        <f t="shared" si="94"/>
        <v>Delayed</v>
      </c>
      <c r="U668" t="str">
        <f t="shared" si="95"/>
        <v>Medium</v>
      </c>
      <c r="V668" t="str">
        <f t="shared" si="96"/>
        <v>Low Risk</v>
      </c>
      <c r="W668" t="str">
        <f t="shared" si="97"/>
        <v>Dec</v>
      </c>
      <c r="X668">
        <f t="shared" si="98"/>
        <v>2025</v>
      </c>
    </row>
    <row r="669" spans="1:24" x14ac:dyDescent="0.35">
      <c r="A669" s="3">
        <v>45660</v>
      </c>
      <c r="B669" t="s">
        <v>64</v>
      </c>
      <c r="C669" t="s">
        <v>57</v>
      </c>
      <c r="D669" t="s">
        <v>815</v>
      </c>
      <c r="E669" t="s">
        <v>54</v>
      </c>
      <c r="F669" t="s">
        <v>28</v>
      </c>
      <c r="G669" t="s">
        <v>71</v>
      </c>
      <c r="H669">
        <v>21.8</v>
      </c>
      <c r="I669">
        <v>4752</v>
      </c>
      <c r="J669">
        <v>112</v>
      </c>
      <c r="K669">
        <v>21.6</v>
      </c>
      <c r="L669" t="s">
        <v>30</v>
      </c>
      <c r="M669">
        <v>14624.39</v>
      </c>
      <c r="N669">
        <v>21975</v>
      </c>
      <c r="O669" t="s">
        <v>50</v>
      </c>
      <c r="P669" t="str">
        <f t="shared" si="90"/>
        <v>Yes</v>
      </c>
      <c r="Q669">
        <f t="shared" si="91"/>
        <v>217.98</v>
      </c>
      <c r="R669">
        <f t="shared" si="92"/>
        <v>3.08</v>
      </c>
      <c r="S669">
        <f t="shared" si="93"/>
        <v>0.67</v>
      </c>
      <c r="T669" t="str">
        <f t="shared" si="94"/>
        <v>Delayed</v>
      </c>
      <c r="U669" t="str">
        <f t="shared" si="95"/>
        <v>Low</v>
      </c>
      <c r="V669" t="str">
        <f t="shared" si="96"/>
        <v>Medium Risk</v>
      </c>
      <c r="W669" t="str">
        <f t="shared" si="97"/>
        <v>Jan</v>
      </c>
      <c r="X669">
        <f t="shared" si="98"/>
        <v>2025</v>
      </c>
    </row>
    <row r="670" spans="1:24" x14ac:dyDescent="0.35">
      <c r="A670" s="3">
        <v>45891</v>
      </c>
      <c r="B670" t="s">
        <v>94</v>
      </c>
      <c r="C670" t="s">
        <v>57</v>
      </c>
      <c r="D670" t="s">
        <v>816</v>
      </c>
      <c r="E670" t="s">
        <v>54</v>
      </c>
      <c r="F670" t="s">
        <v>63</v>
      </c>
      <c r="G670" t="s">
        <v>71</v>
      </c>
      <c r="H670">
        <v>30.4</v>
      </c>
      <c r="I670">
        <v>1451</v>
      </c>
      <c r="J670">
        <v>24</v>
      </c>
      <c r="K670">
        <v>15.5</v>
      </c>
      <c r="L670" t="s">
        <v>30</v>
      </c>
      <c r="M670">
        <v>20649.240000000002</v>
      </c>
      <c r="N670">
        <v>13084</v>
      </c>
      <c r="O670" t="s">
        <v>50</v>
      </c>
      <c r="P670" t="str">
        <f t="shared" si="90"/>
        <v>Yes</v>
      </c>
      <c r="Q670">
        <f t="shared" si="91"/>
        <v>47.73</v>
      </c>
      <c r="R670">
        <f t="shared" si="92"/>
        <v>14.23</v>
      </c>
      <c r="S670">
        <f t="shared" si="93"/>
        <v>1.58</v>
      </c>
      <c r="T670" t="str">
        <f t="shared" si="94"/>
        <v>Delayed</v>
      </c>
      <c r="U670" t="str">
        <f t="shared" si="95"/>
        <v>Low</v>
      </c>
      <c r="V670" t="str">
        <f t="shared" si="96"/>
        <v>Medium Risk</v>
      </c>
      <c r="W670" t="str">
        <f t="shared" si="97"/>
        <v>Aug</v>
      </c>
      <c r="X670">
        <f t="shared" si="98"/>
        <v>2025</v>
      </c>
    </row>
    <row r="671" spans="1:24" x14ac:dyDescent="0.35">
      <c r="A671" s="3">
        <v>45995</v>
      </c>
      <c r="B671" t="s">
        <v>92</v>
      </c>
      <c r="C671" t="s">
        <v>130</v>
      </c>
      <c r="D671" t="s">
        <v>817</v>
      </c>
      <c r="E671" t="s">
        <v>54</v>
      </c>
      <c r="F671" t="s">
        <v>41</v>
      </c>
      <c r="G671" t="s">
        <v>29</v>
      </c>
      <c r="H671">
        <v>44.6</v>
      </c>
      <c r="I671">
        <v>4142</v>
      </c>
      <c r="J671">
        <v>89</v>
      </c>
      <c r="K671">
        <v>16</v>
      </c>
      <c r="L671" t="s">
        <v>49</v>
      </c>
      <c r="M671">
        <v>31053.16</v>
      </c>
      <c r="N671">
        <v>13152</v>
      </c>
      <c r="O671" t="s">
        <v>59</v>
      </c>
      <c r="P671" t="str">
        <f t="shared" si="90"/>
        <v>Yes</v>
      </c>
      <c r="Q671">
        <f t="shared" si="91"/>
        <v>92.87</v>
      </c>
      <c r="R671">
        <f t="shared" si="92"/>
        <v>7.5</v>
      </c>
      <c r="S671">
        <f t="shared" si="93"/>
        <v>2.36</v>
      </c>
      <c r="T671" t="str">
        <f t="shared" si="94"/>
        <v>Delayed</v>
      </c>
      <c r="U671" t="str">
        <f t="shared" si="95"/>
        <v>Medium</v>
      </c>
      <c r="V671" t="str">
        <f t="shared" si="96"/>
        <v>High Risk</v>
      </c>
      <c r="W671" t="str">
        <f t="shared" si="97"/>
        <v>Dec</v>
      </c>
      <c r="X671">
        <f t="shared" si="98"/>
        <v>2025</v>
      </c>
    </row>
    <row r="672" spans="1:24" x14ac:dyDescent="0.35">
      <c r="A672" s="3">
        <v>45894</v>
      </c>
      <c r="B672" t="s">
        <v>154</v>
      </c>
      <c r="C672" t="s">
        <v>25</v>
      </c>
      <c r="D672" t="s">
        <v>818</v>
      </c>
      <c r="E672" t="s">
        <v>48</v>
      </c>
      <c r="F672" t="s">
        <v>27</v>
      </c>
      <c r="G672" t="s">
        <v>29</v>
      </c>
      <c r="H672">
        <v>25.7</v>
      </c>
      <c r="I672">
        <v>4554</v>
      </c>
      <c r="J672">
        <v>114</v>
      </c>
      <c r="K672">
        <v>16.600000000000001</v>
      </c>
      <c r="L672" t="s">
        <v>49</v>
      </c>
      <c r="M672">
        <v>17740.669999999998</v>
      </c>
      <c r="N672">
        <v>5896</v>
      </c>
      <c r="O672" t="s">
        <v>31</v>
      </c>
      <c r="P672" t="str">
        <f t="shared" si="90"/>
        <v>Yes</v>
      </c>
      <c r="Q672">
        <f t="shared" si="91"/>
        <v>177.2</v>
      </c>
      <c r="R672">
        <f t="shared" si="92"/>
        <v>3.9</v>
      </c>
      <c r="S672">
        <f t="shared" si="93"/>
        <v>3.01</v>
      </c>
      <c r="T672" t="str">
        <f t="shared" si="94"/>
        <v>Delayed</v>
      </c>
      <c r="U672" t="str">
        <f t="shared" si="95"/>
        <v>Low</v>
      </c>
      <c r="V672" t="str">
        <f t="shared" si="96"/>
        <v>High Risk</v>
      </c>
      <c r="W672" t="str">
        <f t="shared" si="97"/>
        <v>Aug</v>
      </c>
      <c r="X672">
        <f t="shared" si="98"/>
        <v>2025</v>
      </c>
    </row>
    <row r="673" spans="1:24" x14ac:dyDescent="0.35">
      <c r="A673" s="3">
        <v>45841</v>
      </c>
      <c r="B673" t="s">
        <v>142</v>
      </c>
      <c r="C673" t="s">
        <v>39</v>
      </c>
      <c r="D673" t="s">
        <v>819</v>
      </c>
      <c r="E673" t="s">
        <v>63</v>
      </c>
      <c r="F673" t="s">
        <v>54</v>
      </c>
      <c r="G673" t="s">
        <v>29</v>
      </c>
      <c r="H673">
        <v>20.399999999999999</v>
      </c>
      <c r="I673">
        <v>3970</v>
      </c>
      <c r="J673">
        <v>100</v>
      </c>
      <c r="K673">
        <v>20</v>
      </c>
      <c r="L673" t="s">
        <v>78</v>
      </c>
      <c r="M673">
        <v>9199.49</v>
      </c>
      <c r="N673">
        <v>12579</v>
      </c>
      <c r="O673" t="s">
        <v>44</v>
      </c>
      <c r="P673" t="str">
        <f t="shared" si="90"/>
        <v>No</v>
      </c>
      <c r="Q673">
        <f t="shared" si="91"/>
        <v>194.61</v>
      </c>
      <c r="R673">
        <f t="shared" si="92"/>
        <v>2.3199999999999998</v>
      </c>
      <c r="S673">
        <f t="shared" si="93"/>
        <v>0.73</v>
      </c>
      <c r="T673" t="str">
        <f t="shared" si="94"/>
        <v>On Time</v>
      </c>
      <c r="U673" t="str">
        <f t="shared" si="95"/>
        <v>Low</v>
      </c>
      <c r="V673" t="str">
        <f t="shared" si="96"/>
        <v>Low Risk</v>
      </c>
      <c r="W673" t="str">
        <f t="shared" si="97"/>
        <v>Jul</v>
      </c>
      <c r="X673">
        <f t="shared" si="98"/>
        <v>2025</v>
      </c>
    </row>
    <row r="674" spans="1:24" x14ac:dyDescent="0.35">
      <c r="A674" s="3">
        <v>45785</v>
      </c>
      <c r="B674" t="s">
        <v>311</v>
      </c>
      <c r="C674" t="s">
        <v>109</v>
      </c>
      <c r="D674" t="s">
        <v>820</v>
      </c>
      <c r="E674" t="s">
        <v>41</v>
      </c>
      <c r="F674" t="s">
        <v>48</v>
      </c>
      <c r="G674" t="s">
        <v>71</v>
      </c>
      <c r="H674">
        <v>39</v>
      </c>
      <c r="I674">
        <v>2826</v>
      </c>
      <c r="J674">
        <v>65</v>
      </c>
      <c r="K674">
        <v>10.199999999999999</v>
      </c>
      <c r="L674" t="s">
        <v>43</v>
      </c>
      <c r="M674">
        <v>25419.63</v>
      </c>
      <c r="N674">
        <v>10738</v>
      </c>
      <c r="O674" t="s">
        <v>31</v>
      </c>
      <c r="P674" t="str">
        <f t="shared" si="90"/>
        <v>Yes</v>
      </c>
      <c r="Q674">
        <f t="shared" si="91"/>
        <v>72.459999999999994</v>
      </c>
      <c r="R674">
        <f t="shared" si="92"/>
        <v>8.99</v>
      </c>
      <c r="S674">
        <f t="shared" si="93"/>
        <v>2.37</v>
      </c>
      <c r="T674" t="str">
        <f t="shared" si="94"/>
        <v>Delayed</v>
      </c>
      <c r="U674" t="str">
        <f t="shared" si="95"/>
        <v>Low</v>
      </c>
      <c r="V674" t="str">
        <f t="shared" si="96"/>
        <v>Low Risk</v>
      </c>
      <c r="W674" t="str">
        <f t="shared" si="97"/>
        <v>May</v>
      </c>
      <c r="X674">
        <f t="shared" si="98"/>
        <v>2025</v>
      </c>
    </row>
    <row r="675" spans="1:24" x14ac:dyDescent="0.35">
      <c r="A675" s="3">
        <v>45691</v>
      </c>
      <c r="B675" t="s">
        <v>167</v>
      </c>
      <c r="C675" t="s">
        <v>57</v>
      </c>
      <c r="D675" t="s">
        <v>821</v>
      </c>
      <c r="E675" t="s">
        <v>28</v>
      </c>
      <c r="F675" t="s">
        <v>41</v>
      </c>
      <c r="G675" t="s">
        <v>42</v>
      </c>
      <c r="H675">
        <v>40</v>
      </c>
      <c r="I675">
        <v>4501</v>
      </c>
      <c r="J675">
        <v>97</v>
      </c>
      <c r="K675">
        <v>17.7</v>
      </c>
      <c r="L675" t="s">
        <v>30</v>
      </c>
      <c r="M675">
        <v>24839.41</v>
      </c>
      <c r="N675">
        <v>7365</v>
      </c>
      <c r="O675" t="s">
        <v>67</v>
      </c>
      <c r="P675" t="str">
        <f t="shared" si="90"/>
        <v>Yes</v>
      </c>
      <c r="Q675">
        <f t="shared" si="91"/>
        <v>112.53</v>
      </c>
      <c r="R675">
        <f t="shared" si="92"/>
        <v>5.52</v>
      </c>
      <c r="S675">
        <f t="shared" si="93"/>
        <v>3.37</v>
      </c>
      <c r="T675" t="str">
        <f t="shared" si="94"/>
        <v>Delayed</v>
      </c>
      <c r="U675" t="str">
        <f t="shared" si="95"/>
        <v>Medium</v>
      </c>
      <c r="V675" t="str">
        <f t="shared" si="96"/>
        <v>Medium Risk</v>
      </c>
      <c r="W675" t="str">
        <f t="shared" si="97"/>
        <v>Feb</v>
      </c>
      <c r="X675">
        <f t="shared" si="98"/>
        <v>2025</v>
      </c>
    </row>
    <row r="676" spans="1:24" x14ac:dyDescent="0.35">
      <c r="A676" s="3">
        <v>45677</v>
      </c>
      <c r="B676" t="s">
        <v>157</v>
      </c>
      <c r="C676" t="s">
        <v>130</v>
      </c>
      <c r="D676" t="s">
        <v>822</v>
      </c>
      <c r="E676" t="s">
        <v>54</v>
      </c>
      <c r="F676" t="s">
        <v>28</v>
      </c>
      <c r="G676" t="s">
        <v>35</v>
      </c>
      <c r="H676">
        <v>66.8</v>
      </c>
      <c r="I676">
        <v>3100</v>
      </c>
      <c r="J676">
        <v>60</v>
      </c>
      <c r="K676">
        <v>16.600000000000001</v>
      </c>
      <c r="L676" t="s">
        <v>43</v>
      </c>
      <c r="M676">
        <v>33619.730000000003</v>
      </c>
      <c r="N676">
        <v>14192</v>
      </c>
      <c r="O676" t="s">
        <v>44</v>
      </c>
      <c r="P676" t="str">
        <f t="shared" si="90"/>
        <v>Yes</v>
      </c>
      <c r="Q676">
        <f t="shared" si="91"/>
        <v>46.41</v>
      </c>
      <c r="R676">
        <f t="shared" si="92"/>
        <v>10.85</v>
      </c>
      <c r="S676">
        <f t="shared" si="93"/>
        <v>2.37</v>
      </c>
      <c r="T676" t="str">
        <f t="shared" si="94"/>
        <v>Delayed</v>
      </c>
      <c r="U676" t="str">
        <f t="shared" si="95"/>
        <v>High</v>
      </c>
      <c r="V676" t="str">
        <f t="shared" si="96"/>
        <v>Low Risk</v>
      </c>
      <c r="W676" t="str">
        <f t="shared" si="97"/>
        <v>Jan</v>
      </c>
      <c r="X676">
        <f t="shared" si="98"/>
        <v>2025</v>
      </c>
    </row>
    <row r="677" spans="1:24" x14ac:dyDescent="0.35">
      <c r="A677" s="3">
        <v>45954</v>
      </c>
      <c r="B677" t="s">
        <v>64</v>
      </c>
      <c r="C677" t="s">
        <v>109</v>
      </c>
      <c r="D677" t="s">
        <v>823</v>
      </c>
      <c r="E677" t="s">
        <v>66</v>
      </c>
      <c r="F677" t="s">
        <v>41</v>
      </c>
      <c r="G677" t="s">
        <v>71</v>
      </c>
      <c r="H677">
        <v>45.3</v>
      </c>
      <c r="I677">
        <v>3441</v>
      </c>
      <c r="J677">
        <v>94</v>
      </c>
      <c r="K677">
        <v>21.6</v>
      </c>
      <c r="L677" t="s">
        <v>30</v>
      </c>
      <c r="M677">
        <v>29500.959999999999</v>
      </c>
      <c r="N677">
        <v>26904</v>
      </c>
      <c r="O677" t="s">
        <v>44</v>
      </c>
      <c r="P677" t="str">
        <f t="shared" si="90"/>
        <v>Yes</v>
      </c>
      <c r="Q677">
        <f t="shared" si="91"/>
        <v>75.959999999999994</v>
      </c>
      <c r="R677">
        <f t="shared" si="92"/>
        <v>8.57</v>
      </c>
      <c r="S677">
        <f t="shared" si="93"/>
        <v>1.1000000000000001</v>
      </c>
      <c r="T677" t="str">
        <f t="shared" si="94"/>
        <v>Delayed</v>
      </c>
      <c r="U677" t="str">
        <f t="shared" si="95"/>
        <v>Medium</v>
      </c>
      <c r="V677" t="str">
        <f t="shared" si="96"/>
        <v>Medium Risk</v>
      </c>
      <c r="W677" t="str">
        <f t="shared" si="97"/>
        <v>Oct</v>
      </c>
      <c r="X677">
        <f t="shared" si="98"/>
        <v>2025</v>
      </c>
    </row>
    <row r="678" spans="1:24" x14ac:dyDescent="0.35">
      <c r="A678" s="3">
        <v>45989</v>
      </c>
      <c r="B678" t="s">
        <v>125</v>
      </c>
      <c r="C678" t="s">
        <v>39</v>
      </c>
      <c r="D678" t="s">
        <v>824</v>
      </c>
      <c r="E678" t="s">
        <v>54</v>
      </c>
      <c r="F678" t="s">
        <v>48</v>
      </c>
      <c r="G678" t="s">
        <v>35</v>
      </c>
      <c r="H678">
        <v>20.100000000000001</v>
      </c>
      <c r="I678">
        <v>2301</v>
      </c>
      <c r="J678">
        <v>22</v>
      </c>
      <c r="K678">
        <v>12.2</v>
      </c>
      <c r="L678" t="s">
        <v>43</v>
      </c>
      <c r="M678">
        <v>12641.44</v>
      </c>
      <c r="N678">
        <v>20718</v>
      </c>
      <c r="O678" t="s">
        <v>84</v>
      </c>
      <c r="P678" t="str">
        <f t="shared" si="90"/>
        <v>Yes</v>
      </c>
      <c r="Q678">
        <f t="shared" si="91"/>
        <v>114.48</v>
      </c>
      <c r="R678">
        <f t="shared" si="92"/>
        <v>5.49</v>
      </c>
      <c r="S678">
        <f t="shared" si="93"/>
        <v>0.61</v>
      </c>
      <c r="T678" t="str">
        <f t="shared" si="94"/>
        <v>Delayed</v>
      </c>
      <c r="U678" t="str">
        <f t="shared" si="95"/>
        <v>Low</v>
      </c>
      <c r="V678" t="str">
        <f t="shared" si="96"/>
        <v>Low Risk</v>
      </c>
      <c r="W678" t="str">
        <f t="shared" si="97"/>
        <v>Nov</v>
      </c>
      <c r="X678">
        <f t="shared" si="98"/>
        <v>2025</v>
      </c>
    </row>
    <row r="679" spans="1:24" x14ac:dyDescent="0.35">
      <c r="A679" s="3">
        <v>45842</v>
      </c>
      <c r="B679" t="s">
        <v>102</v>
      </c>
      <c r="C679" t="s">
        <v>52</v>
      </c>
      <c r="D679" t="s">
        <v>825</v>
      </c>
      <c r="E679" t="s">
        <v>63</v>
      </c>
      <c r="F679" t="s">
        <v>54</v>
      </c>
      <c r="G679" t="s">
        <v>42</v>
      </c>
      <c r="H679">
        <v>30.3</v>
      </c>
      <c r="I679">
        <v>2196</v>
      </c>
      <c r="J679">
        <v>31</v>
      </c>
      <c r="K679">
        <v>13.1</v>
      </c>
      <c r="L679" t="s">
        <v>43</v>
      </c>
      <c r="M679">
        <v>14005.51</v>
      </c>
      <c r="N679">
        <v>11494</v>
      </c>
      <c r="O679" t="s">
        <v>59</v>
      </c>
      <c r="P679" t="str">
        <f t="shared" si="90"/>
        <v>Yes</v>
      </c>
      <c r="Q679">
        <f t="shared" si="91"/>
        <v>72.48</v>
      </c>
      <c r="R679">
        <f t="shared" si="92"/>
        <v>6.38</v>
      </c>
      <c r="S679">
        <f t="shared" si="93"/>
        <v>1.22</v>
      </c>
      <c r="T679" t="str">
        <f t="shared" si="94"/>
        <v>Delayed</v>
      </c>
      <c r="U679" t="str">
        <f t="shared" si="95"/>
        <v>Low</v>
      </c>
      <c r="V679" t="str">
        <f t="shared" si="96"/>
        <v>Low Risk</v>
      </c>
      <c r="W679" t="str">
        <f t="shared" si="97"/>
        <v>Jul</v>
      </c>
      <c r="X679">
        <f t="shared" si="98"/>
        <v>2025</v>
      </c>
    </row>
    <row r="680" spans="1:24" x14ac:dyDescent="0.35">
      <c r="A680" s="3">
        <v>45927</v>
      </c>
      <c r="B680" t="s">
        <v>98</v>
      </c>
      <c r="C680" t="s">
        <v>57</v>
      </c>
      <c r="D680" t="s">
        <v>826</v>
      </c>
      <c r="E680" t="s">
        <v>54</v>
      </c>
      <c r="F680" t="s">
        <v>63</v>
      </c>
      <c r="G680" t="s">
        <v>35</v>
      </c>
      <c r="H680">
        <v>34.1</v>
      </c>
      <c r="I680">
        <v>1632</v>
      </c>
      <c r="J680">
        <v>99</v>
      </c>
      <c r="K680">
        <v>15.1</v>
      </c>
      <c r="L680" t="s">
        <v>49</v>
      </c>
      <c r="M680">
        <v>19794.150000000001</v>
      </c>
      <c r="N680">
        <v>5084</v>
      </c>
      <c r="O680" t="s">
        <v>84</v>
      </c>
      <c r="P680" t="str">
        <f t="shared" si="90"/>
        <v>Yes</v>
      </c>
      <c r="Q680">
        <f t="shared" si="91"/>
        <v>47.86</v>
      </c>
      <c r="R680">
        <f t="shared" si="92"/>
        <v>12.13</v>
      </c>
      <c r="S680">
        <f t="shared" si="93"/>
        <v>3.89</v>
      </c>
      <c r="T680" t="str">
        <f t="shared" si="94"/>
        <v>Delayed</v>
      </c>
      <c r="U680" t="str">
        <f t="shared" si="95"/>
        <v>Low</v>
      </c>
      <c r="V680" t="str">
        <f t="shared" si="96"/>
        <v>High Risk</v>
      </c>
      <c r="W680" t="str">
        <f t="shared" si="97"/>
        <v>Sep</v>
      </c>
      <c r="X680">
        <f t="shared" si="98"/>
        <v>2025</v>
      </c>
    </row>
    <row r="681" spans="1:24" x14ac:dyDescent="0.35">
      <c r="A681" s="3">
        <v>45784</v>
      </c>
      <c r="B681" t="s">
        <v>366</v>
      </c>
      <c r="C681" t="s">
        <v>25</v>
      </c>
      <c r="D681" t="s">
        <v>827</v>
      </c>
      <c r="E681" t="s">
        <v>63</v>
      </c>
      <c r="F681" t="s">
        <v>48</v>
      </c>
      <c r="G681" t="s">
        <v>35</v>
      </c>
      <c r="H681">
        <v>23.7</v>
      </c>
      <c r="I681">
        <v>4658</v>
      </c>
      <c r="J681">
        <v>39</v>
      </c>
      <c r="K681">
        <v>17.7</v>
      </c>
      <c r="L681" t="s">
        <v>30</v>
      </c>
      <c r="M681">
        <v>14186</v>
      </c>
      <c r="N681">
        <v>29633</v>
      </c>
      <c r="O681" t="s">
        <v>91</v>
      </c>
      <c r="P681" t="str">
        <f t="shared" si="90"/>
        <v>Yes</v>
      </c>
      <c r="Q681">
        <f t="shared" si="91"/>
        <v>196.54</v>
      </c>
      <c r="R681">
        <f t="shared" si="92"/>
        <v>3.05</v>
      </c>
      <c r="S681">
        <f t="shared" si="93"/>
        <v>0.48</v>
      </c>
      <c r="T681" t="str">
        <f t="shared" si="94"/>
        <v>Delayed</v>
      </c>
      <c r="U681" t="str">
        <f t="shared" si="95"/>
        <v>Low</v>
      </c>
      <c r="V681" t="str">
        <f t="shared" si="96"/>
        <v>Medium Risk</v>
      </c>
      <c r="W681" t="str">
        <f t="shared" si="97"/>
        <v>May</v>
      </c>
      <c r="X681">
        <f t="shared" si="98"/>
        <v>2025</v>
      </c>
    </row>
    <row r="682" spans="1:24" x14ac:dyDescent="0.35">
      <c r="A682" s="3">
        <v>45792</v>
      </c>
      <c r="B682" t="s">
        <v>123</v>
      </c>
      <c r="C682" t="s">
        <v>39</v>
      </c>
      <c r="D682" t="s">
        <v>828</v>
      </c>
      <c r="E682" t="s">
        <v>48</v>
      </c>
      <c r="F682" t="s">
        <v>41</v>
      </c>
      <c r="G682" t="s">
        <v>29</v>
      </c>
      <c r="H682">
        <v>71.2</v>
      </c>
      <c r="I682">
        <v>4476</v>
      </c>
      <c r="J682">
        <v>111</v>
      </c>
      <c r="K682">
        <v>15.3</v>
      </c>
      <c r="L682" t="s">
        <v>30</v>
      </c>
      <c r="M682">
        <v>44665.48</v>
      </c>
      <c r="N682">
        <v>14314</v>
      </c>
      <c r="O682" t="s">
        <v>84</v>
      </c>
      <c r="P682" t="str">
        <f t="shared" si="90"/>
        <v>Yes</v>
      </c>
      <c r="Q682">
        <f t="shared" si="91"/>
        <v>62.87</v>
      </c>
      <c r="R682">
        <f t="shared" si="92"/>
        <v>9.98</v>
      </c>
      <c r="S682">
        <f t="shared" si="93"/>
        <v>3.12</v>
      </c>
      <c r="T682" t="str">
        <f t="shared" si="94"/>
        <v>Delayed</v>
      </c>
      <c r="U682" t="str">
        <f t="shared" si="95"/>
        <v>High</v>
      </c>
      <c r="V682" t="str">
        <f t="shared" si="96"/>
        <v>Medium Risk</v>
      </c>
      <c r="W682" t="str">
        <f t="shared" si="97"/>
        <v>May</v>
      </c>
      <c r="X682">
        <f t="shared" si="98"/>
        <v>2025</v>
      </c>
    </row>
    <row r="683" spans="1:24" x14ac:dyDescent="0.35">
      <c r="A683" s="3">
        <v>45769</v>
      </c>
      <c r="B683" t="s">
        <v>349</v>
      </c>
      <c r="C683" t="s">
        <v>39</v>
      </c>
      <c r="D683" t="s">
        <v>829</v>
      </c>
      <c r="E683" t="s">
        <v>63</v>
      </c>
      <c r="F683" t="s">
        <v>27</v>
      </c>
      <c r="G683" t="s">
        <v>35</v>
      </c>
      <c r="H683">
        <v>24.6</v>
      </c>
      <c r="I683">
        <v>1906</v>
      </c>
      <c r="J683">
        <v>55</v>
      </c>
      <c r="K683">
        <v>15.7</v>
      </c>
      <c r="L683" t="s">
        <v>30</v>
      </c>
      <c r="M683">
        <v>11744.59</v>
      </c>
      <c r="N683">
        <v>20296</v>
      </c>
      <c r="O683" t="s">
        <v>50</v>
      </c>
      <c r="P683" t="str">
        <f t="shared" si="90"/>
        <v>Yes</v>
      </c>
      <c r="Q683">
        <f t="shared" si="91"/>
        <v>77.48</v>
      </c>
      <c r="R683">
        <f t="shared" si="92"/>
        <v>6.16</v>
      </c>
      <c r="S683">
        <f t="shared" si="93"/>
        <v>0.57999999999999996</v>
      </c>
      <c r="T683" t="str">
        <f t="shared" si="94"/>
        <v>Delayed</v>
      </c>
      <c r="U683" t="str">
        <f t="shared" si="95"/>
        <v>Low</v>
      </c>
      <c r="V683" t="str">
        <f t="shared" si="96"/>
        <v>Medium Risk</v>
      </c>
      <c r="W683" t="str">
        <f t="shared" si="97"/>
        <v>Apr</v>
      </c>
      <c r="X683">
        <f t="shared" si="98"/>
        <v>2025</v>
      </c>
    </row>
    <row r="684" spans="1:24" x14ac:dyDescent="0.35">
      <c r="A684" s="3">
        <v>45969</v>
      </c>
      <c r="B684" t="s">
        <v>300</v>
      </c>
      <c r="C684" t="s">
        <v>39</v>
      </c>
      <c r="D684" t="s">
        <v>830</v>
      </c>
      <c r="E684" t="s">
        <v>41</v>
      </c>
      <c r="F684" t="s">
        <v>66</v>
      </c>
      <c r="G684" t="s">
        <v>29</v>
      </c>
      <c r="H684">
        <v>25.6</v>
      </c>
      <c r="I684">
        <v>3908</v>
      </c>
      <c r="J684">
        <v>26</v>
      </c>
      <c r="K684">
        <v>15.9</v>
      </c>
      <c r="L684" t="s">
        <v>78</v>
      </c>
      <c r="M684">
        <v>17703.68</v>
      </c>
      <c r="N684">
        <v>29937</v>
      </c>
      <c r="O684" t="s">
        <v>36</v>
      </c>
      <c r="P684" t="str">
        <f t="shared" si="90"/>
        <v>No</v>
      </c>
      <c r="Q684">
        <f t="shared" si="91"/>
        <v>152.66</v>
      </c>
      <c r="R684">
        <f t="shared" si="92"/>
        <v>4.53</v>
      </c>
      <c r="S684">
        <f t="shared" si="93"/>
        <v>0.59</v>
      </c>
      <c r="T684" t="str">
        <f t="shared" si="94"/>
        <v>On Time</v>
      </c>
      <c r="U684" t="str">
        <f t="shared" si="95"/>
        <v>Low</v>
      </c>
      <c r="V684" t="str">
        <f t="shared" si="96"/>
        <v>Low Risk</v>
      </c>
      <c r="W684" t="str">
        <f t="shared" si="97"/>
        <v>Nov</v>
      </c>
      <c r="X684">
        <f t="shared" si="98"/>
        <v>2025</v>
      </c>
    </row>
    <row r="685" spans="1:24" x14ac:dyDescent="0.35">
      <c r="A685" s="3">
        <v>45730</v>
      </c>
      <c r="B685" t="s">
        <v>246</v>
      </c>
      <c r="C685" t="s">
        <v>69</v>
      </c>
      <c r="D685" t="s">
        <v>831</v>
      </c>
      <c r="E685" t="s">
        <v>54</v>
      </c>
      <c r="F685" t="s">
        <v>66</v>
      </c>
      <c r="G685" t="s">
        <v>29</v>
      </c>
      <c r="H685">
        <v>38.299999999999997</v>
      </c>
      <c r="I685">
        <v>2358</v>
      </c>
      <c r="J685">
        <v>63</v>
      </c>
      <c r="K685">
        <v>10.8</v>
      </c>
      <c r="L685" t="s">
        <v>30</v>
      </c>
      <c r="M685">
        <v>23289.13</v>
      </c>
      <c r="N685">
        <v>5444</v>
      </c>
      <c r="O685" t="s">
        <v>36</v>
      </c>
      <c r="P685" t="str">
        <f t="shared" si="90"/>
        <v>Yes</v>
      </c>
      <c r="Q685">
        <f t="shared" si="91"/>
        <v>61.57</v>
      </c>
      <c r="R685">
        <f t="shared" si="92"/>
        <v>9.8800000000000008</v>
      </c>
      <c r="S685">
        <f t="shared" si="93"/>
        <v>4.28</v>
      </c>
      <c r="T685" t="str">
        <f t="shared" si="94"/>
        <v>Delayed</v>
      </c>
      <c r="U685" t="str">
        <f t="shared" si="95"/>
        <v>Low</v>
      </c>
      <c r="V685" t="str">
        <f t="shared" si="96"/>
        <v>Medium Risk</v>
      </c>
      <c r="W685" t="str">
        <f t="shared" si="97"/>
        <v>Mar</v>
      </c>
      <c r="X685">
        <f t="shared" si="98"/>
        <v>2025</v>
      </c>
    </row>
    <row r="686" spans="1:24" x14ac:dyDescent="0.35">
      <c r="A686" s="3">
        <v>45719</v>
      </c>
      <c r="B686" t="s">
        <v>82</v>
      </c>
      <c r="C686" t="s">
        <v>95</v>
      </c>
      <c r="D686" t="s">
        <v>832</v>
      </c>
      <c r="E686" t="s">
        <v>66</v>
      </c>
      <c r="F686" t="s">
        <v>48</v>
      </c>
      <c r="G686" t="s">
        <v>35</v>
      </c>
      <c r="H686">
        <v>58</v>
      </c>
      <c r="I686">
        <v>2308</v>
      </c>
      <c r="J686">
        <v>50</v>
      </c>
      <c r="K686">
        <v>18.3</v>
      </c>
      <c r="L686" t="s">
        <v>43</v>
      </c>
      <c r="M686">
        <v>34972.54</v>
      </c>
      <c r="N686">
        <v>27916</v>
      </c>
      <c r="O686" t="s">
        <v>44</v>
      </c>
      <c r="P686" t="str">
        <f t="shared" si="90"/>
        <v>Yes</v>
      </c>
      <c r="Q686">
        <f t="shared" si="91"/>
        <v>39.79</v>
      </c>
      <c r="R686">
        <f t="shared" si="92"/>
        <v>15.15</v>
      </c>
      <c r="S686">
        <f t="shared" si="93"/>
        <v>1.25</v>
      </c>
      <c r="T686" t="str">
        <f t="shared" si="94"/>
        <v>Delayed</v>
      </c>
      <c r="U686" t="str">
        <f t="shared" si="95"/>
        <v>Medium</v>
      </c>
      <c r="V686" t="str">
        <f t="shared" si="96"/>
        <v>Low Risk</v>
      </c>
      <c r="W686" t="str">
        <f t="shared" si="97"/>
        <v>Mar</v>
      </c>
      <c r="X686">
        <f t="shared" si="98"/>
        <v>2025</v>
      </c>
    </row>
    <row r="687" spans="1:24" x14ac:dyDescent="0.35">
      <c r="A687" s="3">
        <v>45865</v>
      </c>
      <c r="B687" t="s">
        <v>291</v>
      </c>
      <c r="C687" t="s">
        <v>95</v>
      </c>
      <c r="D687" t="s">
        <v>833</v>
      </c>
      <c r="E687" t="s">
        <v>48</v>
      </c>
      <c r="F687" t="s">
        <v>55</v>
      </c>
      <c r="G687" t="s">
        <v>29</v>
      </c>
      <c r="H687">
        <v>25.8</v>
      </c>
      <c r="I687">
        <v>2624</v>
      </c>
      <c r="J687">
        <v>116</v>
      </c>
      <c r="K687">
        <v>17.3</v>
      </c>
      <c r="L687" t="s">
        <v>78</v>
      </c>
      <c r="M687">
        <v>16151.27</v>
      </c>
      <c r="N687">
        <v>9549</v>
      </c>
      <c r="O687" t="s">
        <v>59</v>
      </c>
      <c r="P687" t="str">
        <f t="shared" si="90"/>
        <v>No</v>
      </c>
      <c r="Q687">
        <f t="shared" si="91"/>
        <v>101.71</v>
      </c>
      <c r="R687">
        <f t="shared" si="92"/>
        <v>6.16</v>
      </c>
      <c r="S687">
        <f t="shared" si="93"/>
        <v>1.69</v>
      </c>
      <c r="T687" t="str">
        <f t="shared" si="94"/>
        <v>On Time</v>
      </c>
      <c r="U687" t="str">
        <f t="shared" si="95"/>
        <v>Low</v>
      </c>
      <c r="V687" t="str">
        <f t="shared" si="96"/>
        <v>Low Risk</v>
      </c>
      <c r="W687" t="str">
        <f t="shared" si="97"/>
        <v>Jul</v>
      </c>
      <c r="X687">
        <f t="shared" si="98"/>
        <v>2025</v>
      </c>
    </row>
    <row r="688" spans="1:24" x14ac:dyDescent="0.35">
      <c r="A688" s="3">
        <v>45892</v>
      </c>
      <c r="B688" t="s">
        <v>102</v>
      </c>
      <c r="C688" t="s">
        <v>25</v>
      </c>
      <c r="D688" t="s">
        <v>834</v>
      </c>
      <c r="E688" t="s">
        <v>48</v>
      </c>
      <c r="F688" t="s">
        <v>66</v>
      </c>
      <c r="G688" t="s">
        <v>29</v>
      </c>
      <c r="H688">
        <v>64.599999999999994</v>
      </c>
      <c r="I688">
        <v>893</v>
      </c>
      <c r="J688">
        <v>120</v>
      </c>
      <c r="K688">
        <v>11.5</v>
      </c>
      <c r="L688" t="s">
        <v>30</v>
      </c>
      <c r="M688">
        <v>36011.47</v>
      </c>
      <c r="N688">
        <v>11331</v>
      </c>
      <c r="O688" t="s">
        <v>50</v>
      </c>
      <c r="P688" t="str">
        <f t="shared" si="90"/>
        <v>Yes</v>
      </c>
      <c r="Q688">
        <f t="shared" si="91"/>
        <v>13.82</v>
      </c>
      <c r="R688">
        <f t="shared" si="92"/>
        <v>40.33</v>
      </c>
      <c r="S688">
        <f t="shared" si="93"/>
        <v>3.18</v>
      </c>
      <c r="T688" t="str">
        <f t="shared" si="94"/>
        <v>Delayed</v>
      </c>
      <c r="U688" t="str">
        <f t="shared" si="95"/>
        <v>High</v>
      </c>
      <c r="V688" t="str">
        <f t="shared" si="96"/>
        <v>Medium Risk</v>
      </c>
      <c r="W688" t="str">
        <f t="shared" si="97"/>
        <v>Aug</v>
      </c>
      <c r="X688">
        <f t="shared" si="98"/>
        <v>2025</v>
      </c>
    </row>
    <row r="689" spans="1:24" x14ac:dyDescent="0.35">
      <c r="A689" s="3">
        <v>45658</v>
      </c>
      <c r="B689" t="s">
        <v>115</v>
      </c>
      <c r="C689" t="s">
        <v>69</v>
      </c>
      <c r="D689" t="s">
        <v>835</v>
      </c>
      <c r="E689" t="s">
        <v>66</v>
      </c>
      <c r="F689" t="s">
        <v>48</v>
      </c>
      <c r="G689" t="s">
        <v>29</v>
      </c>
      <c r="H689">
        <v>52.3</v>
      </c>
      <c r="I689">
        <v>3908</v>
      </c>
      <c r="J689">
        <v>102</v>
      </c>
      <c r="K689">
        <v>17.8</v>
      </c>
      <c r="L689" t="s">
        <v>43</v>
      </c>
      <c r="M689">
        <v>24208.83</v>
      </c>
      <c r="N689">
        <v>25562</v>
      </c>
      <c r="O689" t="s">
        <v>36</v>
      </c>
      <c r="P689" t="str">
        <f t="shared" si="90"/>
        <v>Yes</v>
      </c>
      <c r="Q689">
        <f t="shared" si="91"/>
        <v>74.72</v>
      </c>
      <c r="R689">
        <f t="shared" si="92"/>
        <v>6.19</v>
      </c>
      <c r="S689">
        <f t="shared" si="93"/>
        <v>0.95</v>
      </c>
      <c r="T689" t="str">
        <f t="shared" si="94"/>
        <v>Delayed</v>
      </c>
      <c r="U689" t="str">
        <f t="shared" si="95"/>
        <v>Medium</v>
      </c>
      <c r="V689" t="str">
        <f t="shared" si="96"/>
        <v>Low Risk</v>
      </c>
      <c r="W689" t="str">
        <f t="shared" si="97"/>
        <v>Jan</v>
      </c>
      <c r="X689">
        <f t="shared" si="98"/>
        <v>2025</v>
      </c>
    </row>
    <row r="690" spans="1:24" x14ac:dyDescent="0.35">
      <c r="A690" s="3">
        <v>45664</v>
      </c>
      <c r="B690" t="s">
        <v>349</v>
      </c>
      <c r="C690" t="s">
        <v>109</v>
      </c>
      <c r="D690" t="s">
        <v>836</v>
      </c>
      <c r="E690" t="s">
        <v>54</v>
      </c>
      <c r="F690" t="s">
        <v>48</v>
      </c>
      <c r="G690" t="s">
        <v>29</v>
      </c>
      <c r="H690">
        <v>69.3</v>
      </c>
      <c r="I690">
        <v>3751</v>
      </c>
      <c r="J690">
        <v>83</v>
      </c>
      <c r="K690">
        <v>13.6</v>
      </c>
      <c r="L690" t="s">
        <v>49</v>
      </c>
      <c r="M690">
        <v>44483.41</v>
      </c>
      <c r="N690">
        <v>28204</v>
      </c>
      <c r="O690" t="s">
        <v>44</v>
      </c>
      <c r="P690" t="str">
        <f t="shared" si="90"/>
        <v>Yes</v>
      </c>
      <c r="Q690">
        <f t="shared" si="91"/>
        <v>54.13</v>
      </c>
      <c r="R690">
        <f t="shared" si="92"/>
        <v>11.86</v>
      </c>
      <c r="S690">
        <f t="shared" si="93"/>
        <v>1.58</v>
      </c>
      <c r="T690" t="str">
        <f t="shared" si="94"/>
        <v>Delayed</v>
      </c>
      <c r="U690" t="str">
        <f t="shared" si="95"/>
        <v>High</v>
      </c>
      <c r="V690" t="str">
        <f t="shared" si="96"/>
        <v>High Risk</v>
      </c>
      <c r="W690" t="str">
        <f t="shared" si="97"/>
        <v>Jan</v>
      </c>
      <c r="X690">
        <f t="shared" si="98"/>
        <v>2025</v>
      </c>
    </row>
    <row r="691" spans="1:24" x14ac:dyDescent="0.35">
      <c r="A691" s="3">
        <v>45676</v>
      </c>
      <c r="B691" t="s">
        <v>256</v>
      </c>
      <c r="C691" t="s">
        <v>39</v>
      </c>
      <c r="D691" t="s">
        <v>837</v>
      </c>
      <c r="E691" t="s">
        <v>63</v>
      </c>
      <c r="F691" t="s">
        <v>27</v>
      </c>
      <c r="G691" t="s">
        <v>71</v>
      </c>
      <c r="H691">
        <v>47.7</v>
      </c>
      <c r="I691">
        <v>1839</v>
      </c>
      <c r="J691">
        <v>102</v>
      </c>
      <c r="K691">
        <v>12.7</v>
      </c>
      <c r="L691" t="s">
        <v>30</v>
      </c>
      <c r="M691">
        <v>24252</v>
      </c>
      <c r="N691">
        <v>23591</v>
      </c>
      <c r="O691" t="s">
        <v>31</v>
      </c>
      <c r="P691" t="str">
        <f t="shared" si="90"/>
        <v>Yes</v>
      </c>
      <c r="Q691">
        <f t="shared" si="91"/>
        <v>38.549999999999997</v>
      </c>
      <c r="R691">
        <f t="shared" si="92"/>
        <v>13.19</v>
      </c>
      <c r="S691">
        <f t="shared" si="93"/>
        <v>1.03</v>
      </c>
      <c r="T691" t="str">
        <f t="shared" si="94"/>
        <v>Delayed</v>
      </c>
      <c r="U691" t="str">
        <f t="shared" si="95"/>
        <v>Medium</v>
      </c>
      <c r="V691" t="str">
        <f t="shared" si="96"/>
        <v>Medium Risk</v>
      </c>
      <c r="W691" t="str">
        <f t="shared" si="97"/>
        <v>Jan</v>
      </c>
      <c r="X691">
        <f t="shared" si="98"/>
        <v>2025</v>
      </c>
    </row>
    <row r="692" spans="1:24" x14ac:dyDescent="0.35">
      <c r="A692" s="3">
        <v>45849</v>
      </c>
      <c r="B692" t="s">
        <v>139</v>
      </c>
      <c r="C692" t="s">
        <v>52</v>
      </c>
      <c r="D692" t="s">
        <v>838</v>
      </c>
      <c r="E692" t="s">
        <v>28</v>
      </c>
      <c r="F692" t="s">
        <v>54</v>
      </c>
      <c r="G692" t="s">
        <v>42</v>
      </c>
      <c r="H692">
        <v>56.8</v>
      </c>
      <c r="I692">
        <v>2378</v>
      </c>
      <c r="J692">
        <v>30</v>
      </c>
      <c r="K692">
        <v>18.3</v>
      </c>
      <c r="L692" t="s">
        <v>43</v>
      </c>
      <c r="M692">
        <v>30725.34</v>
      </c>
      <c r="N692">
        <v>8548</v>
      </c>
      <c r="O692" t="s">
        <v>91</v>
      </c>
      <c r="P692" t="str">
        <f t="shared" si="90"/>
        <v>Yes</v>
      </c>
      <c r="Q692">
        <f t="shared" si="91"/>
        <v>41.87</v>
      </c>
      <c r="R692">
        <f t="shared" si="92"/>
        <v>12.92</v>
      </c>
      <c r="S692">
        <f t="shared" si="93"/>
        <v>3.59</v>
      </c>
      <c r="T692" t="str">
        <f t="shared" si="94"/>
        <v>Delayed</v>
      </c>
      <c r="U692" t="str">
        <f t="shared" si="95"/>
        <v>Medium</v>
      </c>
      <c r="V692" t="str">
        <f t="shared" si="96"/>
        <v>Low Risk</v>
      </c>
      <c r="W692" t="str">
        <f t="shared" si="97"/>
        <v>Jul</v>
      </c>
      <c r="X692">
        <f t="shared" si="98"/>
        <v>2025</v>
      </c>
    </row>
    <row r="693" spans="1:24" x14ac:dyDescent="0.35">
      <c r="A693" s="3">
        <v>45698</v>
      </c>
      <c r="B693" t="s">
        <v>188</v>
      </c>
      <c r="C693" t="s">
        <v>52</v>
      </c>
      <c r="D693" t="s">
        <v>839</v>
      </c>
      <c r="E693" t="s">
        <v>55</v>
      </c>
      <c r="F693" t="s">
        <v>63</v>
      </c>
      <c r="G693" t="s">
        <v>42</v>
      </c>
      <c r="H693">
        <v>67.7</v>
      </c>
      <c r="I693">
        <v>1250</v>
      </c>
      <c r="J693">
        <v>75</v>
      </c>
      <c r="K693">
        <v>13.7</v>
      </c>
      <c r="L693" t="s">
        <v>49</v>
      </c>
      <c r="M693">
        <v>34424.83</v>
      </c>
      <c r="N693">
        <v>18653</v>
      </c>
      <c r="O693" t="s">
        <v>84</v>
      </c>
      <c r="P693" t="str">
        <f t="shared" si="90"/>
        <v>Yes</v>
      </c>
      <c r="Q693">
        <f t="shared" si="91"/>
        <v>18.46</v>
      </c>
      <c r="R693">
        <f t="shared" si="92"/>
        <v>27.54</v>
      </c>
      <c r="S693">
        <f t="shared" si="93"/>
        <v>1.85</v>
      </c>
      <c r="T693" t="str">
        <f t="shared" si="94"/>
        <v>Delayed</v>
      </c>
      <c r="U693" t="str">
        <f t="shared" si="95"/>
        <v>High</v>
      </c>
      <c r="V693" t="str">
        <f t="shared" si="96"/>
        <v>High Risk</v>
      </c>
      <c r="W693" t="str">
        <f t="shared" si="97"/>
        <v>Feb</v>
      </c>
      <c r="X693">
        <f t="shared" si="98"/>
        <v>2025</v>
      </c>
    </row>
    <row r="694" spans="1:24" x14ac:dyDescent="0.35">
      <c r="A694" s="3">
        <v>45689</v>
      </c>
      <c r="B694" t="s">
        <v>76</v>
      </c>
      <c r="C694" t="s">
        <v>57</v>
      </c>
      <c r="D694" t="s">
        <v>840</v>
      </c>
      <c r="E694" t="s">
        <v>28</v>
      </c>
      <c r="F694" t="s">
        <v>48</v>
      </c>
      <c r="G694" t="s">
        <v>29</v>
      </c>
      <c r="H694">
        <v>76.3</v>
      </c>
      <c r="I694">
        <v>2354</v>
      </c>
      <c r="J694">
        <v>88</v>
      </c>
      <c r="K694">
        <v>19.3</v>
      </c>
      <c r="L694" t="s">
        <v>78</v>
      </c>
      <c r="M694">
        <v>50833.56</v>
      </c>
      <c r="N694">
        <v>19909</v>
      </c>
      <c r="O694" t="s">
        <v>84</v>
      </c>
      <c r="P694" t="str">
        <f t="shared" si="90"/>
        <v>No</v>
      </c>
      <c r="Q694">
        <f t="shared" si="91"/>
        <v>30.85</v>
      </c>
      <c r="R694">
        <f t="shared" si="92"/>
        <v>21.59</v>
      </c>
      <c r="S694">
        <f t="shared" si="93"/>
        <v>2.5499999999999998</v>
      </c>
      <c r="T694" t="str">
        <f t="shared" si="94"/>
        <v>On Time</v>
      </c>
      <c r="U694" t="str">
        <f t="shared" si="95"/>
        <v>High</v>
      </c>
      <c r="V694" t="str">
        <f t="shared" si="96"/>
        <v>Low Risk</v>
      </c>
      <c r="W694" t="str">
        <f t="shared" si="97"/>
        <v>Feb</v>
      </c>
      <c r="X694">
        <f t="shared" si="98"/>
        <v>2025</v>
      </c>
    </row>
    <row r="695" spans="1:24" x14ac:dyDescent="0.35">
      <c r="A695" s="3">
        <v>45789</v>
      </c>
      <c r="B695" t="s">
        <v>199</v>
      </c>
      <c r="C695" t="s">
        <v>69</v>
      </c>
      <c r="D695" t="s">
        <v>841</v>
      </c>
      <c r="E695" t="s">
        <v>48</v>
      </c>
      <c r="F695" t="s">
        <v>27</v>
      </c>
      <c r="G695" t="s">
        <v>71</v>
      </c>
      <c r="H695">
        <v>32.5</v>
      </c>
      <c r="I695">
        <v>2992</v>
      </c>
      <c r="J695">
        <v>113</v>
      </c>
      <c r="K695">
        <v>20</v>
      </c>
      <c r="L695" t="s">
        <v>49</v>
      </c>
      <c r="M695">
        <v>15130.16</v>
      </c>
      <c r="N695">
        <v>21545</v>
      </c>
      <c r="O695" t="s">
        <v>50</v>
      </c>
      <c r="P695" t="str">
        <f t="shared" si="90"/>
        <v>Yes</v>
      </c>
      <c r="Q695">
        <f t="shared" si="91"/>
        <v>92.06</v>
      </c>
      <c r="R695">
        <f t="shared" si="92"/>
        <v>5.0599999999999996</v>
      </c>
      <c r="S695">
        <f t="shared" si="93"/>
        <v>0.7</v>
      </c>
      <c r="T695" t="str">
        <f t="shared" si="94"/>
        <v>Delayed</v>
      </c>
      <c r="U695" t="str">
        <f t="shared" si="95"/>
        <v>Low</v>
      </c>
      <c r="V695" t="str">
        <f t="shared" si="96"/>
        <v>High Risk</v>
      </c>
      <c r="W695" t="str">
        <f t="shared" si="97"/>
        <v>May</v>
      </c>
      <c r="X695">
        <f t="shared" si="98"/>
        <v>2025</v>
      </c>
    </row>
    <row r="696" spans="1:24" x14ac:dyDescent="0.35">
      <c r="A696" s="3">
        <v>45873</v>
      </c>
      <c r="B696" t="s">
        <v>188</v>
      </c>
      <c r="C696" t="s">
        <v>69</v>
      </c>
      <c r="D696" t="s">
        <v>842</v>
      </c>
      <c r="E696" t="s">
        <v>55</v>
      </c>
      <c r="F696" t="s">
        <v>63</v>
      </c>
      <c r="G696" t="s">
        <v>42</v>
      </c>
      <c r="H696">
        <v>26.2</v>
      </c>
      <c r="I696">
        <v>1255</v>
      </c>
      <c r="J696">
        <v>69</v>
      </c>
      <c r="K696">
        <v>17.3</v>
      </c>
      <c r="L696" t="s">
        <v>78</v>
      </c>
      <c r="M696">
        <v>17507.57</v>
      </c>
      <c r="N696">
        <v>28501</v>
      </c>
      <c r="O696" t="s">
        <v>91</v>
      </c>
      <c r="P696" t="str">
        <f t="shared" si="90"/>
        <v>No</v>
      </c>
      <c r="Q696">
        <f t="shared" si="91"/>
        <v>47.9</v>
      </c>
      <c r="R696">
        <f t="shared" si="92"/>
        <v>13.95</v>
      </c>
      <c r="S696">
        <f t="shared" si="93"/>
        <v>0.61</v>
      </c>
      <c r="T696" t="str">
        <f t="shared" si="94"/>
        <v>On Time</v>
      </c>
      <c r="U696" t="str">
        <f t="shared" si="95"/>
        <v>Low</v>
      </c>
      <c r="V696" t="str">
        <f t="shared" si="96"/>
        <v>Low Risk</v>
      </c>
      <c r="W696" t="str">
        <f t="shared" si="97"/>
        <v>Aug</v>
      </c>
      <c r="X696">
        <f t="shared" si="98"/>
        <v>2025</v>
      </c>
    </row>
    <row r="697" spans="1:24" x14ac:dyDescent="0.35">
      <c r="A697" s="3">
        <v>45925</v>
      </c>
      <c r="B697" t="s">
        <v>167</v>
      </c>
      <c r="C697" t="s">
        <v>69</v>
      </c>
      <c r="D697" t="s">
        <v>843</v>
      </c>
      <c r="E697" t="s">
        <v>55</v>
      </c>
      <c r="F697" t="s">
        <v>66</v>
      </c>
      <c r="G697" t="s">
        <v>42</v>
      </c>
      <c r="H697">
        <v>56.3</v>
      </c>
      <c r="I697">
        <v>3702</v>
      </c>
      <c r="J697">
        <v>109</v>
      </c>
      <c r="K697">
        <v>13.8</v>
      </c>
      <c r="L697" t="s">
        <v>49</v>
      </c>
      <c r="M697">
        <v>26616.19</v>
      </c>
      <c r="N697">
        <v>26937</v>
      </c>
      <c r="O697" t="s">
        <v>44</v>
      </c>
      <c r="P697" t="str">
        <f t="shared" si="90"/>
        <v>Yes</v>
      </c>
      <c r="Q697">
        <f t="shared" si="91"/>
        <v>65.75</v>
      </c>
      <c r="R697">
        <f t="shared" si="92"/>
        <v>7.19</v>
      </c>
      <c r="S697">
        <f t="shared" si="93"/>
        <v>0.99</v>
      </c>
      <c r="T697" t="str">
        <f t="shared" si="94"/>
        <v>Delayed</v>
      </c>
      <c r="U697" t="str">
        <f t="shared" si="95"/>
        <v>Medium</v>
      </c>
      <c r="V697" t="str">
        <f t="shared" si="96"/>
        <v>High Risk</v>
      </c>
      <c r="W697" t="str">
        <f t="shared" si="97"/>
        <v>Sep</v>
      </c>
      <c r="X697">
        <f t="shared" si="98"/>
        <v>2025</v>
      </c>
    </row>
    <row r="698" spans="1:24" x14ac:dyDescent="0.35">
      <c r="A698" s="3">
        <v>45720</v>
      </c>
      <c r="B698" t="s">
        <v>61</v>
      </c>
      <c r="C698" t="s">
        <v>130</v>
      </c>
      <c r="D698" t="s">
        <v>844</v>
      </c>
      <c r="E698" t="s">
        <v>27</v>
      </c>
      <c r="F698" t="s">
        <v>48</v>
      </c>
      <c r="G698" t="s">
        <v>35</v>
      </c>
      <c r="H698">
        <v>69.2</v>
      </c>
      <c r="I698">
        <v>1477</v>
      </c>
      <c r="J698">
        <v>33</v>
      </c>
      <c r="K698">
        <v>12.7</v>
      </c>
      <c r="L698" t="s">
        <v>43</v>
      </c>
      <c r="M698">
        <v>46614.87</v>
      </c>
      <c r="N698">
        <v>17907</v>
      </c>
      <c r="O698" t="s">
        <v>91</v>
      </c>
      <c r="P698" t="str">
        <f t="shared" si="90"/>
        <v>Yes</v>
      </c>
      <c r="Q698">
        <f t="shared" si="91"/>
        <v>21.34</v>
      </c>
      <c r="R698">
        <f t="shared" si="92"/>
        <v>31.56</v>
      </c>
      <c r="S698">
        <f t="shared" si="93"/>
        <v>2.6</v>
      </c>
      <c r="T698" t="str">
        <f t="shared" si="94"/>
        <v>Delayed</v>
      </c>
      <c r="U698" t="str">
        <f t="shared" si="95"/>
        <v>High</v>
      </c>
      <c r="V698" t="str">
        <f t="shared" si="96"/>
        <v>Low Risk</v>
      </c>
      <c r="W698" t="str">
        <f t="shared" si="97"/>
        <v>Mar</v>
      </c>
      <c r="X698">
        <f t="shared" si="98"/>
        <v>2025</v>
      </c>
    </row>
    <row r="699" spans="1:24" x14ac:dyDescent="0.35">
      <c r="A699" s="3">
        <v>46009</v>
      </c>
      <c r="B699" t="s">
        <v>463</v>
      </c>
      <c r="C699" t="s">
        <v>39</v>
      </c>
      <c r="D699" t="s">
        <v>845</v>
      </c>
      <c r="E699" t="s">
        <v>41</v>
      </c>
      <c r="F699" t="s">
        <v>54</v>
      </c>
      <c r="G699" t="s">
        <v>71</v>
      </c>
      <c r="H699">
        <v>67.400000000000006</v>
      </c>
      <c r="I699">
        <v>3194</v>
      </c>
      <c r="J699">
        <v>26</v>
      </c>
      <c r="K699">
        <v>20</v>
      </c>
      <c r="L699" t="s">
        <v>78</v>
      </c>
      <c r="M699">
        <v>36815.9</v>
      </c>
      <c r="N699">
        <v>24879</v>
      </c>
      <c r="O699" t="s">
        <v>31</v>
      </c>
      <c r="P699" t="str">
        <f t="shared" si="90"/>
        <v>No</v>
      </c>
      <c r="Q699">
        <f t="shared" si="91"/>
        <v>47.39</v>
      </c>
      <c r="R699">
        <f t="shared" si="92"/>
        <v>11.53</v>
      </c>
      <c r="S699">
        <f t="shared" si="93"/>
        <v>1.48</v>
      </c>
      <c r="T699" t="str">
        <f t="shared" si="94"/>
        <v>On Time</v>
      </c>
      <c r="U699" t="str">
        <f t="shared" si="95"/>
        <v>High</v>
      </c>
      <c r="V699" t="str">
        <f t="shared" si="96"/>
        <v>Low Risk</v>
      </c>
      <c r="W699" t="str">
        <f t="shared" si="97"/>
        <v>Dec</v>
      </c>
      <c r="X699">
        <f t="shared" si="98"/>
        <v>2025</v>
      </c>
    </row>
    <row r="700" spans="1:24" x14ac:dyDescent="0.35">
      <c r="A700" s="3">
        <v>45677</v>
      </c>
      <c r="B700" t="s">
        <v>233</v>
      </c>
      <c r="C700" t="s">
        <v>95</v>
      </c>
      <c r="D700" t="s">
        <v>846</v>
      </c>
      <c r="E700" t="s">
        <v>54</v>
      </c>
      <c r="F700" t="s">
        <v>27</v>
      </c>
      <c r="G700" t="s">
        <v>71</v>
      </c>
      <c r="H700">
        <v>57</v>
      </c>
      <c r="I700">
        <v>4645</v>
      </c>
      <c r="J700">
        <v>110</v>
      </c>
      <c r="K700">
        <v>17.8</v>
      </c>
      <c r="L700" t="s">
        <v>78</v>
      </c>
      <c r="M700">
        <v>30759.95</v>
      </c>
      <c r="N700">
        <v>11078</v>
      </c>
      <c r="O700" t="s">
        <v>36</v>
      </c>
      <c r="P700" t="str">
        <f t="shared" si="90"/>
        <v>No</v>
      </c>
      <c r="Q700">
        <f t="shared" si="91"/>
        <v>81.489999999999995</v>
      </c>
      <c r="R700">
        <f t="shared" si="92"/>
        <v>6.62</v>
      </c>
      <c r="S700">
        <f t="shared" si="93"/>
        <v>2.78</v>
      </c>
      <c r="T700" t="str">
        <f t="shared" si="94"/>
        <v>On Time</v>
      </c>
      <c r="U700" t="str">
        <f t="shared" si="95"/>
        <v>Medium</v>
      </c>
      <c r="V700" t="str">
        <f t="shared" si="96"/>
        <v>Low Risk</v>
      </c>
      <c r="W700" t="str">
        <f t="shared" si="97"/>
        <v>Jan</v>
      </c>
      <c r="X700">
        <f t="shared" si="98"/>
        <v>2025</v>
      </c>
    </row>
    <row r="701" spans="1:24" x14ac:dyDescent="0.35">
      <c r="A701" s="3">
        <v>45876</v>
      </c>
      <c r="B701" t="s">
        <v>217</v>
      </c>
      <c r="C701" t="s">
        <v>109</v>
      </c>
      <c r="D701" t="s">
        <v>847</v>
      </c>
      <c r="E701" t="s">
        <v>63</v>
      </c>
      <c r="F701" t="s">
        <v>41</v>
      </c>
      <c r="G701" t="s">
        <v>35</v>
      </c>
      <c r="H701">
        <v>66.400000000000006</v>
      </c>
      <c r="I701">
        <v>4458</v>
      </c>
      <c r="J701">
        <v>21</v>
      </c>
      <c r="K701">
        <v>18</v>
      </c>
      <c r="L701" t="s">
        <v>78</v>
      </c>
      <c r="M701">
        <v>35585.32</v>
      </c>
      <c r="N701">
        <v>22943</v>
      </c>
      <c r="O701" t="s">
        <v>31</v>
      </c>
      <c r="P701" t="str">
        <f t="shared" si="90"/>
        <v>No</v>
      </c>
      <c r="Q701">
        <f t="shared" si="91"/>
        <v>67.14</v>
      </c>
      <c r="R701">
        <f t="shared" si="92"/>
        <v>7.98</v>
      </c>
      <c r="S701">
        <f t="shared" si="93"/>
        <v>1.55</v>
      </c>
      <c r="T701" t="str">
        <f t="shared" si="94"/>
        <v>On Time</v>
      </c>
      <c r="U701" t="str">
        <f t="shared" si="95"/>
        <v>High</v>
      </c>
      <c r="V701" t="str">
        <f t="shared" si="96"/>
        <v>Low Risk</v>
      </c>
      <c r="W701" t="str">
        <f t="shared" si="97"/>
        <v>Aug</v>
      </c>
      <c r="X701">
        <f t="shared" si="98"/>
        <v>2025</v>
      </c>
    </row>
    <row r="702" spans="1:24" x14ac:dyDescent="0.35">
      <c r="A702" s="3">
        <v>45896</v>
      </c>
      <c r="B702" t="s">
        <v>111</v>
      </c>
      <c r="C702" t="s">
        <v>52</v>
      </c>
      <c r="D702" t="s">
        <v>848</v>
      </c>
      <c r="E702" t="s">
        <v>28</v>
      </c>
      <c r="F702" t="s">
        <v>63</v>
      </c>
      <c r="G702" t="s">
        <v>35</v>
      </c>
      <c r="H702">
        <v>47.2</v>
      </c>
      <c r="I702">
        <v>4216</v>
      </c>
      <c r="J702">
        <v>42</v>
      </c>
      <c r="K702">
        <v>18.2</v>
      </c>
      <c r="L702" t="s">
        <v>30</v>
      </c>
      <c r="M702">
        <v>25974.83</v>
      </c>
      <c r="N702">
        <v>20315</v>
      </c>
      <c r="O702" t="s">
        <v>67</v>
      </c>
      <c r="P702" t="str">
        <f t="shared" si="90"/>
        <v>Yes</v>
      </c>
      <c r="Q702">
        <f t="shared" si="91"/>
        <v>89.32</v>
      </c>
      <c r="R702">
        <f t="shared" si="92"/>
        <v>6.16</v>
      </c>
      <c r="S702">
        <f t="shared" si="93"/>
        <v>1.28</v>
      </c>
      <c r="T702" t="str">
        <f t="shared" si="94"/>
        <v>Delayed</v>
      </c>
      <c r="U702" t="str">
        <f t="shared" si="95"/>
        <v>Medium</v>
      </c>
      <c r="V702" t="str">
        <f t="shared" si="96"/>
        <v>Medium Risk</v>
      </c>
      <c r="W702" t="str">
        <f t="shared" si="97"/>
        <v>Aug</v>
      </c>
      <c r="X702">
        <f t="shared" si="98"/>
        <v>2025</v>
      </c>
    </row>
    <row r="703" spans="1:24" x14ac:dyDescent="0.35">
      <c r="A703" s="3">
        <v>45762</v>
      </c>
      <c r="B703" t="s">
        <v>277</v>
      </c>
      <c r="C703" t="s">
        <v>57</v>
      </c>
      <c r="D703" t="s">
        <v>849</v>
      </c>
      <c r="E703" t="s">
        <v>54</v>
      </c>
      <c r="F703" t="s">
        <v>66</v>
      </c>
      <c r="G703" t="s">
        <v>42</v>
      </c>
      <c r="H703">
        <v>50.7</v>
      </c>
      <c r="I703">
        <v>2972</v>
      </c>
      <c r="J703">
        <v>120</v>
      </c>
      <c r="K703">
        <v>16.2</v>
      </c>
      <c r="L703" t="s">
        <v>43</v>
      </c>
      <c r="M703">
        <v>27950.66</v>
      </c>
      <c r="N703">
        <v>14153</v>
      </c>
      <c r="O703" t="s">
        <v>91</v>
      </c>
      <c r="P703" t="str">
        <f t="shared" si="90"/>
        <v>Yes</v>
      </c>
      <c r="Q703">
        <f t="shared" si="91"/>
        <v>58.62</v>
      </c>
      <c r="R703">
        <f t="shared" si="92"/>
        <v>9.4</v>
      </c>
      <c r="S703">
        <f t="shared" si="93"/>
        <v>1.97</v>
      </c>
      <c r="T703" t="str">
        <f t="shared" si="94"/>
        <v>Delayed</v>
      </c>
      <c r="U703" t="str">
        <f t="shared" si="95"/>
        <v>Medium</v>
      </c>
      <c r="V703" t="str">
        <f t="shared" si="96"/>
        <v>Low Risk</v>
      </c>
      <c r="W703" t="str">
        <f t="shared" si="97"/>
        <v>Apr</v>
      </c>
      <c r="X703">
        <f t="shared" si="98"/>
        <v>2025</v>
      </c>
    </row>
    <row r="704" spans="1:24" x14ac:dyDescent="0.35">
      <c r="A704" s="3">
        <v>45716</v>
      </c>
      <c r="B704" t="s">
        <v>366</v>
      </c>
      <c r="C704" t="s">
        <v>69</v>
      </c>
      <c r="D704" t="s">
        <v>850</v>
      </c>
      <c r="E704" t="s">
        <v>28</v>
      </c>
      <c r="F704" t="s">
        <v>55</v>
      </c>
      <c r="G704" t="s">
        <v>42</v>
      </c>
      <c r="H704">
        <v>63.4</v>
      </c>
      <c r="I704">
        <v>4425</v>
      </c>
      <c r="J704">
        <v>117</v>
      </c>
      <c r="K704">
        <v>19.7</v>
      </c>
      <c r="L704" t="s">
        <v>49</v>
      </c>
      <c r="M704">
        <v>38556.800000000003</v>
      </c>
      <c r="N704">
        <v>14439</v>
      </c>
      <c r="O704" t="s">
        <v>50</v>
      </c>
      <c r="P704" t="str">
        <f t="shared" si="90"/>
        <v>Yes</v>
      </c>
      <c r="Q704">
        <f t="shared" si="91"/>
        <v>69.790000000000006</v>
      </c>
      <c r="R704">
        <f t="shared" si="92"/>
        <v>8.7100000000000009</v>
      </c>
      <c r="S704">
        <f t="shared" si="93"/>
        <v>2.67</v>
      </c>
      <c r="T704" t="str">
        <f t="shared" si="94"/>
        <v>Delayed</v>
      </c>
      <c r="U704" t="str">
        <f t="shared" si="95"/>
        <v>High</v>
      </c>
      <c r="V704" t="str">
        <f t="shared" si="96"/>
        <v>High Risk</v>
      </c>
      <c r="W704" t="str">
        <f t="shared" si="97"/>
        <v>Feb</v>
      </c>
      <c r="X704">
        <f t="shared" si="98"/>
        <v>2025</v>
      </c>
    </row>
    <row r="705" spans="1:24" x14ac:dyDescent="0.35">
      <c r="A705" s="3">
        <v>45813</v>
      </c>
      <c r="B705" t="s">
        <v>104</v>
      </c>
      <c r="C705" t="s">
        <v>25</v>
      </c>
      <c r="D705" t="s">
        <v>851</v>
      </c>
      <c r="E705" t="s">
        <v>66</v>
      </c>
      <c r="F705" t="s">
        <v>41</v>
      </c>
      <c r="G705" t="s">
        <v>35</v>
      </c>
      <c r="H705">
        <v>28.4</v>
      </c>
      <c r="I705">
        <v>3383</v>
      </c>
      <c r="J705">
        <v>28</v>
      </c>
      <c r="K705">
        <v>15.1</v>
      </c>
      <c r="L705" t="s">
        <v>78</v>
      </c>
      <c r="M705">
        <v>14556.43</v>
      </c>
      <c r="N705">
        <v>29743</v>
      </c>
      <c r="O705" t="s">
        <v>50</v>
      </c>
      <c r="P705" t="str">
        <f t="shared" si="90"/>
        <v>No</v>
      </c>
      <c r="Q705">
        <f t="shared" si="91"/>
        <v>119.12</v>
      </c>
      <c r="R705">
        <f t="shared" si="92"/>
        <v>4.3</v>
      </c>
      <c r="S705">
        <f t="shared" si="93"/>
        <v>0.49</v>
      </c>
      <c r="T705" t="str">
        <f t="shared" si="94"/>
        <v>On Time</v>
      </c>
      <c r="U705" t="str">
        <f t="shared" si="95"/>
        <v>Low</v>
      </c>
      <c r="V705" t="str">
        <f t="shared" si="96"/>
        <v>Low Risk</v>
      </c>
      <c r="W705" t="str">
        <f t="shared" si="97"/>
        <v>Jun</v>
      </c>
      <c r="X705">
        <f t="shared" si="98"/>
        <v>2025</v>
      </c>
    </row>
    <row r="706" spans="1:24" x14ac:dyDescent="0.35">
      <c r="A706" s="3">
        <v>45873</v>
      </c>
      <c r="B706" t="s">
        <v>217</v>
      </c>
      <c r="C706" t="s">
        <v>109</v>
      </c>
      <c r="D706" t="s">
        <v>852</v>
      </c>
      <c r="E706" t="s">
        <v>41</v>
      </c>
      <c r="F706" t="s">
        <v>63</v>
      </c>
      <c r="G706" t="s">
        <v>71</v>
      </c>
      <c r="H706">
        <v>23.6</v>
      </c>
      <c r="I706">
        <v>2565</v>
      </c>
      <c r="J706">
        <v>118</v>
      </c>
      <c r="K706">
        <v>13.6</v>
      </c>
      <c r="L706" t="s">
        <v>78</v>
      </c>
      <c r="M706">
        <v>14311.93</v>
      </c>
      <c r="N706">
        <v>23341</v>
      </c>
      <c r="O706" t="s">
        <v>91</v>
      </c>
      <c r="P706" t="str">
        <f t="shared" ref="P706:P769" si="99">IF(OR(L706="Rain",L706="Fog",L706="Storm"),"Yes","No")</f>
        <v>No</v>
      </c>
      <c r="Q706">
        <f t="shared" ref="Q706:Q769" si="100">ROUND(I706/H706,2)</f>
        <v>108.69</v>
      </c>
      <c r="R706">
        <f t="shared" ref="R706:R769" si="101">ROUND(M706/I706,2)</f>
        <v>5.58</v>
      </c>
      <c r="S706">
        <f t="shared" ref="S706:S769" si="102">ROUND(M706/N706,2)</f>
        <v>0.61</v>
      </c>
      <c r="T706" t="str">
        <f t="shared" ref="T706:T769" si="103">IF(P706="Yes","Delayed","On Time")</f>
        <v>On Time</v>
      </c>
      <c r="U706" t="str">
        <f t="shared" ref="U706:U769" si="104">IF(H706&gt;=60,"High",IF(H706&gt;=40,"Medium","Low"))</f>
        <v>Low</v>
      </c>
      <c r="V706" t="str">
        <f t="shared" ref="V706:V769" si="105">IF(L706="Storm","High Risk",IF(L706="Rain","Medium Risk","Low Risk"))</f>
        <v>Low Risk</v>
      </c>
      <c r="W706" t="str">
        <f t="shared" ref="W706:W769" si="106">TEXT(A706,"mmm")</f>
        <v>Aug</v>
      </c>
      <c r="X706">
        <f t="shared" si="98"/>
        <v>2025</v>
      </c>
    </row>
    <row r="707" spans="1:24" x14ac:dyDescent="0.35">
      <c r="A707" s="3">
        <v>45963</v>
      </c>
      <c r="B707" t="s">
        <v>250</v>
      </c>
      <c r="C707" t="s">
        <v>52</v>
      </c>
      <c r="D707" t="s">
        <v>853</v>
      </c>
      <c r="E707" t="s">
        <v>55</v>
      </c>
      <c r="F707" t="s">
        <v>48</v>
      </c>
      <c r="G707" t="s">
        <v>71</v>
      </c>
      <c r="H707">
        <v>79.3</v>
      </c>
      <c r="I707">
        <v>2696</v>
      </c>
      <c r="J707">
        <v>55</v>
      </c>
      <c r="K707">
        <v>21.7</v>
      </c>
      <c r="L707" t="s">
        <v>78</v>
      </c>
      <c r="M707">
        <v>55147.82</v>
      </c>
      <c r="N707">
        <v>8735</v>
      </c>
      <c r="O707" t="s">
        <v>31</v>
      </c>
      <c r="P707" t="str">
        <f t="shared" si="99"/>
        <v>No</v>
      </c>
      <c r="Q707">
        <f t="shared" si="100"/>
        <v>34</v>
      </c>
      <c r="R707">
        <f t="shared" si="101"/>
        <v>20.46</v>
      </c>
      <c r="S707">
        <f t="shared" si="102"/>
        <v>6.31</v>
      </c>
      <c r="T707" t="str">
        <f t="shared" si="103"/>
        <v>On Time</v>
      </c>
      <c r="U707" t="str">
        <f t="shared" si="104"/>
        <v>High</v>
      </c>
      <c r="V707" t="str">
        <f t="shared" si="105"/>
        <v>Low Risk</v>
      </c>
      <c r="W707" t="str">
        <f t="shared" si="106"/>
        <v>Nov</v>
      </c>
      <c r="X707">
        <f t="shared" ref="X707:X770" si="107">YEAR(A707)</f>
        <v>2025</v>
      </c>
    </row>
    <row r="708" spans="1:24" x14ac:dyDescent="0.35">
      <c r="A708" s="3">
        <v>45904</v>
      </c>
      <c r="B708" t="s">
        <v>430</v>
      </c>
      <c r="C708" t="s">
        <v>69</v>
      </c>
      <c r="D708" t="s">
        <v>854</v>
      </c>
      <c r="E708" t="s">
        <v>28</v>
      </c>
      <c r="F708" t="s">
        <v>41</v>
      </c>
      <c r="G708" t="s">
        <v>35</v>
      </c>
      <c r="H708">
        <v>62.9</v>
      </c>
      <c r="I708">
        <v>3582</v>
      </c>
      <c r="J708">
        <v>77</v>
      </c>
      <c r="K708">
        <v>10.4</v>
      </c>
      <c r="L708" t="s">
        <v>78</v>
      </c>
      <c r="M708">
        <v>39280.07</v>
      </c>
      <c r="N708">
        <v>13564</v>
      </c>
      <c r="O708" t="s">
        <v>91</v>
      </c>
      <c r="P708" t="str">
        <f t="shared" si="99"/>
        <v>No</v>
      </c>
      <c r="Q708">
        <f t="shared" si="100"/>
        <v>56.95</v>
      </c>
      <c r="R708">
        <f t="shared" si="101"/>
        <v>10.97</v>
      </c>
      <c r="S708">
        <f t="shared" si="102"/>
        <v>2.9</v>
      </c>
      <c r="T708" t="str">
        <f t="shared" si="103"/>
        <v>On Time</v>
      </c>
      <c r="U708" t="str">
        <f t="shared" si="104"/>
        <v>High</v>
      </c>
      <c r="V708" t="str">
        <f t="shared" si="105"/>
        <v>Low Risk</v>
      </c>
      <c r="W708" t="str">
        <f t="shared" si="106"/>
        <v>Sep</v>
      </c>
      <c r="X708">
        <f t="shared" si="107"/>
        <v>2025</v>
      </c>
    </row>
    <row r="709" spans="1:24" x14ac:dyDescent="0.35">
      <c r="A709" s="3">
        <v>45679</v>
      </c>
      <c r="B709" t="s">
        <v>256</v>
      </c>
      <c r="C709" t="s">
        <v>130</v>
      </c>
      <c r="D709" t="s">
        <v>855</v>
      </c>
      <c r="E709" t="s">
        <v>63</v>
      </c>
      <c r="F709" t="s">
        <v>27</v>
      </c>
      <c r="G709" t="s">
        <v>71</v>
      </c>
      <c r="H709">
        <v>30.4</v>
      </c>
      <c r="I709">
        <v>1022</v>
      </c>
      <c r="J709">
        <v>41</v>
      </c>
      <c r="K709">
        <v>10.7</v>
      </c>
      <c r="L709" t="s">
        <v>30</v>
      </c>
      <c r="M709">
        <v>16854.46</v>
      </c>
      <c r="N709">
        <v>8934</v>
      </c>
      <c r="O709" t="s">
        <v>91</v>
      </c>
      <c r="P709" t="str">
        <f t="shared" si="99"/>
        <v>Yes</v>
      </c>
      <c r="Q709">
        <f t="shared" si="100"/>
        <v>33.619999999999997</v>
      </c>
      <c r="R709">
        <f t="shared" si="101"/>
        <v>16.489999999999998</v>
      </c>
      <c r="S709">
        <f t="shared" si="102"/>
        <v>1.89</v>
      </c>
      <c r="T709" t="str">
        <f t="shared" si="103"/>
        <v>Delayed</v>
      </c>
      <c r="U709" t="str">
        <f t="shared" si="104"/>
        <v>Low</v>
      </c>
      <c r="V709" t="str">
        <f t="shared" si="105"/>
        <v>Medium Risk</v>
      </c>
      <c r="W709" t="str">
        <f t="shared" si="106"/>
        <v>Jan</v>
      </c>
      <c r="X709">
        <f t="shared" si="107"/>
        <v>2025</v>
      </c>
    </row>
    <row r="710" spans="1:24" x14ac:dyDescent="0.35">
      <c r="A710" s="3">
        <v>45699</v>
      </c>
      <c r="B710" t="s">
        <v>185</v>
      </c>
      <c r="C710" t="s">
        <v>69</v>
      </c>
      <c r="D710" t="s">
        <v>856</v>
      </c>
      <c r="E710" t="s">
        <v>27</v>
      </c>
      <c r="F710" t="s">
        <v>66</v>
      </c>
      <c r="G710" t="s">
        <v>29</v>
      </c>
      <c r="H710">
        <v>24.4</v>
      </c>
      <c r="I710">
        <v>4893</v>
      </c>
      <c r="J710">
        <v>119</v>
      </c>
      <c r="K710">
        <v>20.8</v>
      </c>
      <c r="L710" t="s">
        <v>78</v>
      </c>
      <c r="M710">
        <v>13974.59</v>
      </c>
      <c r="N710">
        <v>5694</v>
      </c>
      <c r="O710" t="s">
        <v>84</v>
      </c>
      <c r="P710" t="str">
        <f t="shared" si="99"/>
        <v>No</v>
      </c>
      <c r="Q710">
        <f t="shared" si="100"/>
        <v>200.53</v>
      </c>
      <c r="R710">
        <f t="shared" si="101"/>
        <v>2.86</v>
      </c>
      <c r="S710">
        <f t="shared" si="102"/>
        <v>2.4500000000000002</v>
      </c>
      <c r="T710" t="str">
        <f t="shared" si="103"/>
        <v>On Time</v>
      </c>
      <c r="U710" t="str">
        <f t="shared" si="104"/>
        <v>Low</v>
      </c>
      <c r="V710" t="str">
        <f t="shared" si="105"/>
        <v>Low Risk</v>
      </c>
      <c r="W710" t="str">
        <f t="shared" si="106"/>
        <v>Feb</v>
      </c>
      <c r="X710">
        <f t="shared" si="107"/>
        <v>2025</v>
      </c>
    </row>
    <row r="711" spans="1:24" x14ac:dyDescent="0.35">
      <c r="A711" s="3">
        <v>45667</v>
      </c>
      <c r="B711" t="s">
        <v>148</v>
      </c>
      <c r="C711" t="s">
        <v>130</v>
      </c>
      <c r="D711" t="s">
        <v>857</v>
      </c>
      <c r="E711" t="s">
        <v>27</v>
      </c>
      <c r="F711" t="s">
        <v>54</v>
      </c>
      <c r="G711" t="s">
        <v>71</v>
      </c>
      <c r="H711">
        <v>73.8</v>
      </c>
      <c r="I711">
        <v>4519</v>
      </c>
      <c r="J711">
        <v>31</v>
      </c>
      <c r="K711">
        <v>10.6</v>
      </c>
      <c r="L711" t="s">
        <v>78</v>
      </c>
      <c r="M711">
        <v>47256.86</v>
      </c>
      <c r="N711">
        <v>14127</v>
      </c>
      <c r="O711" t="s">
        <v>67</v>
      </c>
      <c r="P711" t="str">
        <f t="shared" si="99"/>
        <v>No</v>
      </c>
      <c r="Q711">
        <f t="shared" si="100"/>
        <v>61.23</v>
      </c>
      <c r="R711">
        <f t="shared" si="101"/>
        <v>10.46</v>
      </c>
      <c r="S711">
        <f t="shared" si="102"/>
        <v>3.35</v>
      </c>
      <c r="T711" t="str">
        <f t="shared" si="103"/>
        <v>On Time</v>
      </c>
      <c r="U711" t="str">
        <f t="shared" si="104"/>
        <v>High</v>
      </c>
      <c r="V711" t="str">
        <f t="shared" si="105"/>
        <v>Low Risk</v>
      </c>
      <c r="W711" t="str">
        <f t="shared" si="106"/>
        <v>Jan</v>
      </c>
      <c r="X711">
        <f t="shared" si="107"/>
        <v>2025</v>
      </c>
    </row>
    <row r="712" spans="1:24" x14ac:dyDescent="0.35">
      <c r="A712" s="3">
        <v>45689</v>
      </c>
      <c r="B712" t="s">
        <v>64</v>
      </c>
      <c r="C712" t="s">
        <v>130</v>
      </c>
      <c r="D712" t="s">
        <v>858</v>
      </c>
      <c r="E712" t="s">
        <v>63</v>
      </c>
      <c r="F712" t="s">
        <v>54</v>
      </c>
      <c r="G712" t="s">
        <v>42</v>
      </c>
      <c r="H712">
        <v>32.200000000000003</v>
      </c>
      <c r="I712">
        <v>2569</v>
      </c>
      <c r="J712">
        <v>24</v>
      </c>
      <c r="K712">
        <v>15.3</v>
      </c>
      <c r="L712" t="s">
        <v>78</v>
      </c>
      <c r="M712">
        <v>17063.39</v>
      </c>
      <c r="N712">
        <v>25406</v>
      </c>
      <c r="O712" t="s">
        <v>50</v>
      </c>
      <c r="P712" t="str">
        <f t="shared" si="99"/>
        <v>No</v>
      </c>
      <c r="Q712">
        <f t="shared" si="100"/>
        <v>79.78</v>
      </c>
      <c r="R712">
        <f t="shared" si="101"/>
        <v>6.64</v>
      </c>
      <c r="S712">
        <f t="shared" si="102"/>
        <v>0.67</v>
      </c>
      <c r="T712" t="str">
        <f t="shared" si="103"/>
        <v>On Time</v>
      </c>
      <c r="U712" t="str">
        <f t="shared" si="104"/>
        <v>Low</v>
      </c>
      <c r="V712" t="str">
        <f t="shared" si="105"/>
        <v>Low Risk</v>
      </c>
      <c r="W712" t="str">
        <f t="shared" si="106"/>
        <v>Feb</v>
      </c>
      <c r="X712">
        <f t="shared" si="107"/>
        <v>2025</v>
      </c>
    </row>
    <row r="713" spans="1:24" x14ac:dyDescent="0.35">
      <c r="A713" s="3">
        <v>45911</v>
      </c>
      <c r="B713" t="s">
        <v>185</v>
      </c>
      <c r="C713" t="s">
        <v>130</v>
      </c>
      <c r="D713" t="s">
        <v>859</v>
      </c>
      <c r="E713" t="s">
        <v>27</v>
      </c>
      <c r="F713" t="s">
        <v>63</v>
      </c>
      <c r="G713" t="s">
        <v>42</v>
      </c>
      <c r="H713">
        <v>23.4</v>
      </c>
      <c r="I713">
        <v>1373</v>
      </c>
      <c r="J713">
        <v>106</v>
      </c>
      <c r="K713">
        <v>20.7</v>
      </c>
      <c r="L713" t="s">
        <v>43</v>
      </c>
      <c r="M713">
        <v>12709.4</v>
      </c>
      <c r="N713">
        <v>25125</v>
      </c>
      <c r="O713" t="s">
        <v>59</v>
      </c>
      <c r="P713" t="str">
        <f t="shared" si="99"/>
        <v>Yes</v>
      </c>
      <c r="Q713">
        <f t="shared" si="100"/>
        <v>58.68</v>
      </c>
      <c r="R713">
        <f t="shared" si="101"/>
        <v>9.26</v>
      </c>
      <c r="S713">
        <f t="shared" si="102"/>
        <v>0.51</v>
      </c>
      <c r="T713" t="str">
        <f t="shared" si="103"/>
        <v>Delayed</v>
      </c>
      <c r="U713" t="str">
        <f t="shared" si="104"/>
        <v>Low</v>
      </c>
      <c r="V713" t="str">
        <f t="shared" si="105"/>
        <v>Low Risk</v>
      </c>
      <c r="W713" t="str">
        <f t="shared" si="106"/>
        <v>Sep</v>
      </c>
      <c r="X713">
        <f t="shared" si="107"/>
        <v>2025</v>
      </c>
    </row>
    <row r="714" spans="1:24" x14ac:dyDescent="0.35">
      <c r="A714" s="3">
        <v>45887</v>
      </c>
      <c r="B714" t="s">
        <v>430</v>
      </c>
      <c r="C714" t="s">
        <v>69</v>
      </c>
      <c r="D714" t="s">
        <v>860</v>
      </c>
      <c r="E714" t="s">
        <v>55</v>
      </c>
      <c r="F714" t="s">
        <v>63</v>
      </c>
      <c r="G714" t="s">
        <v>35</v>
      </c>
      <c r="H714">
        <v>79.599999999999994</v>
      </c>
      <c r="I714">
        <v>1609</v>
      </c>
      <c r="J714">
        <v>24</v>
      </c>
      <c r="K714">
        <v>10.3</v>
      </c>
      <c r="L714" t="s">
        <v>30</v>
      </c>
      <c r="M714">
        <v>41279.410000000003</v>
      </c>
      <c r="N714">
        <v>7875</v>
      </c>
      <c r="O714" t="s">
        <v>31</v>
      </c>
      <c r="P714" t="str">
        <f t="shared" si="99"/>
        <v>Yes</v>
      </c>
      <c r="Q714">
        <f t="shared" si="100"/>
        <v>20.21</v>
      </c>
      <c r="R714">
        <f t="shared" si="101"/>
        <v>25.66</v>
      </c>
      <c r="S714">
        <f t="shared" si="102"/>
        <v>5.24</v>
      </c>
      <c r="T714" t="str">
        <f t="shared" si="103"/>
        <v>Delayed</v>
      </c>
      <c r="U714" t="str">
        <f t="shared" si="104"/>
        <v>High</v>
      </c>
      <c r="V714" t="str">
        <f t="shared" si="105"/>
        <v>Medium Risk</v>
      </c>
      <c r="W714" t="str">
        <f t="shared" si="106"/>
        <v>Aug</v>
      </c>
      <c r="X714">
        <f t="shared" si="107"/>
        <v>2025</v>
      </c>
    </row>
    <row r="715" spans="1:24" x14ac:dyDescent="0.35">
      <c r="A715" s="3">
        <v>45914</v>
      </c>
      <c r="B715" t="s">
        <v>217</v>
      </c>
      <c r="C715" t="s">
        <v>69</v>
      </c>
      <c r="D715" t="s">
        <v>861</v>
      </c>
      <c r="E715" t="s">
        <v>66</v>
      </c>
      <c r="F715" t="s">
        <v>41</v>
      </c>
      <c r="G715" t="s">
        <v>35</v>
      </c>
      <c r="H715">
        <v>74.2</v>
      </c>
      <c r="I715">
        <v>2578</v>
      </c>
      <c r="J715">
        <v>104</v>
      </c>
      <c r="K715">
        <v>10.3</v>
      </c>
      <c r="L715" t="s">
        <v>43</v>
      </c>
      <c r="M715">
        <v>33669.760000000002</v>
      </c>
      <c r="N715">
        <v>26951</v>
      </c>
      <c r="O715" t="s">
        <v>91</v>
      </c>
      <c r="P715" t="str">
        <f t="shared" si="99"/>
        <v>Yes</v>
      </c>
      <c r="Q715">
        <f t="shared" si="100"/>
        <v>34.74</v>
      </c>
      <c r="R715">
        <f t="shared" si="101"/>
        <v>13.06</v>
      </c>
      <c r="S715">
        <f t="shared" si="102"/>
        <v>1.25</v>
      </c>
      <c r="T715" t="str">
        <f t="shared" si="103"/>
        <v>Delayed</v>
      </c>
      <c r="U715" t="str">
        <f t="shared" si="104"/>
        <v>High</v>
      </c>
      <c r="V715" t="str">
        <f t="shared" si="105"/>
        <v>Low Risk</v>
      </c>
      <c r="W715" t="str">
        <f t="shared" si="106"/>
        <v>Sep</v>
      </c>
      <c r="X715">
        <f t="shared" si="107"/>
        <v>2025</v>
      </c>
    </row>
    <row r="716" spans="1:24" x14ac:dyDescent="0.35">
      <c r="A716" s="3">
        <v>45698</v>
      </c>
      <c r="B716" t="s">
        <v>76</v>
      </c>
      <c r="C716" t="s">
        <v>52</v>
      </c>
      <c r="D716" t="s">
        <v>862</v>
      </c>
      <c r="E716" t="s">
        <v>55</v>
      </c>
      <c r="F716" t="s">
        <v>63</v>
      </c>
      <c r="G716" t="s">
        <v>71</v>
      </c>
      <c r="H716">
        <v>28.4</v>
      </c>
      <c r="I716">
        <v>1071</v>
      </c>
      <c r="J716">
        <v>35</v>
      </c>
      <c r="K716">
        <v>10.199999999999999</v>
      </c>
      <c r="L716" t="s">
        <v>49</v>
      </c>
      <c r="M716">
        <v>16736.759999999998</v>
      </c>
      <c r="N716">
        <v>25861</v>
      </c>
      <c r="O716" t="s">
        <v>50</v>
      </c>
      <c r="P716" t="str">
        <f t="shared" si="99"/>
        <v>Yes</v>
      </c>
      <c r="Q716">
        <f t="shared" si="100"/>
        <v>37.71</v>
      </c>
      <c r="R716">
        <f t="shared" si="101"/>
        <v>15.63</v>
      </c>
      <c r="S716">
        <f t="shared" si="102"/>
        <v>0.65</v>
      </c>
      <c r="T716" t="str">
        <f t="shared" si="103"/>
        <v>Delayed</v>
      </c>
      <c r="U716" t="str">
        <f t="shared" si="104"/>
        <v>Low</v>
      </c>
      <c r="V716" t="str">
        <f t="shared" si="105"/>
        <v>High Risk</v>
      </c>
      <c r="W716" t="str">
        <f t="shared" si="106"/>
        <v>Feb</v>
      </c>
      <c r="X716">
        <f t="shared" si="107"/>
        <v>2025</v>
      </c>
    </row>
    <row r="717" spans="1:24" x14ac:dyDescent="0.35">
      <c r="A717" s="3">
        <v>45713</v>
      </c>
      <c r="B717" t="s">
        <v>250</v>
      </c>
      <c r="C717" t="s">
        <v>69</v>
      </c>
      <c r="D717" t="s">
        <v>863</v>
      </c>
      <c r="E717" t="s">
        <v>28</v>
      </c>
      <c r="F717" t="s">
        <v>55</v>
      </c>
      <c r="G717" t="s">
        <v>35</v>
      </c>
      <c r="H717">
        <v>46</v>
      </c>
      <c r="I717">
        <v>1901</v>
      </c>
      <c r="J717">
        <v>71</v>
      </c>
      <c r="K717">
        <v>14.5</v>
      </c>
      <c r="L717" t="s">
        <v>30</v>
      </c>
      <c r="M717">
        <v>25605.88</v>
      </c>
      <c r="N717">
        <v>21124</v>
      </c>
      <c r="O717" t="s">
        <v>84</v>
      </c>
      <c r="P717" t="str">
        <f t="shared" si="99"/>
        <v>Yes</v>
      </c>
      <c r="Q717">
        <f t="shared" si="100"/>
        <v>41.33</v>
      </c>
      <c r="R717">
        <f t="shared" si="101"/>
        <v>13.47</v>
      </c>
      <c r="S717">
        <f t="shared" si="102"/>
        <v>1.21</v>
      </c>
      <c r="T717" t="str">
        <f t="shared" si="103"/>
        <v>Delayed</v>
      </c>
      <c r="U717" t="str">
        <f t="shared" si="104"/>
        <v>Medium</v>
      </c>
      <c r="V717" t="str">
        <f t="shared" si="105"/>
        <v>Medium Risk</v>
      </c>
      <c r="W717" t="str">
        <f t="shared" si="106"/>
        <v>Feb</v>
      </c>
      <c r="X717">
        <f t="shared" si="107"/>
        <v>2025</v>
      </c>
    </row>
    <row r="718" spans="1:24" x14ac:dyDescent="0.35">
      <c r="A718" s="3">
        <v>45714</v>
      </c>
      <c r="B718" t="s">
        <v>24</v>
      </c>
      <c r="C718" t="s">
        <v>130</v>
      </c>
      <c r="D718" t="s">
        <v>864</v>
      </c>
      <c r="E718" t="s">
        <v>41</v>
      </c>
      <c r="F718" t="s">
        <v>54</v>
      </c>
      <c r="G718" t="s">
        <v>29</v>
      </c>
      <c r="H718">
        <v>76.599999999999994</v>
      </c>
      <c r="I718">
        <v>3944</v>
      </c>
      <c r="J718">
        <v>69</v>
      </c>
      <c r="K718">
        <v>17.5</v>
      </c>
      <c r="L718" t="s">
        <v>43</v>
      </c>
      <c r="M718">
        <v>45547.46</v>
      </c>
      <c r="N718">
        <v>26425</v>
      </c>
      <c r="O718" t="s">
        <v>44</v>
      </c>
      <c r="P718" t="str">
        <f t="shared" si="99"/>
        <v>Yes</v>
      </c>
      <c r="Q718">
        <f t="shared" si="100"/>
        <v>51.49</v>
      </c>
      <c r="R718">
        <f t="shared" si="101"/>
        <v>11.55</v>
      </c>
      <c r="S718">
        <f t="shared" si="102"/>
        <v>1.72</v>
      </c>
      <c r="T718" t="str">
        <f t="shared" si="103"/>
        <v>Delayed</v>
      </c>
      <c r="U718" t="str">
        <f t="shared" si="104"/>
        <v>High</v>
      </c>
      <c r="V718" t="str">
        <f t="shared" si="105"/>
        <v>Low Risk</v>
      </c>
      <c r="W718" t="str">
        <f t="shared" si="106"/>
        <v>Feb</v>
      </c>
      <c r="X718">
        <f t="shared" si="107"/>
        <v>2025</v>
      </c>
    </row>
    <row r="719" spans="1:24" x14ac:dyDescent="0.35">
      <c r="A719" s="3">
        <v>45990</v>
      </c>
      <c r="B719" t="s">
        <v>256</v>
      </c>
      <c r="C719" t="s">
        <v>130</v>
      </c>
      <c r="D719" t="s">
        <v>865</v>
      </c>
      <c r="E719" t="s">
        <v>55</v>
      </c>
      <c r="F719" t="s">
        <v>28</v>
      </c>
      <c r="G719" t="s">
        <v>71</v>
      </c>
      <c r="H719">
        <v>61.3</v>
      </c>
      <c r="I719">
        <v>4888</v>
      </c>
      <c r="J719">
        <v>101</v>
      </c>
      <c r="K719">
        <v>10.199999999999999</v>
      </c>
      <c r="L719" t="s">
        <v>78</v>
      </c>
      <c r="M719">
        <v>39841.82</v>
      </c>
      <c r="N719">
        <v>7120</v>
      </c>
      <c r="O719" t="s">
        <v>50</v>
      </c>
      <c r="P719" t="str">
        <f t="shared" si="99"/>
        <v>No</v>
      </c>
      <c r="Q719">
        <f t="shared" si="100"/>
        <v>79.739999999999995</v>
      </c>
      <c r="R719">
        <f t="shared" si="101"/>
        <v>8.15</v>
      </c>
      <c r="S719">
        <f t="shared" si="102"/>
        <v>5.6</v>
      </c>
      <c r="T719" t="str">
        <f t="shared" si="103"/>
        <v>On Time</v>
      </c>
      <c r="U719" t="str">
        <f t="shared" si="104"/>
        <v>High</v>
      </c>
      <c r="V719" t="str">
        <f t="shared" si="105"/>
        <v>Low Risk</v>
      </c>
      <c r="W719" t="str">
        <f t="shared" si="106"/>
        <v>Nov</v>
      </c>
      <c r="X719">
        <f t="shared" si="107"/>
        <v>2025</v>
      </c>
    </row>
    <row r="720" spans="1:24" x14ac:dyDescent="0.35">
      <c r="A720" s="3">
        <v>45753</v>
      </c>
      <c r="B720" t="s">
        <v>108</v>
      </c>
      <c r="C720" t="s">
        <v>109</v>
      </c>
      <c r="D720" t="s">
        <v>866</v>
      </c>
      <c r="E720" t="s">
        <v>55</v>
      </c>
      <c r="F720" t="s">
        <v>28</v>
      </c>
      <c r="G720" t="s">
        <v>35</v>
      </c>
      <c r="H720">
        <v>71.3</v>
      </c>
      <c r="I720">
        <v>4182</v>
      </c>
      <c r="J720">
        <v>120</v>
      </c>
      <c r="K720">
        <v>19.600000000000001</v>
      </c>
      <c r="L720" t="s">
        <v>43</v>
      </c>
      <c r="M720">
        <v>43189.13</v>
      </c>
      <c r="N720">
        <v>12685</v>
      </c>
      <c r="O720" t="s">
        <v>44</v>
      </c>
      <c r="P720" t="str">
        <f t="shared" si="99"/>
        <v>Yes</v>
      </c>
      <c r="Q720">
        <f t="shared" si="100"/>
        <v>58.65</v>
      </c>
      <c r="R720">
        <f t="shared" si="101"/>
        <v>10.33</v>
      </c>
      <c r="S720">
        <f t="shared" si="102"/>
        <v>3.4</v>
      </c>
      <c r="T720" t="str">
        <f t="shared" si="103"/>
        <v>Delayed</v>
      </c>
      <c r="U720" t="str">
        <f t="shared" si="104"/>
        <v>High</v>
      </c>
      <c r="V720" t="str">
        <f t="shared" si="105"/>
        <v>Low Risk</v>
      </c>
      <c r="W720" t="str">
        <f t="shared" si="106"/>
        <v>Apr</v>
      </c>
      <c r="X720">
        <f t="shared" si="107"/>
        <v>2025</v>
      </c>
    </row>
    <row r="721" spans="1:24" x14ac:dyDescent="0.35">
      <c r="A721" s="3">
        <v>45735</v>
      </c>
      <c r="B721" t="s">
        <v>24</v>
      </c>
      <c r="C721" t="s">
        <v>130</v>
      </c>
      <c r="D721" t="s">
        <v>867</v>
      </c>
      <c r="E721" t="s">
        <v>66</v>
      </c>
      <c r="F721" t="s">
        <v>27</v>
      </c>
      <c r="G721" t="s">
        <v>42</v>
      </c>
      <c r="H721">
        <v>78.400000000000006</v>
      </c>
      <c r="I721">
        <v>3568</v>
      </c>
      <c r="J721">
        <v>95</v>
      </c>
      <c r="K721">
        <v>20.7</v>
      </c>
      <c r="L721" t="s">
        <v>49</v>
      </c>
      <c r="M721">
        <v>48583.83</v>
      </c>
      <c r="N721">
        <v>28084</v>
      </c>
      <c r="O721" t="s">
        <v>50</v>
      </c>
      <c r="P721" t="str">
        <f t="shared" si="99"/>
        <v>Yes</v>
      </c>
      <c r="Q721">
        <f t="shared" si="100"/>
        <v>45.51</v>
      </c>
      <c r="R721">
        <f t="shared" si="101"/>
        <v>13.62</v>
      </c>
      <c r="S721">
        <f t="shared" si="102"/>
        <v>1.73</v>
      </c>
      <c r="T721" t="str">
        <f t="shared" si="103"/>
        <v>Delayed</v>
      </c>
      <c r="U721" t="str">
        <f t="shared" si="104"/>
        <v>High</v>
      </c>
      <c r="V721" t="str">
        <f t="shared" si="105"/>
        <v>High Risk</v>
      </c>
      <c r="W721" t="str">
        <f t="shared" si="106"/>
        <v>Mar</v>
      </c>
      <c r="X721">
        <f t="shared" si="107"/>
        <v>2025</v>
      </c>
    </row>
    <row r="722" spans="1:24" x14ac:dyDescent="0.35">
      <c r="A722" s="3">
        <v>45955</v>
      </c>
      <c r="B722" t="s">
        <v>64</v>
      </c>
      <c r="C722" t="s">
        <v>69</v>
      </c>
      <c r="D722" t="s">
        <v>868</v>
      </c>
      <c r="E722" t="s">
        <v>27</v>
      </c>
      <c r="F722" t="s">
        <v>55</v>
      </c>
      <c r="G722" t="s">
        <v>29</v>
      </c>
      <c r="H722">
        <v>78.3</v>
      </c>
      <c r="I722">
        <v>1807</v>
      </c>
      <c r="J722">
        <v>108</v>
      </c>
      <c r="K722">
        <v>19.600000000000001</v>
      </c>
      <c r="L722" t="s">
        <v>78</v>
      </c>
      <c r="M722">
        <v>47008.17</v>
      </c>
      <c r="N722">
        <v>19293</v>
      </c>
      <c r="O722" t="s">
        <v>44</v>
      </c>
      <c r="P722" t="str">
        <f t="shared" si="99"/>
        <v>No</v>
      </c>
      <c r="Q722">
        <f t="shared" si="100"/>
        <v>23.08</v>
      </c>
      <c r="R722">
        <f t="shared" si="101"/>
        <v>26.01</v>
      </c>
      <c r="S722">
        <f t="shared" si="102"/>
        <v>2.44</v>
      </c>
      <c r="T722" t="str">
        <f t="shared" si="103"/>
        <v>On Time</v>
      </c>
      <c r="U722" t="str">
        <f t="shared" si="104"/>
        <v>High</v>
      </c>
      <c r="V722" t="str">
        <f t="shared" si="105"/>
        <v>Low Risk</v>
      </c>
      <c r="W722" t="str">
        <f t="shared" si="106"/>
        <v>Oct</v>
      </c>
      <c r="X722">
        <f t="shared" si="107"/>
        <v>2025</v>
      </c>
    </row>
    <row r="723" spans="1:24" x14ac:dyDescent="0.35">
      <c r="A723" s="3">
        <v>45815</v>
      </c>
      <c r="B723" t="s">
        <v>417</v>
      </c>
      <c r="C723" t="s">
        <v>69</v>
      </c>
      <c r="D723" t="s">
        <v>869</v>
      </c>
      <c r="E723" t="s">
        <v>54</v>
      </c>
      <c r="F723" t="s">
        <v>27</v>
      </c>
      <c r="G723" t="s">
        <v>71</v>
      </c>
      <c r="H723">
        <v>23.1</v>
      </c>
      <c r="I723">
        <v>1288</v>
      </c>
      <c r="J723">
        <v>46</v>
      </c>
      <c r="K723">
        <v>17.600000000000001</v>
      </c>
      <c r="L723" t="s">
        <v>78</v>
      </c>
      <c r="M723">
        <v>12614.28</v>
      </c>
      <c r="N723">
        <v>19657</v>
      </c>
      <c r="O723" t="s">
        <v>50</v>
      </c>
      <c r="P723" t="str">
        <f t="shared" si="99"/>
        <v>No</v>
      </c>
      <c r="Q723">
        <f t="shared" si="100"/>
        <v>55.76</v>
      </c>
      <c r="R723">
        <f t="shared" si="101"/>
        <v>9.7899999999999991</v>
      </c>
      <c r="S723">
        <f t="shared" si="102"/>
        <v>0.64</v>
      </c>
      <c r="T723" t="str">
        <f t="shared" si="103"/>
        <v>On Time</v>
      </c>
      <c r="U723" t="str">
        <f t="shared" si="104"/>
        <v>Low</v>
      </c>
      <c r="V723" t="str">
        <f t="shared" si="105"/>
        <v>Low Risk</v>
      </c>
      <c r="W723" t="str">
        <f t="shared" si="106"/>
        <v>Jun</v>
      </c>
      <c r="X723">
        <f t="shared" si="107"/>
        <v>2025</v>
      </c>
    </row>
    <row r="724" spans="1:24" x14ac:dyDescent="0.35">
      <c r="A724" s="3">
        <v>46017</v>
      </c>
      <c r="B724" t="s">
        <v>46</v>
      </c>
      <c r="C724" t="s">
        <v>130</v>
      </c>
      <c r="D724" t="s">
        <v>870</v>
      </c>
      <c r="E724" t="s">
        <v>54</v>
      </c>
      <c r="F724" t="s">
        <v>55</v>
      </c>
      <c r="G724" t="s">
        <v>35</v>
      </c>
      <c r="H724">
        <v>27.6</v>
      </c>
      <c r="I724">
        <v>1214</v>
      </c>
      <c r="J724">
        <v>29</v>
      </c>
      <c r="K724">
        <v>11.7</v>
      </c>
      <c r="L724" t="s">
        <v>30</v>
      </c>
      <c r="M724">
        <v>17640.96</v>
      </c>
      <c r="N724">
        <v>16074</v>
      </c>
      <c r="O724" t="s">
        <v>67</v>
      </c>
      <c r="P724" t="str">
        <f t="shared" si="99"/>
        <v>Yes</v>
      </c>
      <c r="Q724">
        <f t="shared" si="100"/>
        <v>43.99</v>
      </c>
      <c r="R724">
        <f t="shared" si="101"/>
        <v>14.53</v>
      </c>
      <c r="S724">
        <f t="shared" si="102"/>
        <v>1.1000000000000001</v>
      </c>
      <c r="T724" t="str">
        <f t="shared" si="103"/>
        <v>Delayed</v>
      </c>
      <c r="U724" t="str">
        <f t="shared" si="104"/>
        <v>Low</v>
      </c>
      <c r="V724" t="str">
        <f t="shared" si="105"/>
        <v>Medium Risk</v>
      </c>
      <c r="W724" t="str">
        <f t="shared" si="106"/>
        <v>Dec</v>
      </c>
      <c r="X724">
        <f t="shared" si="107"/>
        <v>2025</v>
      </c>
    </row>
    <row r="725" spans="1:24" x14ac:dyDescent="0.35">
      <c r="A725" s="3">
        <v>45908</v>
      </c>
      <c r="B725" t="s">
        <v>125</v>
      </c>
      <c r="C725" t="s">
        <v>39</v>
      </c>
      <c r="D725" t="s">
        <v>871</v>
      </c>
      <c r="E725" t="s">
        <v>66</v>
      </c>
      <c r="F725" t="s">
        <v>63</v>
      </c>
      <c r="G725" t="s">
        <v>29</v>
      </c>
      <c r="H725">
        <v>33.9</v>
      </c>
      <c r="I725">
        <v>2720</v>
      </c>
      <c r="J725">
        <v>113</v>
      </c>
      <c r="K725">
        <v>15.6</v>
      </c>
      <c r="L725" t="s">
        <v>78</v>
      </c>
      <c r="M725">
        <v>21519.72</v>
      </c>
      <c r="N725">
        <v>11005</v>
      </c>
      <c r="O725" t="s">
        <v>31</v>
      </c>
      <c r="P725" t="str">
        <f t="shared" si="99"/>
        <v>No</v>
      </c>
      <c r="Q725">
        <f t="shared" si="100"/>
        <v>80.239999999999995</v>
      </c>
      <c r="R725">
        <f t="shared" si="101"/>
        <v>7.91</v>
      </c>
      <c r="S725">
        <f t="shared" si="102"/>
        <v>1.96</v>
      </c>
      <c r="T725" t="str">
        <f t="shared" si="103"/>
        <v>On Time</v>
      </c>
      <c r="U725" t="str">
        <f t="shared" si="104"/>
        <v>Low</v>
      </c>
      <c r="V725" t="str">
        <f t="shared" si="105"/>
        <v>Low Risk</v>
      </c>
      <c r="W725" t="str">
        <f t="shared" si="106"/>
        <v>Sep</v>
      </c>
      <c r="X725">
        <f t="shared" si="107"/>
        <v>2025</v>
      </c>
    </row>
    <row r="726" spans="1:24" x14ac:dyDescent="0.35">
      <c r="A726" s="3">
        <v>45857</v>
      </c>
      <c r="B726" t="s">
        <v>195</v>
      </c>
      <c r="C726" t="s">
        <v>52</v>
      </c>
      <c r="D726" t="s">
        <v>872</v>
      </c>
      <c r="E726" t="s">
        <v>41</v>
      </c>
      <c r="F726" t="s">
        <v>66</v>
      </c>
      <c r="G726" t="s">
        <v>29</v>
      </c>
      <c r="H726">
        <v>65.7</v>
      </c>
      <c r="I726">
        <v>724</v>
      </c>
      <c r="J726">
        <v>48</v>
      </c>
      <c r="K726">
        <v>19.8</v>
      </c>
      <c r="L726" t="s">
        <v>30</v>
      </c>
      <c r="M726">
        <v>44841.02</v>
      </c>
      <c r="N726">
        <v>13533</v>
      </c>
      <c r="O726" t="s">
        <v>84</v>
      </c>
      <c r="P726" t="str">
        <f t="shared" si="99"/>
        <v>Yes</v>
      </c>
      <c r="Q726">
        <f t="shared" si="100"/>
        <v>11.02</v>
      </c>
      <c r="R726">
        <f t="shared" si="101"/>
        <v>61.94</v>
      </c>
      <c r="S726">
        <f t="shared" si="102"/>
        <v>3.31</v>
      </c>
      <c r="T726" t="str">
        <f t="shared" si="103"/>
        <v>Delayed</v>
      </c>
      <c r="U726" t="str">
        <f t="shared" si="104"/>
        <v>High</v>
      </c>
      <c r="V726" t="str">
        <f t="shared" si="105"/>
        <v>Medium Risk</v>
      </c>
      <c r="W726" t="str">
        <f t="shared" si="106"/>
        <v>Jul</v>
      </c>
      <c r="X726">
        <f t="shared" si="107"/>
        <v>2025</v>
      </c>
    </row>
    <row r="727" spans="1:24" x14ac:dyDescent="0.35">
      <c r="A727" s="3">
        <v>45664</v>
      </c>
      <c r="B727" t="s">
        <v>430</v>
      </c>
      <c r="C727" t="s">
        <v>25</v>
      </c>
      <c r="D727" t="s">
        <v>873</v>
      </c>
      <c r="E727" t="s">
        <v>41</v>
      </c>
      <c r="F727" t="s">
        <v>66</v>
      </c>
      <c r="G727" t="s">
        <v>29</v>
      </c>
      <c r="H727">
        <v>61.2</v>
      </c>
      <c r="I727">
        <v>1163</v>
      </c>
      <c r="J727">
        <v>115</v>
      </c>
      <c r="K727">
        <v>14.2</v>
      </c>
      <c r="L727" t="s">
        <v>30</v>
      </c>
      <c r="M727">
        <v>32493.040000000001</v>
      </c>
      <c r="N727">
        <v>10929</v>
      </c>
      <c r="O727" t="s">
        <v>91</v>
      </c>
      <c r="P727" t="str">
        <f t="shared" si="99"/>
        <v>Yes</v>
      </c>
      <c r="Q727">
        <f t="shared" si="100"/>
        <v>19</v>
      </c>
      <c r="R727">
        <f t="shared" si="101"/>
        <v>27.94</v>
      </c>
      <c r="S727">
        <f t="shared" si="102"/>
        <v>2.97</v>
      </c>
      <c r="T727" t="str">
        <f t="shared" si="103"/>
        <v>Delayed</v>
      </c>
      <c r="U727" t="str">
        <f t="shared" si="104"/>
        <v>High</v>
      </c>
      <c r="V727" t="str">
        <f t="shared" si="105"/>
        <v>Medium Risk</v>
      </c>
      <c r="W727" t="str">
        <f t="shared" si="106"/>
        <v>Jan</v>
      </c>
      <c r="X727">
        <f t="shared" si="107"/>
        <v>2025</v>
      </c>
    </row>
    <row r="728" spans="1:24" x14ac:dyDescent="0.35">
      <c r="A728" s="3">
        <v>45821</v>
      </c>
      <c r="B728" t="s">
        <v>309</v>
      </c>
      <c r="C728" t="s">
        <v>52</v>
      </c>
      <c r="D728" t="s">
        <v>874</v>
      </c>
      <c r="E728" t="s">
        <v>28</v>
      </c>
      <c r="F728" t="s">
        <v>63</v>
      </c>
      <c r="G728" t="s">
        <v>71</v>
      </c>
      <c r="H728">
        <v>77.2</v>
      </c>
      <c r="I728">
        <v>1054</v>
      </c>
      <c r="J728">
        <v>41</v>
      </c>
      <c r="K728">
        <v>13.2</v>
      </c>
      <c r="L728" t="s">
        <v>49</v>
      </c>
      <c r="M728">
        <v>41665.589999999997</v>
      </c>
      <c r="N728">
        <v>21478</v>
      </c>
      <c r="O728" t="s">
        <v>91</v>
      </c>
      <c r="P728" t="str">
        <f t="shared" si="99"/>
        <v>Yes</v>
      </c>
      <c r="Q728">
        <f t="shared" si="100"/>
        <v>13.65</v>
      </c>
      <c r="R728">
        <f t="shared" si="101"/>
        <v>39.53</v>
      </c>
      <c r="S728">
        <f t="shared" si="102"/>
        <v>1.94</v>
      </c>
      <c r="T728" t="str">
        <f t="shared" si="103"/>
        <v>Delayed</v>
      </c>
      <c r="U728" t="str">
        <f t="shared" si="104"/>
        <v>High</v>
      </c>
      <c r="V728" t="str">
        <f t="shared" si="105"/>
        <v>High Risk</v>
      </c>
      <c r="W728" t="str">
        <f t="shared" si="106"/>
        <v>Jun</v>
      </c>
      <c r="X728">
        <f t="shared" si="107"/>
        <v>2025</v>
      </c>
    </row>
    <row r="729" spans="1:24" x14ac:dyDescent="0.35">
      <c r="A729" s="3">
        <v>45825</v>
      </c>
      <c r="B729" t="s">
        <v>236</v>
      </c>
      <c r="C729" t="s">
        <v>25</v>
      </c>
      <c r="D729" t="s">
        <v>875</v>
      </c>
      <c r="E729" t="s">
        <v>27</v>
      </c>
      <c r="F729" t="s">
        <v>55</v>
      </c>
      <c r="G729" t="s">
        <v>29</v>
      </c>
      <c r="H729">
        <v>20.8</v>
      </c>
      <c r="I729">
        <v>3677</v>
      </c>
      <c r="J729">
        <v>52</v>
      </c>
      <c r="K729">
        <v>18</v>
      </c>
      <c r="L729" t="s">
        <v>43</v>
      </c>
      <c r="M729">
        <v>11946.11</v>
      </c>
      <c r="N729">
        <v>13752</v>
      </c>
      <c r="O729" t="s">
        <v>44</v>
      </c>
      <c r="P729" t="str">
        <f t="shared" si="99"/>
        <v>Yes</v>
      </c>
      <c r="Q729">
        <f t="shared" si="100"/>
        <v>176.78</v>
      </c>
      <c r="R729">
        <f t="shared" si="101"/>
        <v>3.25</v>
      </c>
      <c r="S729">
        <f t="shared" si="102"/>
        <v>0.87</v>
      </c>
      <c r="T729" t="str">
        <f t="shared" si="103"/>
        <v>Delayed</v>
      </c>
      <c r="U729" t="str">
        <f t="shared" si="104"/>
        <v>Low</v>
      </c>
      <c r="V729" t="str">
        <f t="shared" si="105"/>
        <v>Low Risk</v>
      </c>
      <c r="W729" t="str">
        <f t="shared" si="106"/>
        <v>Jun</v>
      </c>
      <c r="X729">
        <f t="shared" si="107"/>
        <v>2025</v>
      </c>
    </row>
    <row r="730" spans="1:24" x14ac:dyDescent="0.35">
      <c r="A730" s="3">
        <v>46021</v>
      </c>
      <c r="B730" t="s">
        <v>223</v>
      </c>
      <c r="C730" t="s">
        <v>95</v>
      </c>
      <c r="D730" t="s">
        <v>876</v>
      </c>
      <c r="E730" t="s">
        <v>66</v>
      </c>
      <c r="F730" t="s">
        <v>27</v>
      </c>
      <c r="G730" t="s">
        <v>35</v>
      </c>
      <c r="H730">
        <v>70.900000000000006</v>
      </c>
      <c r="I730">
        <v>4863</v>
      </c>
      <c r="J730">
        <v>61</v>
      </c>
      <c r="K730">
        <v>11.4</v>
      </c>
      <c r="L730" t="s">
        <v>43</v>
      </c>
      <c r="M730">
        <v>48270.62</v>
      </c>
      <c r="N730">
        <v>21149</v>
      </c>
      <c r="O730" t="s">
        <v>67</v>
      </c>
      <c r="P730" t="str">
        <f t="shared" si="99"/>
        <v>Yes</v>
      </c>
      <c r="Q730">
        <f t="shared" si="100"/>
        <v>68.59</v>
      </c>
      <c r="R730">
        <f t="shared" si="101"/>
        <v>9.93</v>
      </c>
      <c r="S730">
        <f t="shared" si="102"/>
        <v>2.2799999999999998</v>
      </c>
      <c r="T730" t="str">
        <f t="shared" si="103"/>
        <v>Delayed</v>
      </c>
      <c r="U730" t="str">
        <f t="shared" si="104"/>
        <v>High</v>
      </c>
      <c r="V730" t="str">
        <f t="shared" si="105"/>
        <v>Low Risk</v>
      </c>
      <c r="W730" t="str">
        <f t="shared" si="106"/>
        <v>Dec</v>
      </c>
      <c r="X730">
        <f t="shared" si="107"/>
        <v>2025</v>
      </c>
    </row>
    <row r="731" spans="1:24" x14ac:dyDescent="0.35">
      <c r="A731" s="3">
        <v>45870</v>
      </c>
      <c r="B731" t="s">
        <v>368</v>
      </c>
      <c r="C731" t="s">
        <v>109</v>
      </c>
      <c r="D731" t="s">
        <v>877</v>
      </c>
      <c r="E731" t="s">
        <v>27</v>
      </c>
      <c r="F731" t="s">
        <v>48</v>
      </c>
      <c r="G731" t="s">
        <v>71</v>
      </c>
      <c r="H731">
        <v>69.8</v>
      </c>
      <c r="I731">
        <v>4338</v>
      </c>
      <c r="J731">
        <v>20</v>
      </c>
      <c r="K731">
        <v>14.7</v>
      </c>
      <c r="L731" t="s">
        <v>78</v>
      </c>
      <c r="M731">
        <v>37462.11</v>
      </c>
      <c r="N731">
        <v>29454</v>
      </c>
      <c r="O731" t="s">
        <v>59</v>
      </c>
      <c r="P731" t="str">
        <f t="shared" si="99"/>
        <v>No</v>
      </c>
      <c r="Q731">
        <f t="shared" si="100"/>
        <v>62.15</v>
      </c>
      <c r="R731">
        <f t="shared" si="101"/>
        <v>8.64</v>
      </c>
      <c r="S731">
        <f t="shared" si="102"/>
        <v>1.27</v>
      </c>
      <c r="T731" t="str">
        <f t="shared" si="103"/>
        <v>On Time</v>
      </c>
      <c r="U731" t="str">
        <f t="shared" si="104"/>
        <v>High</v>
      </c>
      <c r="V731" t="str">
        <f t="shared" si="105"/>
        <v>Low Risk</v>
      </c>
      <c r="W731" t="str">
        <f t="shared" si="106"/>
        <v>Aug</v>
      </c>
      <c r="X731">
        <f t="shared" si="107"/>
        <v>2025</v>
      </c>
    </row>
    <row r="732" spans="1:24" x14ac:dyDescent="0.35">
      <c r="A732" s="3">
        <v>45740</v>
      </c>
      <c r="B732" t="s">
        <v>277</v>
      </c>
      <c r="C732" t="s">
        <v>130</v>
      </c>
      <c r="D732" t="s">
        <v>878</v>
      </c>
      <c r="E732" t="s">
        <v>48</v>
      </c>
      <c r="F732" t="s">
        <v>27</v>
      </c>
      <c r="G732" t="s">
        <v>29</v>
      </c>
      <c r="H732">
        <v>57.3</v>
      </c>
      <c r="I732">
        <v>2604</v>
      </c>
      <c r="J732">
        <v>76</v>
      </c>
      <c r="K732">
        <v>16.600000000000001</v>
      </c>
      <c r="L732" t="s">
        <v>49</v>
      </c>
      <c r="M732">
        <v>36958.53</v>
      </c>
      <c r="N732">
        <v>10624</v>
      </c>
      <c r="O732" t="s">
        <v>50</v>
      </c>
      <c r="P732" t="str">
        <f t="shared" si="99"/>
        <v>Yes</v>
      </c>
      <c r="Q732">
        <f t="shared" si="100"/>
        <v>45.45</v>
      </c>
      <c r="R732">
        <f t="shared" si="101"/>
        <v>14.19</v>
      </c>
      <c r="S732">
        <f t="shared" si="102"/>
        <v>3.48</v>
      </c>
      <c r="T732" t="str">
        <f t="shared" si="103"/>
        <v>Delayed</v>
      </c>
      <c r="U732" t="str">
        <f t="shared" si="104"/>
        <v>Medium</v>
      </c>
      <c r="V732" t="str">
        <f t="shared" si="105"/>
        <v>High Risk</v>
      </c>
      <c r="W732" t="str">
        <f t="shared" si="106"/>
        <v>Mar</v>
      </c>
      <c r="X732">
        <f t="shared" si="107"/>
        <v>2025</v>
      </c>
    </row>
    <row r="733" spans="1:24" x14ac:dyDescent="0.35">
      <c r="A733" s="3">
        <v>45915</v>
      </c>
      <c r="B733" t="s">
        <v>100</v>
      </c>
      <c r="C733" t="s">
        <v>130</v>
      </c>
      <c r="D733" t="s">
        <v>879</v>
      </c>
      <c r="E733" t="s">
        <v>28</v>
      </c>
      <c r="F733" t="s">
        <v>55</v>
      </c>
      <c r="G733" t="s">
        <v>71</v>
      </c>
      <c r="H733">
        <v>67.599999999999994</v>
      </c>
      <c r="I733">
        <v>2616</v>
      </c>
      <c r="J733">
        <v>79</v>
      </c>
      <c r="K733">
        <v>11.9</v>
      </c>
      <c r="L733" t="s">
        <v>78</v>
      </c>
      <c r="M733">
        <v>41122.019999999997</v>
      </c>
      <c r="N733">
        <v>19320</v>
      </c>
      <c r="O733" t="s">
        <v>59</v>
      </c>
      <c r="P733" t="str">
        <f t="shared" si="99"/>
        <v>No</v>
      </c>
      <c r="Q733">
        <f t="shared" si="100"/>
        <v>38.700000000000003</v>
      </c>
      <c r="R733">
        <f t="shared" si="101"/>
        <v>15.72</v>
      </c>
      <c r="S733">
        <f t="shared" si="102"/>
        <v>2.13</v>
      </c>
      <c r="T733" t="str">
        <f t="shared" si="103"/>
        <v>On Time</v>
      </c>
      <c r="U733" t="str">
        <f t="shared" si="104"/>
        <v>High</v>
      </c>
      <c r="V733" t="str">
        <f t="shared" si="105"/>
        <v>Low Risk</v>
      </c>
      <c r="W733" t="str">
        <f t="shared" si="106"/>
        <v>Sep</v>
      </c>
      <c r="X733">
        <f t="shared" si="107"/>
        <v>2025</v>
      </c>
    </row>
    <row r="734" spans="1:24" x14ac:dyDescent="0.35">
      <c r="A734" s="3">
        <v>45985</v>
      </c>
      <c r="B734" t="s">
        <v>106</v>
      </c>
      <c r="C734" t="s">
        <v>69</v>
      </c>
      <c r="D734" t="s">
        <v>880</v>
      </c>
      <c r="E734" t="s">
        <v>48</v>
      </c>
      <c r="F734" t="s">
        <v>41</v>
      </c>
      <c r="G734" t="s">
        <v>29</v>
      </c>
      <c r="H734">
        <v>50.3</v>
      </c>
      <c r="I734">
        <v>3029</v>
      </c>
      <c r="J734">
        <v>33</v>
      </c>
      <c r="K734">
        <v>19.7</v>
      </c>
      <c r="L734" t="s">
        <v>43</v>
      </c>
      <c r="M734">
        <v>34840.699999999997</v>
      </c>
      <c r="N734">
        <v>19165</v>
      </c>
      <c r="O734" t="s">
        <v>59</v>
      </c>
      <c r="P734" t="str">
        <f t="shared" si="99"/>
        <v>Yes</v>
      </c>
      <c r="Q734">
        <f t="shared" si="100"/>
        <v>60.22</v>
      </c>
      <c r="R734">
        <f t="shared" si="101"/>
        <v>11.5</v>
      </c>
      <c r="S734">
        <f t="shared" si="102"/>
        <v>1.82</v>
      </c>
      <c r="T734" t="str">
        <f t="shared" si="103"/>
        <v>Delayed</v>
      </c>
      <c r="U734" t="str">
        <f t="shared" si="104"/>
        <v>Medium</v>
      </c>
      <c r="V734" t="str">
        <f t="shared" si="105"/>
        <v>Low Risk</v>
      </c>
      <c r="W734" t="str">
        <f t="shared" si="106"/>
        <v>Nov</v>
      </c>
      <c r="X734">
        <f t="shared" si="107"/>
        <v>2025</v>
      </c>
    </row>
    <row r="735" spans="1:24" x14ac:dyDescent="0.35">
      <c r="A735" s="3">
        <v>45987</v>
      </c>
      <c r="B735" t="s">
        <v>61</v>
      </c>
      <c r="C735" t="s">
        <v>69</v>
      </c>
      <c r="D735" t="s">
        <v>881</v>
      </c>
      <c r="E735" t="s">
        <v>27</v>
      </c>
      <c r="F735" t="s">
        <v>41</v>
      </c>
      <c r="G735" t="s">
        <v>42</v>
      </c>
      <c r="H735">
        <v>65.099999999999994</v>
      </c>
      <c r="I735">
        <v>2646</v>
      </c>
      <c r="J735">
        <v>110</v>
      </c>
      <c r="K735">
        <v>10.7</v>
      </c>
      <c r="L735" t="s">
        <v>43</v>
      </c>
      <c r="M735">
        <v>34286.339999999997</v>
      </c>
      <c r="N735">
        <v>29942</v>
      </c>
      <c r="O735" t="s">
        <v>84</v>
      </c>
      <c r="P735" t="str">
        <f t="shared" si="99"/>
        <v>Yes</v>
      </c>
      <c r="Q735">
        <f t="shared" si="100"/>
        <v>40.65</v>
      </c>
      <c r="R735">
        <f t="shared" si="101"/>
        <v>12.96</v>
      </c>
      <c r="S735">
        <f t="shared" si="102"/>
        <v>1.1499999999999999</v>
      </c>
      <c r="T735" t="str">
        <f t="shared" si="103"/>
        <v>Delayed</v>
      </c>
      <c r="U735" t="str">
        <f t="shared" si="104"/>
        <v>High</v>
      </c>
      <c r="V735" t="str">
        <f t="shared" si="105"/>
        <v>Low Risk</v>
      </c>
      <c r="W735" t="str">
        <f t="shared" si="106"/>
        <v>Nov</v>
      </c>
      <c r="X735">
        <f t="shared" si="107"/>
        <v>2025</v>
      </c>
    </row>
    <row r="736" spans="1:24" x14ac:dyDescent="0.35">
      <c r="A736" s="3">
        <v>45964</v>
      </c>
      <c r="B736" t="s">
        <v>210</v>
      </c>
      <c r="C736" t="s">
        <v>130</v>
      </c>
      <c r="D736" t="s">
        <v>882</v>
      </c>
      <c r="E736" t="s">
        <v>27</v>
      </c>
      <c r="F736" t="s">
        <v>41</v>
      </c>
      <c r="G736" t="s">
        <v>35</v>
      </c>
      <c r="H736">
        <v>50.8</v>
      </c>
      <c r="I736">
        <v>620</v>
      </c>
      <c r="J736">
        <v>110</v>
      </c>
      <c r="K736">
        <v>15.7</v>
      </c>
      <c r="L736" t="s">
        <v>49</v>
      </c>
      <c r="M736">
        <v>31824.2</v>
      </c>
      <c r="N736">
        <v>27572</v>
      </c>
      <c r="O736" t="s">
        <v>67</v>
      </c>
      <c r="P736" t="str">
        <f t="shared" si="99"/>
        <v>Yes</v>
      </c>
      <c r="Q736">
        <f t="shared" si="100"/>
        <v>12.2</v>
      </c>
      <c r="R736">
        <f t="shared" si="101"/>
        <v>51.33</v>
      </c>
      <c r="S736">
        <f t="shared" si="102"/>
        <v>1.1499999999999999</v>
      </c>
      <c r="T736" t="str">
        <f t="shared" si="103"/>
        <v>Delayed</v>
      </c>
      <c r="U736" t="str">
        <f t="shared" si="104"/>
        <v>Medium</v>
      </c>
      <c r="V736" t="str">
        <f t="shared" si="105"/>
        <v>High Risk</v>
      </c>
      <c r="W736" t="str">
        <f t="shared" si="106"/>
        <v>Nov</v>
      </c>
      <c r="X736">
        <f t="shared" si="107"/>
        <v>2025</v>
      </c>
    </row>
    <row r="737" spans="1:24" x14ac:dyDescent="0.35">
      <c r="A737" s="3">
        <v>45714</v>
      </c>
      <c r="B737" t="s">
        <v>199</v>
      </c>
      <c r="C737" t="s">
        <v>57</v>
      </c>
      <c r="D737" t="s">
        <v>883</v>
      </c>
      <c r="E737" t="s">
        <v>41</v>
      </c>
      <c r="F737" t="s">
        <v>55</v>
      </c>
      <c r="G737" t="s">
        <v>29</v>
      </c>
      <c r="H737">
        <v>67</v>
      </c>
      <c r="I737">
        <v>758</v>
      </c>
      <c r="J737">
        <v>58</v>
      </c>
      <c r="K737">
        <v>18.600000000000001</v>
      </c>
      <c r="L737" t="s">
        <v>49</v>
      </c>
      <c r="M737">
        <v>45920.15</v>
      </c>
      <c r="N737">
        <v>8196</v>
      </c>
      <c r="O737" t="s">
        <v>84</v>
      </c>
      <c r="P737" t="str">
        <f t="shared" si="99"/>
        <v>Yes</v>
      </c>
      <c r="Q737">
        <f t="shared" si="100"/>
        <v>11.31</v>
      </c>
      <c r="R737">
        <f t="shared" si="101"/>
        <v>60.58</v>
      </c>
      <c r="S737">
        <f t="shared" si="102"/>
        <v>5.6</v>
      </c>
      <c r="T737" t="str">
        <f t="shared" si="103"/>
        <v>Delayed</v>
      </c>
      <c r="U737" t="str">
        <f t="shared" si="104"/>
        <v>High</v>
      </c>
      <c r="V737" t="str">
        <f t="shared" si="105"/>
        <v>High Risk</v>
      </c>
      <c r="W737" t="str">
        <f t="shared" si="106"/>
        <v>Feb</v>
      </c>
      <c r="X737">
        <f t="shared" si="107"/>
        <v>2025</v>
      </c>
    </row>
    <row r="738" spans="1:24" x14ac:dyDescent="0.35">
      <c r="A738" s="3">
        <v>45884</v>
      </c>
      <c r="B738" t="s">
        <v>125</v>
      </c>
      <c r="C738" t="s">
        <v>69</v>
      </c>
      <c r="D738" t="s">
        <v>884</v>
      </c>
      <c r="E738" t="s">
        <v>63</v>
      </c>
      <c r="F738" t="s">
        <v>66</v>
      </c>
      <c r="G738" t="s">
        <v>29</v>
      </c>
      <c r="H738">
        <v>41.2</v>
      </c>
      <c r="I738">
        <v>4808</v>
      </c>
      <c r="J738">
        <v>72</v>
      </c>
      <c r="K738">
        <v>13.3</v>
      </c>
      <c r="L738" t="s">
        <v>43</v>
      </c>
      <c r="M738">
        <v>23261.599999999999</v>
      </c>
      <c r="N738">
        <v>6257</v>
      </c>
      <c r="O738" t="s">
        <v>84</v>
      </c>
      <c r="P738" t="str">
        <f t="shared" si="99"/>
        <v>Yes</v>
      </c>
      <c r="Q738">
        <f t="shared" si="100"/>
        <v>116.7</v>
      </c>
      <c r="R738">
        <f t="shared" si="101"/>
        <v>4.84</v>
      </c>
      <c r="S738">
        <f t="shared" si="102"/>
        <v>3.72</v>
      </c>
      <c r="T738" t="str">
        <f t="shared" si="103"/>
        <v>Delayed</v>
      </c>
      <c r="U738" t="str">
        <f t="shared" si="104"/>
        <v>Medium</v>
      </c>
      <c r="V738" t="str">
        <f t="shared" si="105"/>
        <v>Low Risk</v>
      </c>
      <c r="W738" t="str">
        <f t="shared" si="106"/>
        <v>Aug</v>
      </c>
      <c r="X738">
        <f t="shared" si="107"/>
        <v>2025</v>
      </c>
    </row>
    <row r="739" spans="1:24" x14ac:dyDescent="0.35">
      <c r="A739" s="3">
        <v>45705</v>
      </c>
      <c r="B739" t="s">
        <v>185</v>
      </c>
      <c r="C739" t="s">
        <v>25</v>
      </c>
      <c r="D739" t="s">
        <v>885</v>
      </c>
      <c r="E739" t="s">
        <v>27</v>
      </c>
      <c r="F739" t="s">
        <v>66</v>
      </c>
      <c r="G739" t="s">
        <v>29</v>
      </c>
      <c r="H739">
        <v>78.900000000000006</v>
      </c>
      <c r="I739">
        <v>4222</v>
      </c>
      <c r="J739">
        <v>50</v>
      </c>
      <c r="K739">
        <v>17.5</v>
      </c>
      <c r="L739" t="s">
        <v>30</v>
      </c>
      <c r="M739">
        <v>52285.97</v>
      </c>
      <c r="N739">
        <v>21998</v>
      </c>
      <c r="O739" t="s">
        <v>91</v>
      </c>
      <c r="P739" t="str">
        <f t="shared" si="99"/>
        <v>Yes</v>
      </c>
      <c r="Q739">
        <f t="shared" si="100"/>
        <v>53.51</v>
      </c>
      <c r="R739">
        <f t="shared" si="101"/>
        <v>12.38</v>
      </c>
      <c r="S739">
        <f t="shared" si="102"/>
        <v>2.38</v>
      </c>
      <c r="T739" t="str">
        <f t="shared" si="103"/>
        <v>Delayed</v>
      </c>
      <c r="U739" t="str">
        <f t="shared" si="104"/>
        <v>High</v>
      </c>
      <c r="V739" t="str">
        <f t="shared" si="105"/>
        <v>Medium Risk</v>
      </c>
      <c r="W739" t="str">
        <f t="shared" si="106"/>
        <v>Feb</v>
      </c>
      <c r="X739">
        <f t="shared" si="107"/>
        <v>2025</v>
      </c>
    </row>
    <row r="740" spans="1:24" x14ac:dyDescent="0.35">
      <c r="A740" s="3">
        <v>45882</v>
      </c>
      <c r="B740" t="s">
        <v>150</v>
      </c>
      <c r="C740" t="s">
        <v>52</v>
      </c>
      <c r="D740" t="s">
        <v>886</v>
      </c>
      <c r="E740" t="s">
        <v>55</v>
      </c>
      <c r="F740" t="s">
        <v>41</v>
      </c>
      <c r="G740" t="s">
        <v>35</v>
      </c>
      <c r="H740">
        <v>28.9</v>
      </c>
      <c r="I740">
        <v>2830</v>
      </c>
      <c r="J740">
        <v>68</v>
      </c>
      <c r="K740">
        <v>20.6</v>
      </c>
      <c r="L740" t="s">
        <v>30</v>
      </c>
      <c r="M740">
        <v>18645.669999999998</v>
      </c>
      <c r="N740">
        <v>11654</v>
      </c>
      <c r="O740" t="s">
        <v>44</v>
      </c>
      <c r="P740" t="str">
        <f t="shared" si="99"/>
        <v>Yes</v>
      </c>
      <c r="Q740">
        <f t="shared" si="100"/>
        <v>97.92</v>
      </c>
      <c r="R740">
        <f t="shared" si="101"/>
        <v>6.59</v>
      </c>
      <c r="S740">
        <f t="shared" si="102"/>
        <v>1.6</v>
      </c>
      <c r="T740" t="str">
        <f t="shared" si="103"/>
        <v>Delayed</v>
      </c>
      <c r="U740" t="str">
        <f t="shared" si="104"/>
        <v>Low</v>
      </c>
      <c r="V740" t="str">
        <f t="shared" si="105"/>
        <v>Medium Risk</v>
      </c>
      <c r="W740" t="str">
        <f t="shared" si="106"/>
        <v>Aug</v>
      </c>
      <c r="X740">
        <f t="shared" si="107"/>
        <v>2025</v>
      </c>
    </row>
    <row r="741" spans="1:24" x14ac:dyDescent="0.35">
      <c r="A741" s="3">
        <v>45922</v>
      </c>
      <c r="B741" t="s">
        <v>173</v>
      </c>
      <c r="C741" t="s">
        <v>57</v>
      </c>
      <c r="D741" t="s">
        <v>887</v>
      </c>
      <c r="E741" t="s">
        <v>41</v>
      </c>
      <c r="F741" t="s">
        <v>28</v>
      </c>
      <c r="G741" t="s">
        <v>42</v>
      </c>
      <c r="H741">
        <v>44.5</v>
      </c>
      <c r="I741">
        <v>969</v>
      </c>
      <c r="J741">
        <v>58</v>
      </c>
      <c r="K741">
        <v>17.899999999999999</v>
      </c>
      <c r="L741" t="s">
        <v>78</v>
      </c>
      <c r="M741">
        <v>29775.83</v>
      </c>
      <c r="N741">
        <v>21697</v>
      </c>
      <c r="O741" t="s">
        <v>59</v>
      </c>
      <c r="P741" t="str">
        <f t="shared" si="99"/>
        <v>No</v>
      </c>
      <c r="Q741">
        <f t="shared" si="100"/>
        <v>21.78</v>
      </c>
      <c r="R741">
        <f t="shared" si="101"/>
        <v>30.73</v>
      </c>
      <c r="S741">
        <f t="shared" si="102"/>
        <v>1.37</v>
      </c>
      <c r="T741" t="str">
        <f t="shared" si="103"/>
        <v>On Time</v>
      </c>
      <c r="U741" t="str">
        <f t="shared" si="104"/>
        <v>Medium</v>
      </c>
      <c r="V741" t="str">
        <f t="shared" si="105"/>
        <v>Low Risk</v>
      </c>
      <c r="W741" t="str">
        <f t="shared" si="106"/>
        <v>Sep</v>
      </c>
      <c r="X741">
        <f t="shared" si="107"/>
        <v>2025</v>
      </c>
    </row>
    <row r="742" spans="1:24" x14ac:dyDescent="0.35">
      <c r="A742" s="3">
        <v>45856</v>
      </c>
      <c r="B742" t="s">
        <v>111</v>
      </c>
      <c r="C742" t="s">
        <v>130</v>
      </c>
      <c r="D742" t="s">
        <v>888</v>
      </c>
      <c r="E742" t="s">
        <v>48</v>
      </c>
      <c r="F742" t="s">
        <v>41</v>
      </c>
      <c r="G742" t="s">
        <v>42</v>
      </c>
      <c r="H742">
        <v>60.5</v>
      </c>
      <c r="I742">
        <v>653</v>
      </c>
      <c r="J742">
        <v>44</v>
      </c>
      <c r="K742">
        <v>17.899999999999999</v>
      </c>
      <c r="L742" t="s">
        <v>43</v>
      </c>
      <c r="M742">
        <v>28440.52</v>
      </c>
      <c r="N742">
        <v>6354</v>
      </c>
      <c r="O742" t="s">
        <v>44</v>
      </c>
      <c r="P742" t="str">
        <f t="shared" si="99"/>
        <v>Yes</v>
      </c>
      <c r="Q742">
        <f t="shared" si="100"/>
        <v>10.79</v>
      </c>
      <c r="R742">
        <f t="shared" si="101"/>
        <v>43.55</v>
      </c>
      <c r="S742">
        <f t="shared" si="102"/>
        <v>4.4800000000000004</v>
      </c>
      <c r="T742" t="str">
        <f t="shared" si="103"/>
        <v>Delayed</v>
      </c>
      <c r="U742" t="str">
        <f t="shared" si="104"/>
        <v>High</v>
      </c>
      <c r="V742" t="str">
        <f t="shared" si="105"/>
        <v>Low Risk</v>
      </c>
      <c r="W742" t="str">
        <f t="shared" si="106"/>
        <v>Jul</v>
      </c>
      <c r="X742">
        <f t="shared" si="107"/>
        <v>2025</v>
      </c>
    </row>
    <row r="743" spans="1:24" x14ac:dyDescent="0.35">
      <c r="A743" s="3">
        <v>45725</v>
      </c>
      <c r="B743" t="s">
        <v>221</v>
      </c>
      <c r="C743" t="s">
        <v>25</v>
      </c>
      <c r="D743" t="s">
        <v>889</v>
      </c>
      <c r="E743" t="s">
        <v>48</v>
      </c>
      <c r="F743" t="s">
        <v>66</v>
      </c>
      <c r="G743" t="s">
        <v>35</v>
      </c>
      <c r="H743">
        <v>49</v>
      </c>
      <c r="I743">
        <v>3665</v>
      </c>
      <c r="J743">
        <v>56</v>
      </c>
      <c r="K743">
        <v>14.5</v>
      </c>
      <c r="L743" t="s">
        <v>30</v>
      </c>
      <c r="M743">
        <v>28071.25</v>
      </c>
      <c r="N743">
        <v>15394</v>
      </c>
      <c r="O743" t="s">
        <v>36</v>
      </c>
      <c r="P743" t="str">
        <f t="shared" si="99"/>
        <v>Yes</v>
      </c>
      <c r="Q743">
        <f t="shared" si="100"/>
        <v>74.8</v>
      </c>
      <c r="R743">
        <f t="shared" si="101"/>
        <v>7.66</v>
      </c>
      <c r="S743">
        <f t="shared" si="102"/>
        <v>1.82</v>
      </c>
      <c r="T743" t="str">
        <f t="shared" si="103"/>
        <v>Delayed</v>
      </c>
      <c r="U743" t="str">
        <f t="shared" si="104"/>
        <v>Medium</v>
      </c>
      <c r="V743" t="str">
        <f t="shared" si="105"/>
        <v>Medium Risk</v>
      </c>
      <c r="W743" t="str">
        <f t="shared" si="106"/>
        <v>Mar</v>
      </c>
      <c r="X743">
        <f t="shared" si="107"/>
        <v>2025</v>
      </c>
    </row>
    <row r="744" spans="1:24" x14ac:dyDescent="0.35">
      <c r="A744" s="3">
        <v>45907</v>
      </c>
      <c r="B744" t="s">
        <v>250</v>
      </c>
      <c r="C744" t="s">
        <v>130</v>
      </c>
      <c r="D744" t="s">
        <v>890</v>
      </c>
      <c r="E744" t="s">
        <v>55</v>
      </c>
      <c r="F744" t="s">
        <v>66</v>
      </c>
      <c r="G744" t="s">
        <v>42</v>
      </c>
      <c r="H744">
        <v>23</v>
      </c>
      <c r="I744">
        <v>2707</v>
      </c>
      <c r="J744">
        <v>119</v>
      </c>
      <c r="K744">
        <v>19.399999999999999</v>
      </c>
      <c r="L744" t="s">
        <v>78</v>
      </c>
      <c r="M744">
        <v>15728.58</v>
      </c>
      <c r="N744">
        <v>10195</v>
      </c>
      <c r="O744" t="s">
        <v>31</v>
      </c>
      <c r="P744" t="str">
        <f t="shared" si="99"/>
        <v>No</v>
      </c>
      <c r="Q744">
        <f t="shared" si="100"/>
        <v>117.7</v>
      </c>
      <c r="R744">
        <f t="shared" si="101"/>
        <v>5.81</v>
      </c>
      <c r="S744">
        <f t="shared" si="102"/>
        <v>1.54</v>
      </c>
      <c r="T744" t="str">
        <f t="shared" si="103"/>
        <v>On Time</v>
      </c>
      <c r="U744" t="str">
        <f t="shared" si="104"/>
        <v>Low</v>
      </c>
      <c r="V744" t="str">
        <f t="shared" si="105"/>
        <v>Low Risk</v>
      </c>
      <c r="W744" t="str">
        <f t="shared" si="106"/>
        <v>Sep</v>
      </c>
      <c r="X744">
        <f t="shared" si="107"/>
        <v>2025</v>
      </c>
    </row>
    <row r="745" spans="1:24" x14ac:dyDescent="0.35">
      <c r="A745" s="3">
        <v>45877</v>
      </c>
      <c r="B745" t="s">
        <v>148</v>
      </c>
      <c r="C745" t="s">
        <v>69</v>
      </c>
      <c r="D745" t="s">
        <v>891</v>
      </c>
      <c r="E745" t="s">
        <v>27</v>
      </c>
      <c r="F745" t="s">
        <v>41</v>
      </c>
      <c r="G745" t="s">
        <v>71</v>
      </c>
      <c r="H745">
        <v>72.400000000000006</v>
      </c>
      <c r="I745">
        <v>1957</v>
      </c>
      <c r="J745">
        <v>44</v>
      </c>
      <c r="K745">
        <v>11.6</v>
      </c>
      <c r="L745" t="s">
        <v>49</v>
      </c>
      <c r="M745">
        <v>43127.98</v>
      </c>
      <c r="N745">
        <v>24879</v>
      </c>
      <c r="O745" t="s">
        <v>31</v>
      </c>
      <c r="P745" t="str">
        <f t="shared" si="99"/>
        <v>Yes</v>
      </c>
      <c r="Q745">
        <f t="shared" si="100"/>
        <v>27.03</v>
      </c>
      <c r="R745">
        <f t="shared" si="101"/>
        <v>22.04</v>
      </c>
      <c r="S745">
        <f t="shared" si="102"/>
        <v>1.73</v>
      </c>
      <c r="T745" t="str">
        <f t="shared" si="103"/>
        <v>Delayed</v>
      </c>
      <c r="U745" t="str">
        <f t="shared" si="104"/>
        <v>High</v>
      </c>
      <c r="V745" t="str">
        <f t="shared" si="105"/>
        <v>High Risk</v>
      </c>
      <c r="W745" t="str">
        <f t="shared" si="106"/>
        <v>Aug</v>
      </c>
      <c r="X745">
        <f t="shared" si="107"/>
        <v>2025</v>
      </c>
    </row>
    <row r="746" spans="1:24" x14ac:dyDescent="0.35">
      <c r="A746" s="3">
        <v>45685</v>
      </c>
      <c r="B746" t="s">
        <v>223</v>
      </c>
      <c r="C746" t="s">
        <v>25</v>
      </c>
      <c r="D746" t="s">
        <v>892</v>
      </c>
      <c r="E746" t="s">
        <v>66</v>
      </c>
      <c r="F746" t="s">
        <v>48</v>
      </c>
      <c r="G746" t="s">
        <v>71</v>
      </c>
      <c r="H746">
        <v>51.5</v>
      </c>
      <c r="I746">
        <v>1271</v>
      </c>
      <c r="J746">
        <v>28</v>
      </c>
      <c r="K746">
        <v>14.9</v>
      </c>
      <c r="L746" t="s">
        <v>30</v>
      </c>
      <c r="M746">
        <v>28837.37</v>
      </c>
      <c r="N746">
        <v>14666</v>
      </c>
      <c r="O746" t="s">
        <v>84</v>
      </c>
      <c r="P746" t="str">
        <f t="shared" si="99"/>
        <v>Yes</v>
      </c>
      <c r="Q746">
        <f t="shared" si="100"/>
        <v>24.68</v>
      </c>
      <c r="R746">
        <f t="shared" si="101"/>
        <v>22.69</v>
      </c>
      <c r="S746">
        <f t="shared" si="102"/>
        <v>1.97</v>
      </c>
      <c r="T746" t="str">
        <f t="shared" si="103"/>
        <v>Delayed</v>
      </c>
      <c r="U746" t="str">
        <f t="shared" si="104"/>
        <v>Medium</v>
      </c>
      <c r="V746" t="str">
        <f t="shared" si="105"/>
        <v>Medium Risk</v>
      </c>
      <c r="W746" t="str">
        <f t="shared" si="106"/>
        <v>Jan</v>
      </c>
      <c r="X746">
        <f t="shared" si="107"/>
        <v>2025</v>
      </c>
    </row>
    <row r="747" spans="1:24" x14ac:dyDescent="0.35">
      <c r="A747" s="3">
        <v>45980</v>
      </c>
      <c r="B747" t="s">
        <v>108</v>
      </c>
      <c r="C747" t="s">
        <v>52</v>
      </c>
      <c r="D747" t="s">
        <v>893</v>
      </c>
      <c r="E747" t="s">
        <v>63</v>
      </c>
      <c r="F747" t="s">
        <v>54</v>
      </c>
      <c r="G747" t="s">
        <v>35</v>
      </c>
      <c r="H747">
        <v>22.7</v>
      </c>
      <c r="I747">
        <v>2934</v>
      </c>
      <c r="J747">
        <v>28</v>
      </c>
      <c r="K747">
        <v>12.3</v>
      </c>
      <c r="L747" t="s">
        <v>30</v>
      </c>
      <c r="M747">
        <v>14993.36</v>
      </c>
      <c r="N747">
        <v>8870</v>
      </c>
      <c r="O747" t="s">
        <v>84</v>
      </c>
      <c r="P747" t="str">
        <f t="shared" si="99"/>
        <v>Yes</v>
      </c>
      <c r="Q747">
        <f t="shared" si="100"/>
        <v>129.25</v>
      </c>
      <c r="R747">
        <f t="shared" si="101"/>
        <v>5.1100000000000003</v>
      </c>
      <c r="S747">
        <f t="shared" si="102"/>
        <v>1.69</v>
      </c>
      <c r="T747" t="str">
        <f t="shared" si="103"/>
        <v>Delayed</v>
      </c>
      <c r="U747" t="str">
        <f t="shared" si="104"/>
        <v>Low</v>
      </c>
      <c r="V747" t="str">
        <f t="shared" si="105"/>
        <v>Medium Risk</v>
      </c>
      <c r="W747" t="str">
        <f t="shared" si="106"/>
        <v>Nov</v>
      </c>
      <c r="X747">
        <f t="shared" si="107"/>
        <v>2025</v>
      </c>
    </row>
    <row r="748" spans="1:24" x14ac:dyDescent="0.35">
      <c r="A748" s="3">
        <v>45853</v>
      </c>
      <c r="B748" t="s">
        <v>136</v>
      </c>
      <c r="C748" t="s">
        <v>52</v>
      </c>
      <c r="D748" t="s">
        <v>894</v>
      </c>
      <c r="E748" t="s">
        <v>48</v>
      </c>
      <c r="F748" t="s">
        <v>54</v>
      </c>
      <c r="G748" t="s">
        <v>29</v>
      </c>
      <c r="H748">
        <v>55.8</v>
      </c>
      <c r="I748">
        <v>1370</v>
      </c>
      <c r="J748">
        <v>60</v>
      </c>
      <c r="K748">
        <v>15.8</v>
      </c>
      <c r="L748" t="s">
        <v>43</v>
      </c>
      <c r="M748">
        <v>31882.99</v>
      </c>
      <c r="N748">
        <v>23263</v>
      </c>
      <c r="O748" t="s">
        <v>44</v>
      </c>
      <c r="P748" t="str">
        <f t="shared" si="99"/>
        <v>Yes</v>
      </c>
      <c r="Q748">
        <f t="shared" si="100"/>
        <v>24.55</v>
      </c>
      <c r="R748">
        <f t="shared" si="101"/>
        <v>23.27</v>
      </c>
      <c r="S748">
        <f t="shared" si="102"/>
        <v>1.37</v>
      </c>
      <c r="T748" t="str">
        <f t="shared" si="103"/>
        <v>Delayed</v>
      </c>
      <c r="U748" t="str">
        <f t="shared" si="104"/>
        <v>Medium</v>
      </c>
      <c r="V748" t="str">
        <f t="shared" si="105"/>
        <v>Low Risk</v>
      </c>
      <c r="W748" t="str">
        <f t="shared" si="106"/>
        <v>Jul</v>
      </c>
      <c r="X748">
        <f t="shared" si="107"/>
        <v>2025</v>
      </c>
    </row>
    <row r="749" spans="1:24" x14ac:dyDescent="0.35">
      <c r="A749" s="3">
        <v>45896</v>
      </c>
      <c r="B749" t="s">
        <v>113</v>
      </c>
      <c r="C749" t="s">
        <v>69</v>
      </c>
      <c r="D749" t="s">
        <v>895</v>
      </c>
      <c r="E749" t="s">
        <v>63</v>
      </c>
      <c r="F749" t="s">
        <v>48</v>
      </c>
      <c r="G749" t="s">
        <v>29</v>
      </c>
      <c r="H749">
        <v>25.5</v>
      </c>
      <c r="I749">
        <v>1021</v>
      </c>
      <c r="J749">
        <v>58</v>
      </c>
      <c r="K749">
        <v>17</v>
      </c>
      <c r="L749" t="s">
        <v>78</v>
      </c>
      <c r="M749">
        <v>13078.45</v>
      </c>
      <c r="N749">
        <v>12178</v>
      </c>
      <c r="O749" t="s">
        <v>84</v>
      </c>
      <c r="P749" t="str">
        <f t="shared" si="99"/>
        <v>No</v>
      </c>
      <c r="Q749">
        <f t="shared" si="100"/>
        <v>40.04</v>
      </c>
      <c r="R749">
        <f t="shared" si="101"/>
        <v>12.81</v>
      </c>
      <c r="S749">
        <f t="shared" si="102"/>
        <v>1.07</v>
      </c>
      <c r="T749" t="str">
        <f t="shared" si="103"/>
        <v>On Time</v>
      </c>
      <c r="U749" t="str">
        <f t="shared" si="104"/>
        <v>Low</v>
      </c>
      <c r="V749" t="str">
        <f t="shared" si="105"/>
        <v>Low Risk</v>
      </c>
      <c r="W749" t="str">
        <f t="shared" si="106"/>
        <v>Aug</v>
      </c>
      <c r="X749">
        <f t="shared" si="107"/>
        <v>2025</v>
      </c>
    </row>
    <row r="750" spans="1:24" x14ac:dyDescent="0.35">
      <c r="A750" s="3">
        <v>45769</v>
      </c>
      <c r="B750" t="s">
        <v>167</v>
      </c>
      <c r="C750" t="s">
        <v>95</v>
      </c>
      <c r="D750" t="s">
        <v>896</v>
      </c>
      <c r="E750" t="s">
        <v>66</v>
      </c>
      <c r="F750" t="s">
        <v>48</v>
      </c>
      <c r="G750" t="s">
        <v>29</v>
      </c>
      <c r="H750">
        <v>37.4</v>
      </c>
      <c r="I750">
        <v>1609</v>
      </c>
      <c r="J750">
        <v>31</v>
      </c>
      <c r="K750">
        <v>17.5</v>
      </c>
      <c r="L750" t="s">
        <v>49</v>
      </c>
      <c r="M750">
        <v>22620.06</v>
      </c>
      <c r="N750">
        <v>29637</v>
      </c>
      <c r="O750" t="s">
        <v>50</v>
      </c>
      <c r="P750" t="str">
        <f t="shared" si="99"/>
        <v>Yes</v>
      </c>
      <c r="Q750">
        <f t="shared" si="100"/>
        <v>43.02</v>
      </c>
      <c r="R750">
        <f t="shared" si="101"/>
        <v>14.06</v>
      </c>
      <c r="S750">
        <f t="shared" si="102"/>
        <v>0.76</v>
      </c>
      <c r="T750" t="str">
        <f t="shared" si="103"/>
        <v>Delayed</v>
      </c>
      <c r="U750" t="str">
        <f t="shared" si="104"/>
        <v>Low</v>
      </c>
      <c r="V750" t="str">
        <f t="shared" si="105"/>
        <v>High Risk</v>
      </c>
      <c r="W750" t="str">
        <f t="shared" si="106"/>
        <v>Apr</v>
      </c>
      <c r="X750">
        <f t="shared" si="107"/>
        <v>2025</v>
      </c>
    </row>
    <row r="751" spans="1:24" x14ac:dyDescent="0.35">
      <c r="A751" s="3">
        <v>45777</v>
      </c>
      <c r="B751" t="s">
        <v>300</v>
      </c>
      <c r="C751" t="s">
        <v>57</v>
      </c>
      <c r="D751" t="s">
        <v>897</v>
      </c>
      <c r="E751" t="s">
        <v>55</v>
      </c>
      <c r="F751" t="s">
        <v>41</v>
      </c>
      <c r="G751" t="s">
        <v>35</v>
      </c>
      <c r="H751">
        <v>28.4</v>
      </c>
      <c r="I751">
        <v>4691</v>
      </c>
      <c r="J751">
        <v>112</v>
      </c>
      <c r="K751">
        <v>12.2</v>
      </c>
      <c r="L751" t="s">
        <v>30</v>
      </c>
      <c r="M751">
        <v>18189.580000000002</v>
      </c>
      <c r="N751">
        <v>29617</v>
      </c>
      <c r="O751" t="s">
        <v>84</v>
      </c>
      <c r="P751" t="str">
        <f t="shared" si="99"/>
        <v>Yes</v>
      </c>
      <c r="Q751">
        <f t="shared" si="100"/>
        <v>165.18</v>
      </c>
      <c r="R751">
        <f t="shared" si="101"/>
        <v>3.88</v>
      </c>
      <c r="S751">
        <f t="shared" si="102"/>
        <v>0.61</v>
      </c>
      <c r="T751" t="str">
        <f t="shared" si="103"/>
        <v>Delayed</v>
      </c>
      <c r="U751" t="str">
        <f t="shared" si="104"/>
        <v>Low</v>
      </c>
      <c r="V751" t="str">
        <f t="shared" si="105"/>
        <v>Medium Risk</v>
      </c>
      <c r="W751" t="str">
        <f t="shared" si="106"/>
        <v>Apr</v>
      </c>
      <c r="X751">
        <f t="shared" si="107"/>
        <v>2025</v>
      </c>
    </row>
    <row r="752" spans="1:24" x14ac:dyDescent="0.35">
      <c r="A752" s="3">
        <v>45829</v>
      </c>
      <c r="B752" t="s">
        <v>150</v>
      </c>
      <c r="C752" t="s">
        <v>69</v>
      </c>
      <c r="D752" t="s">
        <v>898</v>
      </c>
      <c r="E752" t="s">
        <v>63</v>
      </c>
      <c r="F752" t="s">
        <v>55</v>
      </c>
      <c r="G752" t="s">
        <v>29</v>
      </c>
      <c r="H752">
        <v>45.7</v>
      </c>
      <c r="I752">
        <v>2274</v>
      </c>
      <c r="J752">
        <v>81</v>
      </c>
      <c r="K752">
        <v>14.6</v>
      </c>
      <c r="L752" t="s">
        <v>78</v>
      </c>
      <c r="M752">
        <v>22908.35</v>
      </c>
      <c r="N752">
        <v>20518</v>
      </c>
      <c r="O752" t="s">
        <v>50</v>
      </c>
      <c r="P752" t="str">
        <f t="shared" si="99"/>
        <v>No</v>
      </c>
      <c r="Q752">
        <f t="shared" si="100"/>
        <v>49.76</v>
      </c>
      <c r="R752">
        <f t="shared" si="101"/>
        <v>10.07</v>
      </c>
      <c r="S752">
        <f t="shared" si="102"/>
        <v>1.1200000000000001</v>
      </c>
      <c r="T752" t="str">
        <f t="shared" si="103"/>
        <v>On Time</v>
      </c>
      <c r="U752" t="str">
        <f t="shared" si="104"/>
        <v>Medium</v>
      </c>
      <c r="V752" t="str">
        <f t="shared" si="105"/>
        <v>Low Risk</v>
      </c>
      <c r="W752" t="str">
        <f t="shared" si="106"/>
        <v>Jun</v>
      </c>
      <c r="X752">
        <f t="shared" si="107"/>
        <v>2025</v>
      </c>
    </row>
    <row r="753" spans="1:24" x14ac:dyDescent="0.35">
      <c r="A753" s="3">
        <v>45681</v>
      </c>
      <c r="B753" t="s">
        <v>73</v>
      </c>
      <c r="C753" t="s">
        <v>57</v>
      </c>
      <c r="D753" t="s">
        <v>899</v>
      </c>
      <c r="E753" t="s">
        <v>66</v>
      </c>
      <c r="F753" t="s">
        <v>54</v>
      </c>
      <c r="G753" t="s">
        <v>71</v>
      </c>
      <c r="H753">
        <v>62.9</v>
      </c>
      <c r="I753">
        <v>3595</v>
      </c>
      <c r="J753">
        <v>44</v>
      </c>
      <c r="K753">
        <v>11</v>
      </c>
      <c r="L753" t="s">
        <v>49</v>
      </c>
      <c r="M753">
        <v>30971.31</v>
      </c>
      <c r="N753">
        <v>14442</v>
      </c>
      <c r="O753" t="s">
        <v>50</v>
      </c>
      <c r="P753" t="str">
        <f t="shared" si="99"/>
        <v>Yes</v>
      </c>
      <c r="Q753">
        <f t="shared" si="100"/>
        <v>57.15</v>
      </c>
      <c r="R753">
        <f t="shared" si="101"/>
        <v>8.6199999999999992</v>
      </c>
      <c r="S753">
        <f t="shared" si="102"/>
        <v>2.14</v>
      </c>
      <c r="T753" t="str">
        <f t="shared" si="103"/>
        <v>Delayed</v>
      </c>
      <c r="U753" t="str">
        <f t="shared" si="104"/>
        <v>High</v>
      </c>
      <c r="V753" t="str">
        <f t="shared" si="105"/>
        <v>High Risk</v>
      </c>
      <c r="W753" t="str">
        <f t="shared" si="106"/>
        <v>Jan</v>
      </c>
      <c r="X753">
        <f t="shared" si="107"/>
        <v>2025</v>
      </c>
    </row>
    <row r="754" spans="1:24" x14ac:dyDescent="0.35">
      <c r="A754" s="3">
        <v>45751</v>
      </c>
      <c r="B754" t="s">
        <v>463</v>
      </c>
      <c r="C754" t="s">
        <v>95</v>
      </c>
      <c r="D754" t="s">
        <v>900</v>
      </c>
      <c r="E754" t="s">
        <v>41</v>
      </c>
      <c r="F754" t="s">
        <v>27</v>
      </c>
      <c r="G754" t="s">
        <v>42</v>
      </c>
      <c r="H754">
        <v>22.7</v>
      </c>
      <c r="I754">
        <v>3463</v>
      </c>
      <c r="J754">
        <v>92</v>
      </c>
      <c r="K754">
        <v>11.2</v>
      </c>
      <c r="L754" t="s">
        <v>78</v>
      </c>
      <c r="M754">
        <v>14990.53</v>
      </c>
      <c r="N754">
        <v>6015</v>
      </c>
      <c r="O754" t="s">
        <v>44</v>
      </c>
      <c r="P754" t="str">
        <f t="shared" si="99"/>
        <v>No</v>
      </c>
      <c r="Q754">
        <f t="shared" si="100"/>
        <v>152.56</v>
      </c>
      <c r="R754">
        <f t="shared" si="101"/>
        <v>4.33</v>
      </c>
      <c r="S754">
        <f t="shared" si="102"/>
        <v>2.4900000000000002</v>
      </c>
      <c r="T754" t="str">
        <f t="shared" si="103"/>
        <v>On Time</v>
      </c>
      <c r="U754" t="str">
        <f t="shared" si="104"/>
        <v>Low</v>
      </c>
      <c r="V754" t="str">
        <f t="shared" si="105"/>
        <v>Low Risk</v>
      </c>
      <c r="W754" t="str">
        <f t="shared" si="106"/>
        <v>Apr</v>
      </c>
      <c r="X754">
        <f t="shared" si="107"/>
        <v>2025</v>
      </c>
    </row>
    <row r="755" spans="1:24" x14ac:dyDescent="0.35">
      <c r="A755" s="3">
        <v>45845</v>
      </c>
      <c r="B755" t="s">
        <v>190</v>
      </c>
      <c r="C755" t="s">
        <v>57</v>
      </c>
      <c r="D755" t="s">
        <v>901</v>
      </c>
      <c r="E755" t="s">
        <v>54</v>
      </c>
      <c r="F755" t="s">
        <v>28</v>
      </c>
      <c r="G755" t="s">
        <v>42</v>
      </c>
      <c r="H755">
        <v>66.2</v>
      </c>
      <c r="I755">
        <v>2341</v>
      </c>
      <c r="J755">
        <v>61</v>
      </c>
      <c r="K755">
        <v>14.6</v>
      </c>
      <c r="L755" t="s">
        <v>30</v>
      </c>
      <c r="M755">
        <v>36767.51</v>
      </c>
      <c r="N755">
        <v>15162</v>
      </c>
      <c r="O755" t="s">
        <v>59</v>
      </c>
      <c r="P755" t="str">
        <f t="shared" si="99"/>
        <v>Yes</v>
      </c>
      <c r="Q755">
        <f t="shared" si="100"/>
        <v>35.36</v>
      </c>
      <c r="R755">
        <f t="shared" si="101"/>
        <v>15.71</v>
      </c>
      <c r="S755">
        <f t="shared" si="102"/>
        <v>2.42</v>
      </c>
      <c r="T755" t="str">
        <f t="shared" si="103"/>
        <v>Delayed</v>
      </c>
      <c r="U755" t="str">
        <f t="shared" si="104"/>
        <v>High</v>
      </c>
      <c r="V755" t="str">
        <f t="shared" si="105"/>
        <v>Medium Risk</v>
      </c>
      <c r="W755" t="str">
        <f t="shared" si="106"/>
        <v>Jul</v>
      </c>
      <c r="X755">
        <f t="shared" si="107"/>
        <v>2025</v>
      </c>
    </row>
    <row r="756" spans="1:24" x14ac:dyDescent="0.35">
      <c r="A756" s="3">
        <v>45987</v>
      </c>
      <c r="B756" t="s">
        <v>89</v>
      </c>
      <c r="C756" t="s">
        <v>25</v>
      </c>
      <c r="D756" t="s">
        <v>902</v>
      </c>
      <c r="E756" t="s">
        <v>48</v>
      </c>
      <c r="F756" t="s">
        <v>41</v>
      </c>
      <c r="G756" t="s">
        <v>71</v>
      </c>
      <c r="H756">
        <v>35.5</v>
      </c>
      <c r="I756">
        <v>4115</v>
      </c>
      <c r="J756">
        <v>95</v>
      </c>
      <c r="K756">
        <v>19.7</v>
      </c>
      <c r="L756" t="s">
        <v>49</v>
      </c>
      <c r="M756">
        <v>18197.34</v>
      </c>
      <c r="N756">
        <v>15047</v>
      </c>
      <c r="O756" t="s">
        <v>50</v>
      </c>
      <c r="P756" t="str">
        <f t="shared" si="99"/>
        <v>Yes</v>
      </c>
      <c r="Q756">
        <f t="shared" si="100"/>
        <v>115.92</v>
      </c>
      <c r="R756">
        <f t="shared" si="101"/>
        <v>4.42</v>
      </c>
      <c r="S756">
        <f t="shared" si="102"/>
        <v>1.21</v>
      </c>
      <c r="T756" t="str">
        <f t="shared" si="103"/>
        <v>Delayed</v>
      </c>
      <c r="U756" t="str">
        <f t="shared" si="104"/>
        <v>Low</v>
      </c>
      <c r="V756" t="str">
        <f t="shared" si="105"/>
        <v>High Risk</v>
      </c>
      <c r="W756" t="str">
        <f t="shared" si="106"/>
        <v>Nov</v>
      </c>
      <c r="X756">
        <f t="shared" si="107"/>
        <v>2025</v>
      </c>
    </row>
    <row r="757" spans="1:24" x14ac:dyDescent="0.35">
      <c r="A757" s="3">
        <v>45784</v>
      </c>
      <c r="B757" t="s">
        <v>309</v>
      </c>
      <c r="C757" t="s">
        <v>57</v>
      </c>
      <c r="D757" t="s">
        <v>903</v>
      </c>
      <c r="E757" t="s">
        <v>55</v>
      </c>
      <c r="F757" t="s">
        <v>66</v>
      </c>
      <c r="G757" t="s">
        <v>29</v>
      </c>
      <c r="H757">
        <v>26.8</v>
      </c>
      <c r="I757">
        <v>4914</v>
      </c>
      <c r="J757">
        <v>32</v>
      </c>
      <c r="K757">
        <v>11.1</v>
      </c>
      <c r="L757" t="s">
        <v>43</v>
      </c>
      <c r="M757">
        <v>14118.29</v>
      </c>
      <c r="N757">
        <v>5301</v>
      </c>
      <c r="O757" t="s">
        <v>59</v>
      </c>
      <c r="P757" t="str">
        <f t="shared" si="99"/>
        <v>Yes</v>
      </c>
      <c r="Q757">
        <f t="shared" si="100"/>
        <v>183.36</v>
      </c>
      <c r="R757">
        <f t="shared" si="101"/>
        <v>2.87</v>
      </c>
      <c r="S757">
        <f t="shared" si="102"/>
        <v>2.66</v>
      </c>
      <c r="T757" t="str">
        <f t="shared" si="103"/>
        <v>Delayed</v>
      </c>
      <c r="U757" t="str">
        <f t="shared" si="104"/>
        <v>Low</v>
      </c>
      <c r="V757" t="str">
        <f t="shared" si="105"/>
        <v>Low Risk</v>
      </c>
      <c r="W757" t="str">
        <f t="shared" si="106"/>
        <v>May</v>
      </c>
      <c r="X757">
        <f t="shared" si="107"/>
        <v>2025</v>
      </c>
    </row>
    <row r="758" spans="1:24" x14ac:dyDescent="0.35">
      <c r="A758" s="3">
        <v>45972</v>
      </c>
      <c r="B758" t="s">
        <v>129</v>
      </c>
      <c r="C758" t="s">
        <v>39</v>
      </c>
      <c r="D758" t="s">
        <v>904</v>
      </c>
      <c r="E758" t="s">
        <v>55</v>
      </c>
      <c r="F758" t="s">
        <v>66</v>
      </c>
      <c r="G758" t="s">
        <v>42</v>
      </c>
      <c r="H758">
        <v>56.9</v>
      </c>
      <c r="I758">
        <v>2471</v>
      </c>
      <c r="J758">
        <v>39</v>
      </c>
      <c r="K758">
        <v>20.6</v>
      </c>
      <c r="L758" t="s">
        <v>43</v>
      </c>
      <c r="M758">
        <v>27017.48</v>
      </c>
      <c r="N758">
        <v>20830</v>
      </c>
      <c r="O758" t="s">
        <v>59</v>
      </c>
      <c r="P758" t="str">
        <f t="shared" si="99"/>
        <v>Yes</v>
      </c>
      <c r="Q758">
        <f t="shared" si="100"/>
        <v>43.43</v>
      </c>
      <c r="R758">
        <f t="shared" si="101"/>
        <v>10.93</v>
      </c>
      <c r="S758">
        <f t="shared" si="102"/>
        <v>1.3</v>
      </c>
      <c r="T758" t="str">
        <f t="shared" si="103"/>
        <v>Delayed</v>
      </c>
      <c r="U758" t="str">
        <f t="shared" si="104"/>
        <v>Medium</v>
      </c>
      <c r="V758" t="str">
        <f t="shared" si="105"/>
        <v>Low Risk</v>
      </c>
      <c r="W758" t="str">
        <f t="shared" si="106"/>
        <v>Nov</v>
      </c>
      <c r="X758">
        <f t="shared" si="107"/>
        <v>2025</v>
      </c>
    </row>
    <row r="759" spans="1:24" x14ac:dyDescent="0.35">
      <c r="A759" s="3">
        <v>45819</v>
      </c>
      <c r="B759" t="s">
        <v>56</v>
      </c>
      <c r="C759" t="s">
        <v>69</v>
      </c>
      <c r="D759" t="s">
        <v>905</v>
      </c>
      <c r="E759" t="s">
        <v>28</v>
      </c>
      <c r="F759" t="s">
        <v>27</v>
      </c>
      <c r="G759" t="s">
        <v>71</v>
      </c>
      <c r="H759">
        <v>74.599999999999994</v>
      </c>
      <c r="I759">
        <v>4685</v>
      </c>
      <c r="J759">
        <v>58</v>
      </c>
      <c r="K759">
        <v>19.899999999999999</v>
      </c>
      <c r="L759" t="s">
        <v>49</v>
      </c>
      <c r="M759">
        <v>36333.85</v>
      </c>
      <c r="N759">
        <v>17389</v>
      </c>
      <c r="O759" t="s">
        <v>31</v>
      </c>
      <c r="P759" t="str">
        <f t="shared" si="99"/>
        <v>Yes</v>
      </c>
      <c r="Q759">
        <f t="shared" si="100"/>
        <v>62.8</v>
      </c>
      <c r="R759">
        <f t="shared" si="101"/>
        <v>7.76</v>
      </c>
      <c r="S759">
        <f t="shared" si="102"/>
        <v>2.09</v>
      </c>
      <c r="T759" t="str">
        <f t="shared" si="103"/>
        <v>Delayed</v>
      </c>
      <c r="U759" t="str">
        <f t="shared" si="104"/>
        <v>High</v>
      </c>
      <c r="V759" t="str">
        <f t="shared" si="105"/>
        <v>High Risk</v>
      </c>
      <c r="W759" t="str">
        <f t="shared" si="106"/>
        <v>Jun</v>
      </c>
      <c r="X759">
        <f t="shared" si="107"/>
        <v>2025</v>
      </c>
    </row>
    <row r="760" spans="1:24" x14ac:dyDescent="0.35">
      <c r="A760" s="3">
        <v>45944</v>
      </c>
      <c r="B760" t="s">
        <v>146</v>
      </c>
      <c r="C760" t="s">
        <v>130</v>
      </c>
      <c r="D760" t="s">
        <v>906</v>
      </c>
      <c r="E760" t="s">
        <v>63</v>
      </c>
      <c r="F760" t="s">
        <v>55</v>
      </c>
      <c r="G760" t="s">
        <v>35</v>
      </c>
      <c r="H760">
        <v>39.4</v>
      </c>
      <c r="I760">
        <v>2162</v>
      </c>
      <c r="J760">
        <v>50</v>
      </c>
      <c r="K760">
        <v>15.7</v>
      </c>
      <c r="L760" t="s">
        <v>30</v>
      </c>
      <c r="M760">
        <v>27053.82</v>
      </c>
      <c r="N760">
        <v>20575</v>
      </c>
      <c r="O760" t="s">
        <v>91</v>
      </c>
      <c r="P760" t="str">
        <f t="shared" si="99"/>
        <v>Yes</v>
      </c>
      <c r="Q760">
        <f t="shared" si="100"/>
        <v>54.87</v>
      </c>
      <c r="R760">
        <f t="shared" si="101"/>
        <v>12.51</v>
      </c>
      <c r="S760">
        <f t="shared" si="102"/>
        <v>1.31</v>
      </c>
      <c r="T760" t="str">
        <f t="shared" si="103"/>
        <v>Delayed</v>
      </c>
      <c r="U760" t="str">
        <f t="shared" si="104"/>
        <v>Low</v>
      </c>
      <c r="V760" t="str">
        <f t="shared" si="105"/>
        <v>Medium Risk</v>
      </c>
      <c r="W760" t="str">
        <f t="shared" si="106"/>
        <v>Oct</v>
      </c>
      <c r="X760">
        <f t="shared" si="107"/>
        <v>2025</v>
      </c>
    </row>
    <row r="761" spans="1:24" x14ac:dyDescent="0.35">
      <c r="A761" s="3">
        <v>45817</v>
      </c>
      <c r="B761" t="s">
        <v>246</v>
      </c>
      <c r="C761" t="s">
        <v>39</v>
      </c>
      <c r="D761" t="s">
        <v>907</v>
      </c>
      <c r="E761" t="s">
        <v>27</v>
      </c>
      <c r="F761" t="s">
        <v>55</v>
      </c>
      <c r="G761" t="s">
        <v>35</v>
      </c>
      <c r="H761">
        <v>30.8</v>
      </c>
      <c r="I761">
        <v>1687</v>
      </c>
      <c r="J761">
        <v>69</v>
      </c>
      <c r="K761">
        <v>16.600000000000001</v>
      </c>
      <c r="L761" t="s">
        <v>30</v>
      </c>
      <c r="M761">
        <v>19601.12</v>
      </c>
      <c r="N761">
        <v>18663</v>
      </c>
      <c r="O761" t="s">
        <v>84</v>
      </c>
      <c r="P761" t="str">
        <f t="shared" si="99"/>
        <v>Yes</v>
      </c>
      <c r="Q761">
        <f t="shared" si="100"/>
        <v>54.77</v>
      </c>
      <c r="R761">
        <f t="shared" si="101"/>
        <v>11.62</v>
      </c>
      <c r="S761">
        <f t="shared" si="102"/>
        <v>1.05</v>
      </c>
      <c r="T761" t="str">
        <f t="shared" si="103"/>
        <v>Delayed</v>
      </c>
      <c r="U761" t="str">
        <f t="shared" si="104"/>
        <v>Low</v>
      </c>
      <c r="V761" t="str">
        <f t="shared" si="105"/>
        <v>Medium Risk</v>
      </c>
      <c r="W761" t="str">
        <f t="shared" si="106"/>
        <v>Jun</v>
      </c>
      <c r="X761">
        <f t="shared" si="107"/>
        <v>2025</v>
      </c>
    </row>
    <row r="762" spans="1:24" x14ac:dyDescent="0.35">
      <c r="A762" s="3">
        <v>45739</v>
      </c>
      <c r="B762" t="s">
        <v>80</v>
      </c>
      <c r="C762" t="s">
        <v>69</v>
      </c>
      <c r="D762" t="s">
        <v>908</v>
      </c>
      <c r="E762" t="s">
        <v>41</v>
      </c>
      <c r="F762" t="s">
        <v>48</v>
      </c>
      <c r="G762" t="s">
        <v>29</v>
      </c>
      <c r="H762">
        <v>76.400000000000006</v>
      </c>
      <c r="I762">
        <v>1139</v>
      </c>
      <c r="J762">
        <v>20</v>
      </c>
      <c r="K762">
        <v>20</v>
      </c>
      <c r="L762" t="s">
        <v>43</v>
      </c>
      <c r="M762">
        <v>50349.32</v>
      </c>
      <c r="N762">
        <v>23934</v>
      </c>
      <c r="O762" t="s">
        <v>50</v>
      </c>
      <c r="P762" t="str">
        <f t="shared" si="99"/>
        <v>Yes</v>
      </c>
      <c r="Q762">
        <f t="shared" si="100"/>
        <v>14.91</v>
      </c>
      <c r="R762">
        <f t="shared" si="101"/>
        <v>44.2</v>
      </c>
      <c r="S762">
        <f t="shared" si="102"/>
        <v>2.1</v>
      </c>
      <c r="T762" t="str">
        <f t="shared" si="103"/>
        <v>Delayed</v>
      </c>
      <c r="U762" t="str">
        <f t="shared" si="104"/>
        <v>High</v>
      </c>
      <c r="V762" t="str">
        <f t="shared" si="105"/>
        <v>Low Risk</v>
      </c>
      <c r="W762" t="str">
        <f t="shared" si="106"/>
        <v>Mar</v>
      </c>
      <c r="X762">
        <f t="shared" si="107"/>
        <v>2025</v>
      </c>
    </row>
    <row r="763" spans="1:24" x14ac:dyDescent="0.35">
      <c r="A763" s="3">
        <v>45938</v>
      </c>
      <c r="B763" t="s">
        <v>430</v>
      </c>
      <c r="C763" t="s">
        <v>39</v>
      </c>
      <c r="D763" t="s">
        <v>909</v>
      </c>
      <c r="E763" t="s">
        <v>41</v>
      </c>
      <c r="F763" t="s">
        <v>28</v>
      </c>
      <c r="G763" t="s">
        <v>35</v>
      </c>
      <c r="H763">
        <v>76.8</v>
      </c>
      <c r="I763">
        <v>3889</v>
      </c>
      <c r="J763">
        <v>34</v>
      </c>
      <c r="K763">
        <v>10.4</v>
      </c>
      <c r="L763" t="s">
        <v>43</v>
      </c>
      <c r="M763">
        <v>43067.41</v>
      </c>
      <c r="N763">
        <v>29224</v>
      </c>
      <c r="O763" t="s">
        <v>59</v>
      </c>
      <c r="P763" t="str">
        <f t="shared" si="99"/>
        <v>Yes</v>
      </c>
      <c r="Q763">
        <f t="shared" si="100"/>
        <v>50.64</v>
      </c>
      <c r="R763">
        <f t="shared" si="101"/>
        <v>11.07</v>
      </c>
      <c r="S763">
        <f t="shared" si="102"/>
        <v>1.47</v>
      </c>
      <c r="T763" t="str">
        <f t="shared" si="103"/>
        <v>Delayed</v>
      </c>
      <c r="U763" t="str">
        <f t="shared" si="104"/>
        <v>High</v>
      </c>
      <c r="V763" t="str">
        <f t="shared" si="105"/>
        <v>Low Risk</v>
      </c>
      <c r="W763" t="str">
        <f t="shared" si="106"/>
        <v>Oct</v>
      </c>
      <c r="X763">
        <f t="shared" si="107"/>
        <v>2025</v>
      </c>
    </row>
    <row r="764" spans="1:24" x14ac:dyDescent="0.35">
      <c r="A764" s="3">
        <v>45975</v>
      </c>
      <c r="B764" t="s">
        <v>188</v>
      </c>
      <c r="C764" t="s">
        <v>39</v>
      </c>
      <c r="D764" t="s">
        <v>910</v>
      </c>
      <c r="E764" t="s">
        <v>66</v>
      </c>
      <c r="F764" t="s">
        <v>48</v>
      </c>
      <c r="G764" t="s">
        <v>29</v>
      </c>
      <c r="H764">
        <v>34</v>
      </c>
      <c r="I764">
        <v>1184</v>
      </c>
      <c r="J764">
        <v>36</v>
      </c>
      <c r="K764">
        <v>20.9</v>
      </c>
      <c r="L764" t="s">
        <v>43</v>
      </c>
      <c r="M764">
        <v>18280.87</v>
      </c>
      <c r="N764">
        <v>11556</v>
      </c>
      <c r="O764" t="s">
        <v>50</v>
      </c>
      <c r="P764" t="str">
        <f t="shared" si="99"/>
        <v>Yes</v>
      </c>
      <c r="Q764">
        <f t="shared" si="100"/>
        <v>34.82</v>
      </c>
      <c r="R764">
        <f t="shared" si="101"/>
        <v>15.44</v>
      </c>
      <c r="S764">
        <f t="shared" si="102"/>
        <v>1.58</v>
      </c>
      <c r="T764" t="str">
        <f t="shared" si="103"/>
        <v>Delayed</v>
      </c>
      <c r="U764" t="str">
        <f t="shared" si="104"/>
        <v>Low</v>
      </c>
      <c r="V764" t="str">
        <f t="shared" si="105"/>
        <v>Low Risk</v>
      </c>
      <c r="W764" t="str">
        <f t="shared" si="106"/>
        <v>Nov</v>
      </c>
      <c r="X764">
        <f t="shared" si="107"/>
        <v>2025</v>
      </c>
    </row>
    <row r="765" spans="1:24" x14ac:dyDescent="0.35">
      <c r="A765" s="3">
        <v>45887</v>
      </c>
      <c r="B765" t="s">
        <v>199</v>
      </c>
      <c r="C765" t="s">
        <v>69</v>
      </c>
      <c r="D765" t="s">
        <v>911</v>
      </c>
      <c r="E765" t="s">
        <v>41</v>
      </c>
      <c r="F765" t="s">
        <v>54</v>
      </c>
      <c r="G765" t="s">
        <v>71</v>
      </c>
      <c r="H765">
        <v>48.3</v>
      </c>
      <c r="I765">
        <v>1133</v>
      </c>
      <c r="J765">
        <v>51</v>
      </c>
      <c r="K765">
        <v>17.899999999999999</v>
      </c>
      <c r="L765" t="s">
        <v>78</v>
      </c>
      <c r="M765">
        <v>29109.14</v>
      </c>
      <c r="N765">
        <v>20845</v>
      </c>
      <c r="O765" t="s">
        <v>91</v>
      </c>
      <c r="P765" t="str">
        <f t="shared" si="99"/>
        <v>No</v>
      </c>
      <c r="Q765">
        <f t="shared" si="100"/>
        <v>23.46</v>
      </c>
      <c r="R765">
        <f t="shared" si="101"/>
        <v>25.69</v>
      </c>
      <c r="S765">
        <f t="shared" si="102"/>
        <v>1.4</v>
      </c>
      <c r="T765" t="str">
        <f t="shared" si="103"/>
        <v>On Time</v>
      </c>
      <c r="U765" t="str">
        <f t="shared" si="104"/>
        <v>Medium</v>
      </c>
      <c r="V765" t="str">
        <f t="shared" si="105"/>
        <v>Low Risk</v>
      </c>
      <c r="W765" t="str">
        <f t="shared" si="106"/>
        <v>Aug</v>
      </c>
      <c r="X765">
        <f t="shared" si="107"/>
        <v>2025</v>
      </c>
    </row>
    <row r="766" spans="1:24" x14ac:dyDescent="0.35">
      <c r="A766" s="3">
        <v>45688</v>
      </c>
      <c r="B766" t="s">
        <v>366</v>
      </c>
      <c r="C766" t="s">
        <v>39</v>
      </c>
      <c r="D766" t="s">
        <v>912</v>
      </c>
      <c r="E766" t="s">
        <v>54</v>
      </c>
      <c r="F766" t="s">
        <v>63</v>
      </c>
      <c r="G766" t="s">
        <v>71</v>
      </c>
      <c r="H766">
        <v>31.1</v>
      </c>
      <c r="I766">
        <v>1284</v>
      </c>
      <c r="J766">
        <v>117</v>
      </c>
      <c r="K766">
        <v>20.399999999999999</v>
      </c>
      <c r="L766" t="s">
        <v>78</v>
      </c>
      <c r="M766">
        <v>19748.86</v>
      </c>
      <c r="N766">
        <v>14997</v>
      </c>
      <c r="O766" t="s">
        <v>50</v>
      </c>
      <c r="P766" t="str">
        <f t="shared" si="99"/>
        <v>No</v>
      </c>
      <c r="Q766">
        <f t="shared" si="100"/>
        <v>41.29</v>
      </c>
      <c r="R766">
        <f t="shared" si="101"/>
        <v>15.38</v>
      </c>
      <c r="S766">
        <f t="shared" si="102"/>
        <v>1.32</v>
      </c>
      <c r="T766" t="str">
        <f t="shared" si="103"/>
        <v>On Time</v>
      </c>
      <c r="U766" t="str">
        <f t="shared" si="104"/>
        <v>Low</v>
      </c>
      <c r="V766" t="str">
        <f t="shared" si="105"/>
        <v>Low Risk</v>
      </c>
      <c r="W766" t="str">
        <f t="shared" si="106"/>
        <v>Jan</v>
      </c>
      <c r="X766">
        <f t="shared" si="107"/>
        <v>2025</v>
      </c>
    </row>
    <row r="767" spans="1:24" x14ac:dyDescent="0.35">
      <c r="A767" s="3">
        <v>45782</v>
      </c>
      <c r="B767" t="s">
        <v>136</v>
      </c>
      <c r="C767" t="s">
        <v>130</v>
      </c>
      <c r="D767" t="s">
        <v>913</v>
      </c>
      <c r="E767" t="s">
        <v>41</v>
      </c>
      <c r="F767" t="s">
        <v>55</v>
      </c>
      <c r="G767" t="s">
        <v>35</v>
      </c>
      <c r="H767">
        <v>70.2</v>
      </c>
      <c r="I767">
        <v>4365</v>
      </c>
      <c r="J767">
        <v>96</v>
      </c>
      <c r="K767">
        <v>12.9</v>
      </c>
      <c r="L767" t="s">
        <v>30</v>
      </c>
      <c r="M767">
        <v>38324.199999999997</v>
      </c>
      <c r="N767">
        <v>23293</v>
      </c>
      <c r="O767" t="s">
        <v>59</v>
      </c>
      <c r="P767" t="str">
        <f t="shared" si="99"/>
        <v>Yes</v>
      </c>
      <c r="Q767">
        <f t="shared" si="100"/>
        <v>62.18</v>
      </c>
      <c r="R767">
        <f t="shared" si="101"/>
        <v>8.7799999999999994</v>
      </c>
      <c r="S767">
        <f t="shared" si="102"/>
        <v>1.65</v>
      </c>
      <c r="T767" t="str">
        <f t="shared" si="103"/>
        <v>Delayed</v>
      </c>
      <c r="U767" t="str">
        <f t="shared" si="104"/>
        <v>High</v>
      </c>
      <c r="V767" t="str">
        <f t="shared" si="105"/>
        <v>Medium Risk</v>
      </c>
      <c r="W767" t="str">
        <f t="shared" si="106"/>
        <v>May</v>
      </c>
      <c r="X767">
        <f t="shared" si="107"/>
        <v>2025</v>
      </c>
    </row>
    <row r="768" spans="1:24" x14ac:dyDescent="0.35">
      <c r="A768" s="3">
        <v>45824</v>
      </c>
      <c r="B768" t="s">
        <v>162</v>
      </c>
      <c r="C768" t="s">
        <v>130</v>
      </c>
      <c r="D768" t="s">
        <v>914</v>
      </c>
      <c r="E768" t="s">
        <v>41</v>
      </c>
      <c r="F768" t="s">
        <v>63</v>
      </c>
      <c r="G768" t="s">
        <v>42</v>
      </c>
      <c r="H768">
        <v>25.5</v>
      </c>
      <c r="I768">
        <v>2460</v>
      </c>
      <c r="J768">
        <v>34</v>
      </c>
      <c r="K768">
        <v>17.2</v>
      </c>
      <c r="L768" t="s">
        <v>30</v>
      </c>
      <c r="M768">
        <v>14661.79</v>
      </c>
      <c r="N768">
        <v>20749</v>
      </c>
      <c r="O768" t="s">
        <v>59</v>
      </c>
      <c r="P768" t="str">
        <f t="shared" si="99"/>
        <v>Yes</v>
      </c>
      <c r="Q768">
        <f t="shared" si="100"/>
        <v>96.47</v>
      </c>
      <c r="R768">
        <f t="shared" si="101"/>
        <v>5.96</v>
      </c>
      <c r="S768">
        <f t="shared" si="102"/>
        <v>0.71</v>
      </c>
      <c r="T768" t="str">
        <f t="shared" si="103"/>
        <v>Delayed</v>
      </c>
      <c r="U768" t="str">
        <f t="shared" si="104"/>
        <v>Low</v>
      </c>
      <c r="V768" t="str">
        <f t="shared" si="105"/>
        <v>Medium Risk</v>
      </c>
      <c r="W768" t="str">
        <f t="shared" si="106"/>
        <v>Jun</v>
      </c>
      <c r="X768">
        <f t="shared" si="107"/>
        <v>2025</v>
      </c>
    </row>
    <row r="769" spans="1:24" x14ac:dyDescent="0.35">
      <c r="A769" s="3">
        <v>45797</v>
      </c>
      <c r="B769" t="s">
        <v>193</v>
      </c>
      <c r="C769" t="s">
        <v>25</v>
      </c>
      <c r="D769" t="s">
        <v>915</v>
      </c>
      <c r="E769" t="s">
        <v>48</v>
      </c>
      <c r="F769" t="s">
        <v>55</v>
      </c>
      <c r="G769" t="s">
        <v>42</v>
      </c>
      <c r="H769">
        <v>55.3</v>
      </c>
      <c r="I769">
        <v>4566</v>
      </c>
      <c r="J769">
        <v>20</v>
      </c>
      <c r="K769">
        <v>17.2</v>
      </c>
      <c r="L769" t="s">
        <v>49</v>
      </c>
      <c r="M769">
        <v>32906.31</v>
      </c>
      <c r="N769">
        <v>24572</v>
      </c>
      <c r="O769" t="s">
        <v>91</v>
      </c>
      <c r="P769" t="str">
        <f t="shared" si="99"/>
        <v>Yes</v>
      </c>
      <c r="Q769">
        <f t="shared" si="100"/>
        <v>82.57</v>
      </c>
      <c r="R769">
        <f t="shared" si="101"/>
        <v>7.21</v>
      </c>
      <c r="S769">
        <f t="shared" si="102"/>
        <v>1.34</v>
      </c>
      <c r="T769" t="str">
        <f t="shared" si="103"/>
        <v>Delayed</v>
      </c>
      <c r="U769" t="str">
        <f t="shared" si="104"/>
        <v>Medium</v>
      </c>
      <c r="V769" t="str">
        <f t="shared" si="105"/>
        <v>High Risk</v>
      </c>
      <c r="W769" t="str">
        <f t="shared" si="106"/>
        <v>May</v>
      </c>
      <c r="X769">
        <f t="shared" si="107"/>
        <v>2025</v>
      </c>
    </row>
    <row r="770" spans="1:24" x14ac:dyDescent="0.35">
      <c r="A770" s="3">
        <v>45963</v>
      </c>
      <c r="B770" t="s">
        <v>127</v>
      </c>
      <c r="C770" t="s">
        <v>57</v>
      </c>
      <c r="D770" t="s">
        <v>916</v>
      </c>
      <c r="E770" t="s">
        <v>48</v>
      </c>
      <c r="F770" t="s">
        <v>66</v>
      </c>
      <c r="G770" t="s">
        <v>71</v>
      </c>
      <c r="H770">
        <v>36.9</v>
      </c>
      <c r="I770">
        <v>1368</v>
      </c>
      <c r="J770">
        <v>45</v>
      </c>
      <c r="K770">
        <v>18.899999999999999</v>
      </c>
      <c r="L770" t="s">
        <v>49</v>
      </c>
      <c r="M770">
        <v>19489.68</v>
      </c>
      <c r="N770">
        <v>10260</v>
      </c>
      <c r="O770" t="s">
        <v>31</v>
      </c>
      <c r="P770" t="str">
        <f t="shared" ref="P770:P833" si="108">IF(OR(L770="Rain",L770="Fog",L770="Storm"),"Yes","No")</f>
        <v>Yes</v>
      </c>
      <c r="Q770">
        <f t="shared" ref="Q770:Q833" si="109">ROUND(I770/H770,2)</f>
        <v>37.07</v>
      </c>
      <c r="R770">
        <f t="shared" ref="R770:R833" si="110">ROUND(M770/I770,2)</f>
        <v>14.25</v>
      </c>
      <c r="S770">
        <f t="shared" ref="S770:S833" si="111">ROUND(M770/N770,2)</f>
        <v>1.9</v>
      </c>
      <c r="T770" t="str">
        <f t="shared" ref="T770:T833" si="112">IF(P770="Yes","Delayed","On Time")</f>
        <v>Delayed</v>
      </c>
      <c r="U770" t="str">
        <f t="shared" ref="U770:U833" si="113">IF(H770&gt;=60,"High",IF(H770&gt;=40,"Medium","Low"))</f>
        <v>Low</v>
      </c>
      <c r="V770" t="str">
        <f t="shared" ref="V770:V833" si="114">IF(L770="Storm","High Risk",IF(L770="Rain","Medium Risk","Low Risk"))</f>
        <v>High Risk</v>
      </c>
      <c r="W770" t="str">
        <f t="shared" ref="W770:W833" si="115">TEXT(A770,"mmm")</f>
        <v>Nov</v>
      </c>
      <c r="X770">
        <f t="shared" si="107"/>
        <v>2025</v>
      </c>
    </row>
    <row r="771" spans="1:24" x14ac:dyDescent="0.35">
      <c r="A771" s="3">
        <v>45750</v>
      </c>
      <c r="B771" t="s">
        <v>113</v>
      </c>
      <c r="C771" t="s">
        <v>95</v>
      </c>
      <c r="D771" t="s">
        <v>917</v>
      </c>
      <c r="E771" t="s">
        <v>28</v>
      </c>
      <c r="F771" t="s">
        <v>55</v>
      </c>
      <c r="G771" t="s">
        <v>35</v>
      </c>
      <c r="H771">
        <v>24.1</v>
      </c>
      <c r="I771">
        <v>3057</v>
      </c>
      <c r="J771">
        <v>22</v>
      </c>
      <c r="K771">
        <v>13.7</v>
      </c>
      <c r="L771" t="s">
        <v>78</v>
      </c>
      <c r="M771">
        <v>14032.95</v>
      </c>
      <c r="N771">
        <v>9244</v>
      </c>
      <c r="O771" t="s">
        <v>50</v>
      </c>
      <c r="P771" t="str">
        <f t="shared" si="108"/>
        <v>No</v>
      </c>
      <c r="Q771">
        <f t="shared" si="109"/>
        <v>126.85</v>
      </c>
      <c r="R771">
        <f t="shared" si="110"/>
        <v>4.59</v>
      </c>
      <c r="S771">
        <f t="shared" si="111"/>
        <v>1.52</v>
      </c>
      <c r="T771" t="str">
        <f t="shared" si="112"/>
        <v>On Time</v>
      </c>
      <c r="U771" t="str">
        <f t="shared" si="113"/>
        <v>Low</v>
      </c>
      <c r="V771" t="str">
        <f t="shared" si="114"/>
        <v>Low Risk</v>
      </c>
      <c r="W771" t="str">
        <f t="shared" si="115"/>
        <v>Apr</v>
      </c>
      <c r="X771">
        <f t="shared" ref="X771:X834" si="116">YEAR(A771)</f>
        <v>2025</v>
      </c>
    </row>
    <row r="772" spans="1:24" x14ac:dyDescent="0.35">
      <c r="A772" s="3">
        <v>45873</v>
      </c>
      <c r="B772" t="s">
        <v>125</v>
      </c>
      <c r="C772" t="s">
        <v>39</v>
      </c>
      <c r="D772" t="s">
        <v>918</v>
      </c>
      <c r="E772" t="s">
        <v>55</v>
      </c>
      <c r="F772" t="s">
        <v>27</v>
      </c>
      <c r="G772" t="s">
        <v>35</v>
      </c>
      <c r="H772">
        <v>47</v>
      </c>
      <c r="I772">
        <v>3357</v>
      </c>
      <c r="J772">
        <v>95</v>
      </c>
      <c r="K772">
        <v>16.600000000000001</v>
      </c>
      <c r="L772" t="s">
        <v>49</v>
      </c>
      <c r="M772">
        <v>21158.59</v>
      </c>
      <c r="N772">
        <v>12257</v>
      </c>
      <c r="O772" t="s">
        <v>50</v>
      </c>
      <c r="P772" t="str">
        <f t="shared" si="108"/>
        <v>Yes</v>
      </c>
      <c r="Q772">
        <f t="shared" si="109"/>
        <v>71.430000000000007</v>
      </c>
      <c r="R772">
        <f t="shared" si="110"/>
        <v>6.3</v>
      </c>
      <c r="S772">
        <f t="shared" si="111"/>
        <v>1.73</v>
      </c>
      <c r="T772" t="str">
        <f t="shared" si="112"/>
        <v>Delayed</v>
      </c>
      <c r="U772" t="str">
        <f t="shared" si="113"/>
        <v>Medium</v>
      </c>
      <c r="V772" t="str">
        <f t="shared" si="114"/>
        <v>High Risk</v>
      </c>
      <c r="W772" t="str">
        <f t="shared" si="115"/>
        <v>Aug</v>
      </c>
      <c r="X772">
        <f t="shared" si="116"/>
        <v>2025</v>
      </c>
    </row>
    <row r="773" spans="1:24" x14ac:dyDescent="0.35">
      <c r="A773" s="3">
        <v>45963</v>
      </c>
      <c r="B773" t="s">
        <v>207</v>
      </c>
      <c r="C773" t="s">
        <v>25</v>
      </c>
      <c r="D773" t="s">
        <v>919</v>
      </c>
      <c r="E773" t="s">
        <v>54</v>
      </c>
      <c r="F773" t="s">
        <v>55</v>
      </c>
      <c r="G773" t="s">
        <v>71</v>
      </c>
      <c r="H773">
        <v>20.399999999999999</v>
      </c>
      <c r="I773">
        <v>4683</v>
      </c>
      <c r="J773">
        <v>36</v>
      </c>
      <c r="K773">
        <v>18.7</v>
      </c>
      <c r="L773" t="s">
        <v>78</v>
      </c>
      <c r="M773">
        <v>12865</v>
      </c>
      <c r="N773">
        <v>23649</v>
      </c>
      <c r="O773" t="s">
        <v>91</v>
      </c>
      <c r="P773" t="str">
        <f t="shared" si="108"/>
        <v>No</v>
      </c>
      <c r="Q773">
        <f t="shared" si="109"/>
        <v>229.56</v>
      </c>
      <c r="R773">
        <f t="shared" si="110"/>
        <v>2.75</v>
      </c>
      <c r="S773">
        <f t="shared" si="111"/>
        <v>0.54</v>
      </c>
      <c r="T773" t="str">
        <f t="shared" si="112"/>
        <v>On Time</v>
      </c>
      <c r="U773" t="str">
        <f t="shared" si="113"/>
        <v>Low</v>
      </c>
      <c r="V773" t="str">
        <f t="shared" si="114"/>
        <v>Low Risk</v>
      </c>
      <c r="W773" t="str">
        <f t="shared" si="115"/>
        <v>Nov</v>
      </c>
      <c r="X773">
        <f t="shared" si="116"/>
        <v>2025</v>
      </c>
    </row>
    <row r="774" spans="1:24" x14ac:dyDescent="0.35">
      <c r="A774" s="3">
        <v>45732</v>
      </c>
      <c r="B774" t="s">
        <v>173</v>
      </c>
      <c r="C774" t="s">
        <v>109</v>
      </c>
      <c r="D774" t="s">
        <v>920</v>
      </c>
      <c r="E774" t="s">
        <v>48</v>
      </c>
      <c r="F774" t="s">
        <v>55</v>
      </c>
      <c r="G774" t="s">
        <v>71</v>
      </c>
      <c r="H774">
        <v>37.700000000000003</v>
      </c>
      <c r="I774">
        <v>4653</v>
      </c>
      <c r="J774">
        <v>114</v>
      </c>
      <c r="K774">
        <v>20.9</v>
      </c>
      <c r="L774" t="s">
        <v>78</v>
      </c>
      <c r="M774">
        <v>24007.26</v>
      </c>
      <c r="N774">
        <v>5971</v>
      </c>
      <c r="O774" t="s">
        <v>84</v>
      </c>
      <c r="P774" t="str">
        <f t="shared" si="108"/>
        <v>No</v>
      </c>
      <c r="Q774">
        <f t="shared" si="109"/>
        <v>123.42</v>
      </c>
      <c r="R774">
        <f t="shared" si="110"/>
        <v>5.16</v>
      </c>
      <c r="S774">
        <f t="shared" si="111"/>
        <v>4.0199999999999996</v>
      </c>
      <c r="T774" t="str">
        <f t="shared" si="112"/>
        <v>On Time</v>
      </c>
      <c r="U774" t="str">
        <f t="shared" si="113"/>
        <v>Low</v>
      </c>
      <c r="V774" t="str">
        <f t="shared" si="114"/>
        <v>Low Risk</v>
      </c>
      <c r="W774" t="str">
        <f t="shared" si="115"/>
        <v>Mar</v>
      </c>
      <c r="X774">
        <f t="shared" si="116"/>
        <v>2025</v>
      </c>
    </row>
    <row r="775" spans="1:24" x14ac:dyDescent="0.35">
      <c r="A775" s="3">
        <v>45842</v>
      </c>
      <c r="B775" t="s">
        <v>309</v>
      </c>
      <c r="C775" t="s">
        <v>57</v>
      </c>
      <c r="D775" t="s">
        <v>921</v>
      </c>
      <c r="E775" t="s">
        <v>28</v>
      </c>
      <c r="F775" t="s">
        <v>63</v>
      </c>
      <c r="G775" t="s">
        <v>71</v>
      </c>
      <c r="H775">
        <v>27.7</v>
      </c>
      <c r="I775">
        <v>3710</v>
      </c>
      <c r="J775">
        <v>90</v>
      </c>
      <c r="K775">
        <v>11.1</v>
      </c>
      <c r="L775" t="s">
        <v>49</v>
      </c>
      <c r="M775">
        <v>14904.55</v>
      </c>
      <c r="N775">
        <v>28128</v>
      </c>
      <c r="O775" t="s">
        <v>44</v>
      </c>
      <c r="P775" t="str">
        <f t="shared" si="108"/>
        <v>Yes</v>
      </c>
      <c r="Q775">
        <f t="shared" si="109"/>
        <v>133.94</v>
      </c>
      <c r="R775">
        <f t="shared" si="110"/>
        <v>4.0199999999999996</v>
      </c>
      <c r="S775">
        <f t="shared" si="111"/>
        <v>0.53</v>
      </c>
      <c r="T775" t="str">
        <f t="shared" si="112"/>
        <v>Delayed</v>
      </c>
      <c r="U775" t="str">
        <f t="shared" si="113"/>
        <v>Low</v>
      </c>
      <c r="V775" t="str">
        <f t="shared" si="114"/>
        <v>High Risk</v>
      </c>
      <c r="W775" t="str">
        <f t="shared" si="115"/>
        <v>Jul</v>
      </c>
      <c r="X775">
        <f t="shared" si="116"/>
        <v>2025</v>
      </c>
    </row>
    <row r="776" spans="1:24" x14ac:dyDescent="0.35">
      <c r="A776" s="3">
        <v>45788</v>
      </c>
      <c r="B776" t="s">
        <v>146</v>
      </c>
      <c r="C776" t="s">
        <v>57</v>
      </c>
      <c r="D776" t="s">
        <v>922</v>
      </c>
      <c r="E776" t="s">
        <v>55</v>
      </c>
      <c r="F776" t="s">
        <v>48</v>
      </c>
      <c r="G776" t="s">
        <v>42</v>
      </c>
      <c r="H776">
        <v>59.6</v>
      </c>
      <c r="I776">
        <v>4986</v>
      </c>
      <c r="J776">
        <v>59</v>
      </c>
      <c r="K776">
        <v>12.5</v>
      </c>
      <c r="L776" t="s">
        <v>49</v>
      </c>
      <c r="M776">
        <v>29109.09</v>
      </c>
      <c r="N776">
        <v>19729</v>
      </c>
      <c r="O776" t="s">
        <v>31</v>
      </c>
      <c r="P776" t="str">
        <f t="shared" si="108"/>
        <v>Yes</v>
      </c>
      <c r="Q776">
        <f t="shared" si="109"/>
        <v>83.66</v>
      </c>
      <c r="R776">
        <f t="shared" si="110"/>
        <v>5.84</v>
      </c>
      <c r="S776">
        <f t="shared" si="111"/>
        <v>1.48</v>
      </c>
      <c r="T776" t="str">
        <f t="shared" si="112"/>
        <v>Delayed</v>
      </c>
      <c r="U776" t="str">
        <f t="shared" si="113"/>
        <v>Medium</v>
      </c>
      <c r="V776" t="str">
        <f t="shared" si="114"/>
        <v>High Risk</v>
      </c>
      <c r="W776" t="str">
        <f t="shared" si="115"/>
        <v>May</v>
      </c>
      <c r="X776">
        <f t="shared" si="116"/>
        <v>2025</v>
      </c>
    </row>
    <row r="777" spans="1:24" x14ac:dyDescent="0.35">
      <c r="A777" s="3">
        <v>45883</v>
      </c>
      <c r="B777" t="s">
        <v>123</v>
      </c>
      <c r="C777" t="s">
        <v>39</v>
      </c>
      <c r="D777" t="s">
        <v>923</v>
      </c>
      <c r="E777" t="s">
        <v>55</v>
      </c>
      <c r="F777" t="s">
        <v>48</v>
      </c>
      <c r="G777" t="s">
        <v>71</v>
      </c>
      <c r="H777">
        <v>64.3</v>
      </c>
      <c r="I777">
        <v>1051</v>
      </c>
      <c r="J777">
        <v>74</v>
      </c>
      <c r="K777">
        <v>11.6</v>
      </c>
      <c r="L777" t="s">
        <v>49</v>
      </c>
      <c r="M777">
        <v>42502.06</v>
      </c>
      <c r="N777">
        <v>16398</v>
      </c>
      <c r="O777" t="s">
        <v>50</v>
      </c>
      <c r="P777" t="str">
        <f t="shared" si="108"/>
        <v>Yes</v>
      </c>
      <c r="Q777">
        <f t="shared" si="109"/>
        <v>16.350000000000001</v>
      </c>
      <c r="R777">
        <f t="shared" si="110"/>
        <v>40.44</v>
      </c>
      <c r="S777">
        <f t="shared" si="111"/>
        <v>2.59</v>
      </c>
      <c r="T777" t="str">
        <f t="shared" si="112"/>
        <v>Delayed</v>
      </c>
      <c r="U777" t="str">
        <f t="shared" si="113"/>
        <v>High</v>
      </c>
      <c r="V777" t="str">
        <f t="shared" si="114"/>
        <v>High Risk</v>
      </c>
      <c r="W777" t="str">
        <f t="shared" si="115"/>
        <v>Aug</v>
      </c>
      <c r="X777">
        <f t="shared" si="116"/>
        <v>2025</v>
      </c>
    </row>
    <row r="778" spans="1:24" x14ac:dyDescent="0.35">
      <c r="A778" s="3">
        <v>45966</v>
      </c>
      <c r="B778" t="s">
        <v>188</v>
      </c>
      <c r="C778" t="s">
        <v>39</v>
      </c>
      <c r="D778" t="s">
        <v>924</v>
      </c>
      <c r="E778" t="s">
        <v>55</v>
      </c>
      <c r="F778" t="s">
        <v>66</v>
      </c>
      <c r="G778" t="s">
        <v>71</v>
      </c>
      <c r="H778">
        <v>26</v>
      </c>
      <c r="I778">
        <v>2721</v>
      </c>
      <c r="J778">
        <v>96</v>
      </c>
      <c r="K778">
        <v>10.3</v>
      </c>
      <c r="L778" t="s">
        <v>49</v>
      </c>
      <c r="M778">
        <v>14297.02</v>
      </c>
      <c r="N778">
        <v>9665</v>
      </c>
      <c r="O778" t="s">
        <v>36</v>
      </c>
      <c r="P778" t="str">
        <f t="shared" si="108"/>
        <v>Yes</v>
      </c>
      <c r="Q778">
        <f t="shared" si="109"/>
        <v>104.65</v>
      </c>
      <c r="R778">
        <f t="shared" si="110"/>
        <v>5.25</v>
      </c>
      <c r="S778">
        <f t="shared" si="111"/>
        <v>1.48</v>
      </c>
      <c r="T778" t="str">
        <f t="shared" si="112"/>
        <v>Delayed</v>
      </c>
      <c r="U778" t="str">
        <f t="shared" si="113"/>
        <v>Low</v>
      </c>
      <c r="V778" t="str">
        <f t="shared" si="114"/>
        <v>High Risk</v>
      </c>
      <c r="W778" t="str">
        <f t="shared" si="115"/>
        <v>Nov</v>
      </c>
      <c r="X778">
        <f t="shared" si="116"/>
        <v>2025</v>
      </c>
    </row>
    <row r="779" spans="1:24" x14ac:dyDescent="0.35">
      <c r="A779" s="3">
        <v>45723</v>
      </c>
      <c r="B779" t="s">
        <v>173</v>
      </c>
      <c r="C779" t="s">
        <v>57</v>
      </c>
      <c r="D779" t="s">
        <v>925</v>
      </c>
      <c r="E779" t="s">
        <v>28</v>
      </c>
      <c r="F779" t="s">
        <v>66</v>
      </c>
      <c r="G779" t="s">
        <v>29</v>
      </c>
      <c r="H779">
        <v>28.9</v>
      </c>
      <c r="I779">
        <v>3207</v>
      </c>
      <c r="J779">
        <v>120</v>
      </c>
      <c r="K779">
        <v>18.8</v>
      </c>
      <c r="L779" t="s">
        <v>49</v>
      </c>
      <c r="M779">
        <v>17817.37</v>
      </c>
      <c r="N779">
        <v>25584</v>
      </c>
      <c r="O779" t="s">
        <v>36</v>
      </c>
      <c r="P779" t="str">
        <f t="shared" si="108"/>
        <v>Yes</v>
      </c>
      <c r="Q779">
        <f t="shared" si="109"/>
        <v>110.97</v>
      </c>
      <c r="R779">
        <f t="shared" si="110"/>
        <v>5.56</v>
      </c>
      <c r="S779">
        <f t="shared" si="111"/>
        <v>0.7</v>
      </c>
      <c r="T779" t="str">
        <f t="shared" si="112"/>
        <v>Delayed</v>
      </c>
      <c r="U779" t="str">
        <f t="shared" si="113"/>
        <v>Low</v>
      </c>
      <c r="V779" t="str">
        <f t="shared" si="114"/>
        <v>High Risk</v>
      </c>
      <c r="W779" t="str">
        <f t="shared" si="115"/>
        <v>Mar</v>
      </c>
      <c r="X779">
        <f t="shared" si="116"/>
        <v>2025</v>
      </c>
    </row>
    <row r="780" spans="1:24" x14ac:dyDescent="0.35">
      <c r="A780" s="3">
        <v>45946</v>
      </c>
      <c r="B780" t="s">
        <v>430</v>
      </c>
      <c r="C780" t="s">
        <v>52</v>
      </c>
      <c r="D780" t="s">
        <v>926</v>
      </c>
      <c r="E780" t="s">
        <v>63</v>
      </c>
      <c r="F780" t="s">
        <v>48</v>
      </c>
      <c r="G780" t="s">
        <v>71</v>
      </c>
      <c r="H780">
        <v>25.3</v>
      </c>
      <c r="I780">
        <v>2304</v>
      </c>
      <c r="J780">
        <v>37</v>
      </c>
      <c r="K780">
        <v>10.199999999999999</v>
      </c>
      <c r="L780" t="s">
        <v>30</v>
      </c>
      <c r="M780">
        <v>11660.21</v>
      </c>
      <c r="N780">
        <v>28662</v>
      </c>
      <c r="O780" t="s">
        <v>91</v>
      </c>
      <c r="P780" t="str">
        <f t="shared" si="108"/>
        <v>Yes</v>
      </c>
      <c r="Q780">
        <f t="shared" si="109"/>
        <v>91.07</v>
      </c>
      <c r="R780">
        <f t="shared" si="110"/>
        <v>5.0599999999999996</v>
      </c>
      <c r="S780">
        <f t="shared" si="111"/>
        <v>0.41</v>
      </c>
      <c r="T780" t="str">
        <f t="shared" si="112"/>
        <v>Delayed</v>
      </c>
      <c r="U780" t="str">
        <f t="shared" si="113"/>
        <v>Low</v>
      </c>
      <c r="V780" t="str">
        <f t="shared" si="114"/>
        <v>Medium Risk</v>
      </c>
      <c r="W780" t="str">
        <f t="shared" si="115"/>
        <v>Oct</v>
      </c>
      <c r="X780">
        <f t="shared" si="116"/>
        <v>2025</v>
      </c>
    </row>
    <row r="781" spans="1:24" x14ac:dyDescent="0.35">
      <c r="A781" s="3">
        <v>46014</v>
      </c>
      <c r="B781" t="s">
        <v>366</v>
      </c>
      <c r="C781" t="s">
        <v>95</v>
      </c>
      <c r="D781" t="s">
        <v>927</v>
      </c>
      <c r="E781" t="s">
        <v>41</v>
      </c>
      <c r="F781" t="s">
        <v>55</v>
      </c>
      <c r="G781" t="s">
        <v>71</v>
      </c>
      <c r="H781">
        <v>66.5</v>
      </c>
      <c r="I781">
        <v>4547</v>
      </c>
      <c r="J781">
        <v>92</v>
      </c>
      <c r="K781">
        <v>14.3</v>
      </c>
      <c r="L781" t="s">
        <v>49</v>
      </c>
      <c r="M781">
        <v>37883.47</v>
      </c>
      <c r="N781">
        <v>27486</v>
      </c>
      <c r="O781" t="s">
        <v>50</v>
      </c>
      <c r="P781" t="str">
        <f t="shared" si="108"/>
        <v>Yes</v>
      </c>
      <c r="Q781">
        <f t="shared" si="109"/>
        <v>68.38</v>
      </c>
      <c r="R781">
        <f t="shared" si="110"/>
        <v>8.33</v>
      </c>
      <c r="S781">
        <f t="shared" si="111"/>
        <v>1.38</v>
      </c>
      <c r="T781" t="str">
        <f t="shared" si="112"/>
        <v>Delayed</v>
      </c>
      <c r="U781" t="str">
        <f t="shared" si="113"/>
        <v>High</v>
      </c>
      <c r="V781" t="str">
        <f t="shared" si="114"/>
        <v>High Risk</v>
      </c>
      <c r="W781" t="str">
        <f t="shared" si="115"/>
        <v>Dec</v>
      </c>
      <c r="X781">
        <f t="shared" si="116"/>
        <v>2025</v>
      </c>
    </row>
    <row r="782" spans="1:24" x14ac:dyDescent="0.35">
      <c r="A782" s="3">
        <v>45708</v>
      </c>
      <c r="B782" t="s">
        <v>136</v>
      </c>
      <c r="C782" t="s">
        <v>25</v>
      </c>
      <c r="D782" t="s">
        <v>928</v>
      </c>
      <c r="E782" t="s">
        <v>28</v>
      </c>
      <c r="F782" t="s">
        <v>27</v>
      </c>
      <c r="G782" t="s">
        <v>29</v>
      </c>
      <c r="H782">
        <v>36.9</v>
      </c>
      <c r="I782">
        <v>2874</v>
      </c>
      <c r="J782">
        <v>26</v>
      </c>
      <c r="K782">
        <v>12</v>
      </c>
      <c r="L782" t="s">
        <v>78</v>
      </c>
      <c r="M782">
        <v>24357.35</v>
      </c>
      <c r="N782">
        <v>29211</v>
      </c>
      <c r="O782" t="s">
        <v>36</v>
      </c>
      <c r="P782" t="str">
        <f t="shared" si="108"/>
        <v>No</v>
      </c>
      <c r="Q782">
        <f t="shared" si="109"/>
        <v>77.89</v>
      </c>
      <c r="R782">
        <f t="shared" si="110"/>
        <v>8.48</v>
      </c>
      <c r="S782">
        <f t="shared" si="111"/>
        <v>0.83</v>
      </c>
      <c r="T782" t="str">
        <f t="shared" si="112"/>
        <v>On Time</v>
      </c>
      <c r="U782" t="str">
        <f t="shared" si="113"/>
        <v>Low</v>
      </c>
      <c r="V782" t="str">
        <f t="shared" si="114"/>
        <v>Low Risk</v>
      </c>
      <c r="W782" t="str">
        <f t="shared" si="115"/>
        <v>Feb</v>
      </c>
      <c r="X782">
        <f t="shared" si="116"/>
        <v>2025</v>
      </c>
    </row>
    <row r="783" spans="1:24" x14ac:dyDescent="0.35">
      <c r="A783" s="3">
        <v>45805</v>
      </c>
      <c r="B783" t="s">
        <v>167</v>
      </c>
      <c r="C783" t="s">
        <v>57</v>
      </c>
      <c r="D783" t="s">
        <v>929</v>
      </c>
      <c r="E783" t="s">
        <v>66</v>
      </c>
      <c r="F783" t="s">
        <v>63</v>
      </c>
      <c r="G783" t="s">
        <v>29</v>
      </c>
      <c r="H783">
        <v>34.799999999999997</v>
      </c>
      <c r="I783">
        <v>560</v>
      </c>
      <c r="J783">
        <v>116</v>
      </c>
      <c r="K783">
        <v>17.899999999999999</v>
      </c>
      <c r="L783" t="s">
        <v>78</v>
      </c>
      <c r="M783">
        <v>22407.41</v>
      </c>
      <c r="N783">
        <v>20822</v>
      </c>
      <c r="O783" t="s">
        <v>31</v>
      </c>
      <c r="P783" t="str">
        <f t="shared" si="108"/>
        <v>No</v>
      </c>
      <c r="Q783">
        <f t="shared" si="109"/>
        <v>16.09</v>
      </c>
      <c r="R783">
        <f t="shared" si="110"/>
        <v>40.01</v>
      </c>
      <c r="S783">
        <f t="shared" si="111"/>
        <v>1.08</v>
      </c>
      <c r="T783" t="str">
        <f t="shared" si="112"/>
        <v>On Time</v>
      </c>
      <c r="U783" t="str">
        <f t="shared" si="113"/>
        <v>Low</v>
      </c>
      <c r="V783" t="str">
        <f t="shared" si="114"/>
        <v>Low Risk</v>
      </c>
      <c r="W783" t="str">
        <f t="shared" si="115"/>
        <v>May</v>
      </c>
      <c r="X783">
        <f t="shared" si="116"/>
        <v>2025</v>
      </c>
    </row>
    <row r="784" spans="1:24" x14ac:dyDescent="0.35">
      <c r="A784" s="3">
        <v>45958</v>
      </c>
      <c r="B784" t="s">
        <v>193</v>
      </c>
      <c r="C784" t="s">
        <v>109</v>
      </c>
      <c r="D784" t="s">
        <v>930</v>
      </c>
      <c r="E784" t="s">
        <v>48</v>
      </c>
      <c r="F784" t="s">
        <v>54</v>
      </c>
      <c r="G784" t="s">
        <v>71</v>
      </c>
      <c r="H784">
        <v>54.6</v>
      </c>
      <c r="I784">
        <v>1553</v>
      </c>
      <c r="J784">
        <v>68</v>
      </c>
      <c r="K784">
        <v>19.2</v>
      </c>
      <c r="L784" t="s">
        <v>43</v>
      </c>
      <c r="M784">
        <v>27610.28</v>
      </c>
      <c r="N784">
        <v>13178</v>
      </c>
      <c r="O784" t="s">
        <v>67</v>
      </c>
      <c r="P784" t="str">
        <f t="shared" si="108"/>
        <v>Yes</v>
      </c>
      <c r="Q784">
        <f t="shared" si="109"/>
        <v>28.44</v>
      </c>
      <c r="R784">
        <f t="shared" si="110"/>
        <v>17.78</v>
      </c>
      <c r="S784">
        <f t="shared" si="111"/>
        <v>2.1</v>
      </c>
      <c r="T784" t="str">
        <f t="shared" si="112"/>
        <v>Delayed</v>
      </c>
      <c r="U784" t="str">
        <f t="shared" si="113"/>
        <v>Medium</v>
      </c>
      <c r="V784" t="str">
        <f t="shared" si="114"/>
        <v>Low Risk</v>
      </c>
      <c r="W784" t="str">
        <f t="shared" si="115"/>
        <v>Oct</v>
      </c>
      <c r="X784">
        <f t="shared" si="116"/>
        <v>2025</v>
      </c>
    </row>
    <row r="785" spans="1:24" x14ac:dyDescent="0.35">
      <c r="A785" s="3">
        <v>46001</v>
      </c>
      <c r="B785" t="s">
        <v>133</v>
      </c>
      <c r="C785" t="s">
        <v>57</v>
      </c>
      <c r="D785" t="s">
        <v>931</v>
      </c>
      <c r="E785" t="s">
        <v>55</v>
      </c>
      <c r="F785" t="s">
        <v>63</v>
      </c>
      <c r="G785" t="s">
        <v>71</v>
      </c>
      <c r="H785">
        <v>33.200000000000003</v>
      </c>
      <c r="I785">
        <v>2756</v>
      </c>
      <c r="J785">
        <v>59</v>
      </c>
      <c r="K785">
        <v>14.2</v>
      </c>
      <c r="L785" t="s">
        <v>30</v>
      </c>
      <c r="M785">
        <v>15780.16</v>
      </c>
      <c r="N785">
        <v>10788</v>
      </c>
      <c r="O785" t="s">
        <v>44</v>
      </c>
      <c r="P785" t="str">
        <f t="shared" si="108"/>
        <v>Yes</v>
      </c>
      <c r="Q785">
        <f t="shared" si="109"/>
        <v>83.01</v>
      </c>
      <c r="R785">
        <f t="shared" si="110"/>
        <v>5.73</v>
      </c>
      <c r="S785">
        <f t="shared" si="111"/>
        <v>1.46</v>
      </c>
      <c r="T785" t="str">
        <f t="shared" si="112"/>
        <v>Delayed</v>
      </c>
      <c r="U785" t="str">
        <f t="shared" si="113"/>
        <v>Low</v>
      </c>
      <c r="V785" t="str">
        <f t="shared" si="114"/>
        <v>Medium Risk</v>
      </c>
      <c r="W785" t="str">
        <f t="shared" si="115"/>
        <v>Dec</v>
      </c>
      <c r="X785">
        <f t="shared" si="116"/>
        <v>2025</v>
      </c>
    </row>
    <row r="786" spans="1:24" x14ac:dyDescent="0.35">
      <c r="A786" s="3">
        <v>46014</v>
      </c>
      <c r="B786" t="s">
        <v>291</v>
      </c>
      <c r="C786" t="s">
        <v>25</v>
      </c>
      <c r="D786" t="s">
        <v>932</v>
      </c>
      <c r="E786" t="s">
        <v>48</v>
      </c>
      <c r="F786" t="s">
        <v>55</v>
      </c>
      <c r="G786" t="s">
        <v>29</v>
      </c>
      <c r="H786">
        <v>39.799999999999997</v>
      </c>
      <c r="I786">
        <v>1422</v>
      </c>
      <c r="J786">
        <v>99</v>
      </c>
      <c r="K786">
        <v>16.100000000000001</v>
      </c>
      <c r="L786" t="s">
        <v>30</v>
      </c>
      <c r="M786">
        <v>27507.43</v>
      </c>
      <c r="N786">
        <v>19973</v>
      </c>
      <c r="O786" t="s">
        <v>44</v>
      </c>
      <c r="P786" t="str">
        <f t="shared" si="108"/>
        <v>Yes</v>
      </c>
      <c r="Q786">
        <f t="shared" si="109"/>
        <v>35.729999999999997</v>
      </c>
      <c r="R786">
        <f t="shared" si="110"/>
        <v>19.34</v>
      </c>
      <c r="S786">
        <f t="shared" si="111"/>
        <v>1.38</v>
      </c>
      <c r="T786" t="str">
        <f t="shared" si="112"/>
        <v>Delayed</v>
      </c>
      <c r="U786" t="str">
        <f t="shared" si="113"/>
        <v>Low</v>
      </c>
      <c r="V786" t="str">
        <f t="shared" si="114"/>
        <v>Medium Risk</v>
      </c>
      <c r="W786" t="str">
        <f t="shared" si="115"/>
        <v>Dec</v>
      </c>
      <c r="X786">
        <f t="shared" si="116"/>
        <v>2025</v>
      </c>
    </row>
    <row r="787" spans="1:24" x14ac:dyDescent="0.35">
      <c r="A787" s="3">
        <v>45815</v>
      </c>
      <c r="B787" t="s">
        <v>98</v>
      </c>
      <c r="C787" t="s">
        <v>69</v>
      </c>
      <c r="D787" t="s">
        <v>933</v>
      </c>
      <c r="E787" t="s">
        <v>66</v>
      </c>
      <c r="F787" t="s">
        <v>48</v>
      </c>
      <c r="G787" t="s">
        <v>71</v>
      </c>
      <c r="H787">
        <v>61</v>
      </c>
      <c r="I787">
        <v>4125</v>
      </c>
      <c r="J787">
        <v>24</v>
      </c>
      <c r="K787">
        <v>20.100000000000001</v>
      </c>
      <c r="L787" t="s">
        <v>43</v>
      </c>
      <c r="M787">
        <v>38686.589999999997</v>
      </c>
      <c r="N787">
        <v>5385</v>
      </c>
      <c r="O787" t="s">
        <v>91</v>
      </c>
      <c r="P787" t="str">
        <f t="shared" si="108"/>
        <v>Yes</v>
      </c>
      <c r="Q787">
        <f t="shared" si="109"/>
        <v>67.62</v>
      </c>
      <c r="R787">
        <f t="shared" si="110"/>
        <v>9.3800000000000008</v>
      </c>
      <c r="S787">
        <f t="shared" si="111"/>
        <v>7.18</v>
      </c>
      <c r="T787" t="str">
        <f t="shared" si="112"/>
        <v>Delayed</v>
      </c>
      <c r="U787" t="str">
        <f t="shared" si="113"/>
        <v>High</v>
      </c>
      <c r="V787" t="str">
        <f t="shared" si="114"/>
        <v>Low Risk</v>
      </c>
      <c r="W787" t="str">
        <f t="shared" si="115"/>
        <v>Jun</v>
      </c>
      <c r="X787">
        <f t="shared" si="116"/>
        <v>2025</v>
      </c>
    </row>
    <row r="788" spans="1:24" x14ac:dyDescent="0.35">
      <c r="A788" s="3">
        <v>46021</v>
      </c>
      <c r="B788" t="s">
        <v>188</v>
      </c>
      <c r="C788" t="s">
        <v>130</v>
      </c>
      <c r="D788" t="s">
        <v>934</v>
      </c>
      <c r="E788" t="s">
        <v>63</v>
      </c>
      <c r="F788" t="s">
        <v>27</v>
      </c>
      <c r="G788" t="s">
        <v>29</v>
      </c>
      <c r="H788">
        <v>29</v>
      </c>
      <c r="I788">
        <v>3651</v>
      </c>
      <c r="J788">
        <v>87</v>
      </c>
      <c r="K788">
        <v>11.4</v>
      </c>
      <c r="L788" t="s">
        <v>43</v>
      </c>
      <c r="M788">
        <v>15836.77</v>
      </c>
      <c r="N788">
        <v>10702</v>
      </c>
      <c r="O788" t="s">
        <v>36</v>
      </c>
      <c r="P788" t="str">
        <f t="shared" si="108"/>
        <v>Yes</v>
      </c>
      <c r="Q788">
        <f t="shared" si="109"/>
        <v>125.9</v>
      </c>
      <c r="R788">
        <f t="shared" si="110"/>
        <v>4.34</v>
      </c>
      <c r="S788">
        <f t="shared" si="111"/>
        <v>1.48</v>
      </c>
      <c r="T788" t="str">
        <f t="shared" si="112"/>
        <v>Delayed</v>
      </c>
      <c r="U788" t="str">
        <f t="shared" si="113"/>
        <v>Low</v>
      </c>
      <c r="V788" t="str">
        <f t="shared" si="114"/>
        <v>Low Risk</v>
      </c>
      <c r="W788" t="str">
        <f t="shared" si="115"/>
        <v>Dec</v>
      </c>
      <c r="X788">
        <f t="shared" si="116"/>
        <v>2025</v>
      </c>
    </row>
    <row r="789" spans="1:24" x14ac:dyDescent="0.35">
      <c r="A789" s="3">
        <v>46016</v>
      </c>
      <c r="B789" t="s">
        <v>123</v>
      </c>
      <c r="C789" t="s">
        <v>25</v>
      </c>
      <c r="D789" t="s">
        <v>935</v>
      </c>
      <c r="E789" t="s">
        <v>54</v>
      </c>
      <c r="F789" t="s">
        <v>28</v>
      </c>
      <c r="G789" t="s">
        <v>29</v>
      </c>
      <c r="H789">
        <v>58.9</v>
      </c>
      <c r="I789">
        <v>4151</v>
      </c>
      <c r="J789">
        <v>99</v>
      </c>
      <c r="K789">
        <v>13.2</v>
      </c>
      <c r="L789" t="s">
        <v>49</v>
      </c>
      <c r="M789">
        <v>34805.43</v>
      </c>
      <c r="N789">
        <v>18082</v>
      </c>
      <c r="O789" t="s">
        <v>31</v>
      </c>
      <c r="P789" t="str">
        <f t="shared" si="108"/>
        <v>Yes</v>
      </c>
      <c r="Q789">
        <f t="shared" si="109"/>
        <v>70.48</v>
      </c>
      <c r="R789">
        <f t="shared" si="110"/>
        <v>8.3800000000000008</v>
      </c>
      <c r="S789">
        <f t="shared" si="111"/>
        <v>1.92</v>
      </c>
      <c r="T789" t="str">
        <f t="shared" si="112"/>
        <v>Delayed</v>
      </c>
      <c r="U789" t="str">
        <f t="shared" si="113"/>
        <v>Medium</v>
      </c>
      <c r="V789" t="str">
        <f t="shared" si="114"/>
        <v>High Risk</v>
      </c>
      <c r="W789" t="str">
        <f t="shared" si="115"/>
        <v>Dec</v>
      </c>
      <c r="X789">
        <f t="shared" si="116"/>
        <v>2025</v>
      </c>
    </row>
    <row r="790" spans="1:24" x14ac:dyDescent="0.35">
      <c r="A790" s="3">
        <v>45987</v>
      </c>
      <c r="B790" t="s">
        <v>142</v>
      </c>
      <c r="C790" t="s">
        <v>69</v>
      </c>
      <c r="D790" t="s">
        <v>936</v>
      </c>
      <c r="E790" t="s">
        <v>63</v>
      </c>
      <c r="F790" t="s">
        <v>27</v>
      </c>
      <c r="G790" t="s">
        <v>42</v>
      </c>
      <c r="H790">
        <v>79.5</v>
      </c>
      <c r="I790">
        <v>3610</v>
      </c>
      <c r="J790">
        <v>94</v>
      </c>
      <c r="K790">
        <v>11.4</v>
      </c>
      <c r="L790" t="s">
        <v>78</v>
      </c>
      <c r="M790">
        <v>53948.07</v>
      </c>
      <c r="N790">
        <v>8302</v>
      </c>
      <c r="O790" t="s">
        <v>67</v>
      </c>
      <c r="P790" t="str">
        <f t="shared" si="108"/>
        <v>No</v>
      </c>
      <c r="Q790">
        <f t="shared" si="109"/>
        <v>45.41</v>
      </c>
      <c r="R790">
        <f t="shared" si="110"/>
        <v>14.94</v>
      </c>
      <c r="S790">
        <f t="shared" si="111"/>
        <v>6.5</v>
      </c>
      <c r="T790" t="str">
        <f t="shared" si="112"/>
        <v>On Time</v>
      </c>
      <c r="U790" t="str">
        <f t="shared" si="113"/>
        <v>High</v>
      </c>
      <c r="V790" t="str">
        <f t="shared" si="114"/>
        <v>Low Risk</v>
      </c>
      <c r="W790" t="str">
        <f t="shared" si="115"/>
        <v>Nov</v>
      </c>
      <c r="X790">
        <f t="shared" si="116"/>
        <v>2025</v>
      </c>
    </row>
    <row r="791" spans="1:24" x14ac:dyDescent="0.35">
      <c r="A791" s="3">
        <v>45837</v>
      </c>
      <c r="B791" t="s">
        <v>102</v>
      </c>
      <c r="C791" t="s">
        <v>130</v>
      </c>
      <c r="D791" t="s">
        <v>937</v>
      </c>
      <c r="E791" t="s">
        <v>27</v>
      </c>
      <c r="F791" t="s">
        <v>28</v>
      </c>
      <c r="G791" t="s">
        <v>35</v>
      </c>
      <c r="H791">
        <v>49.1</v>
      </c>
      <c r="I791">
        <v>2306</v>
      </c>
      <c r="J791">
        <v>101</v>
      </c>
      <c r="K791">
        <v>15.8</v>
      </c>
      <c r="L791" t="s">
        <v>49</v>
      </c>
      <c r="M791">
        <v>25523.47</v>
      </c>
      <c r="N791">
        <v>5239</v>
      </c>
      <c r="O791" t="s">
        <v>91</v>
      </c>
      <c r="P791" t="str">
        <f t="shared" si="108"/>
        <v>Yes</v>
      </c>
      <c r="Q791">
        <f t="shared" si="109"/>
        <v>46.97</v>
      </c>
      <c r="R791">
        <f t="shared" si="110"/>
        <v>11.07</v>
      </c>
      <c r="S791">
        <f t="shared" si="111"/>
        <v>4.87</v>
      </c>
      <c r="T791" t="str">
        <f t="shared" si="112"/>
        <v>Delayed</v>
      </c>
      <c r="U791" t="str">
        <f t="shared" si="113"/>
        <v>Medium</v>
      </c>
      <c r="V791" t="str">
        <f t="shared" si="114"/>
        <v>High Risk</v>
      </c>
      <c r="W791" t="str">
        <f t="shared" si="115"/>
        <v>Jun</v>
      </c>
      <c r="X791">
        <f t="shared" si="116"/>
        <v>2025</v>
      </c>
    </row>
    <row r="792" spans="1:24" x14ac:dyDescent="0.35">
      <c r="A792" s="3">
        <v>45751</v>
      </c>
      <c r="B792" t="s">
        <v>309</v>
      </c>
      <c r="C792" t="s">
        <v>69</v>
      </c>
      <c r="D792" t="s">
        <v>938</v>
      </c>
      <c r="E792" t="s">
        <v>54</v>
      </c>
      <c r="F792" t="s">
        <v>66</v>
      </c>
      <c r="G792" t="s">
        <v>29</v>
      </c>
      <c r="H792">
        <v>21.4</v>
      </c>
      <c r="I792">
        <v>4765</v>
      </c>
      <c r="J792">
        <v>37</v>
      </c>
      <c r="K792">
        <v>21.5</v>
      </c>
      <c r="L792" t="s">
        <v>30</v>
      </c>
      <c r="M792">
        <v>14245.48</v>
      </c>
      <c r="N792">
        <v>27589</v>
      </c>
      <c r="O792" t="s">
        <v>59</v>
      </c>
      <c r="P792" t="str">
        <f t="shared" si="108"/>
        <v>Yes</v>
      </c>
      <c r="Q792">
        <f t="shared" si="109"/>
        <v>222.66</v>
      </c>
      <c r="R792">
        <f t="shared" si="110"/>
        <v>2.99</v>
      </c>
      <c r="S792">
        <f t="shared" si="111"/>
        <v>0.52</v>
      </c>
      <c r="T792" t="str">
        <f t="shared" si="112"/>
        <v>Delayed</v>
      </c>
      <c r="U792" t="str">
        <f t="shared" si="113"/>
        <v>Low</v>
      </c>
      <c r="V792" t="str">
        <f t="shared" si="114"/>
        <v>Medium Risk</v>
      </c>
      <c r="W792" t="str">
        <f t="shared" si="115"/>
        <v>Apr</v>
      </c>
      <c r="X792">
        <f t="shared" si="116"/>
        <v>2025</v>
      </c>
    </row>
    <row r="793" spans="1:24" x14ac:dyDescent="0.35">
      <c r="A793" s="3">
        <v>45809</v>
      </c>
      <c r="B793" t="s">
        <v>127</v>
      </c>
      <c r="C793" t="s">
        <v>109</v>
      </c>
      <c r="D793" t="s">
        <v>939</v>
      </c>
      <c r="E793" t="s">
        <v>55</v>
      </c>
      <c r="F793" t="s">
        <v>54</v>
      </c>
      <c r="G793" t="s">
        <v>71</v>
      </c>
      <c r="H793">
        <v>66.599999999999994</v>
      </c>
      <c r="I793">
        <v>4094</v>
      </c>
      <c r="J793">
        <v>106</v>
      </c>
      <c r="K793">
        <v>14.6</v>
      </c>
      <c r="L793" t="s">
        <v>30</v>
      </c>
      <c r="M793">
        <v>40606.22</v>
      </c>
      <c r="N793">
        <v>10588</v>
      </c>
      <c r="O793" t="s">
        <v>50</v>
      </c>
      <c r="P793" t="str">
        <f t="shared" si="108"/>
        <v>Yes</v>
      </c>
      <c r="Q793">
        <f t="shared" si="109"/>
        <v>61.47</v>
      </c>
      <c r="R793">
        <f t="shared" si="110"/>
        <v>9.92</v>
      </c>
      <c r="S793">
        <f t="shared" si="111"/>
        <v>3.84</v>
      </c>
      <c r="T793" t="str">
        <f t="shared" si="112"/>
        <v>Delayed</v>
      </c>
      <c r="U793" t="str">
        <f t="shared" si="113"/>
        <v>High</v>
      </c>
      <c r="V793" t="str">
        <f t="shared" si="114"/>
        <v>Medium Risk</v>
      </c>
      <c r="W793" t="str">
        <f t="shared" si="115"/>
        <v>Jun</v>
      </c>
      <c r="X793">
        <f t="shared" si="116"/>
        <v>2025</v>
      </c>
    </row>
    <row r="794" spans="1:24" x14ac:dyDescent="0.35">
      <c r="A794" s="3">
        <v>45668</v>
      </c>
      <c r="B794" t="s">
        <v>148</v>
      </c>
      <c r="C794" t="s">
        <v>95</v>
      </c>
      <c r="D794" t="s">
        <v>940</v>
      </c>
      <c r="E794" t="s">
        <v>63</v>
      </c>
      <c r="F794" t="s">
        <v>41</v>
      </c>
      <c r="G794" t="s">
        <v>35</v>
      </c>
      <c r="H794">
        <v>59.8</v>
      </c>
      <c r="I794">
        <v>4178</v>
      </c>
      <c r="J794">
        <v>76</v>
      </c>
      <c r="K794">
        <v>19.2</v>
      </c>
      <c r="L794" t="s">
        <v>78</v>
      </c>
      <c r="M794">
        <v>34512.559999999998</v>
      </c>
      <c r="N794">
        <v>24136</v>
      </c>
      <c r="O794" t="s">
        <v>50</v>
      </c>
      <c r="P794" t="str">
        <f t="shared" si="108"/>
        <v>No</v>
      </c>
      <c r="Q794">
        <f t="shared" si="109"/>
        <v>69.87</v>
      </c>
      <c r="R794">
        <f t="shared" si="110"/>
        <v>8.26</v>
      </c>
      <c r="S794">
        <f t="shared" si="111"/>
        <v>1.43</v>
      </c>
      <c r="T794" t="str">
        <f t="shared" si="112"/>
        <v>On Time</v>
      </c>
      <c r="U794" t="str">
        <f t="shared" si="113"/>
        <v>Medium</v>
      </c>
      <c r="V794" t="str">
        <f t="shared" si="114"/>
        <v>Low Risk</v>
      </c>
      <c r="W794" t="str">
        <f t="shared" si="115"/>
        <v>Jan</v>
      </c>
      <c r="X794">
        <f t="shared" si="116"/>
        <v>2025</v>
      </c>
    </row>
    <row r="795" spans="1:24" x14ac:dyDescent="0.35">
      <c r="A795" s="3">
        <v>45901</v>
      </c>
      <c r="B795" t="s">
        <v>150</v>
      </c>
      <c r="C795" t="s">
        <v>39</v>
      </c>
      <c r="D795" t="s">
        <v>941</v>
      </c>
      <c r="E795" t="s">
        <v>55</v>
      </c>
      <c r="F795" t="s">
        <v>48</v>
      </c>
      <c r="G795" t="s">
        <v>35</v>
      </c>
      <c r="H795">
        <v>55.2</v>
      </c>
      <c r="I795">
        <v>2997</v>
      </c>
      <c r="J795">
        <v>41</v>
      </c>
      <c r="K795">
        <v>13.7</v>
      </c>
      <c r="L795" t="s">
        <v>30</v>
      </c>
      <c r="M795">
        <v>36437.56</v>
      </c>
      <c r="N795">
        <v>24069</v>
      </c>
      <c r="O795" t="s">
        <v>91</v>
      </c>
      <c r="P795" t="str">
        <f t="shared" si="108"/>
        <v>Yes</v>
      </c>
      <c r="Q795">
        <f t="shared" si="109"/>
        <v>54.29</v>
      </c>
      <c r="R795">
        <f t="shared" si="110"/>
        <v>12.16</v>
      </c>
      <c r="S795">
        <f t="shared" si="111"/>
        <v>1.51</v>
      </c>
      <c r="T795" t="str">
        <f t="shared" si="112"/>
        <v>Delayed</v>
      </c>
      <c r="U795" t="str">
        <f t="shared" si="113"/>
        <v>Medium</v>
      </c>
      <c r="V795" t="str">
        <f t="shared" si="114"/>
        <v>Medium Risk</v>
      </c>
      <c r="W795" t="str">
        <f t="shared" si="115"/>
        <v>Sep</v>
      </c>
      <c r="X795">
        <f t="shared" si="116"/>
        <v>2025</v>
      </c>
    </row>
    <row r="796" spans="1:24" x14ac:dyDescent="0.35">
      <c r="A796" s="3">
        <v>45933</v>
      </c>
      <c r="B796" t="s">
        <v>195</v>
      </c>
      <c r="C796" t="s">
        <v>69</v>
      </c>
      <c r="D796" t="s">
        <v>942</v>
      </c>
      <c r="E796" t="s">
        <v>54</v>
      </c>
      <c r="F796" t="s">
        <v>48</v>
      </c>
      <c r="G796" t="s">
        <v>29</v>
      </c>
      <c r="H796">
        <v>39.6</v>
      </c>
      <c r="I796">
        <v>4245</v>
      </c>
      <c r="J796">
        <v>64</v>
      </c>
      <c r="K796">
        <v>15</v>
      </c>
      <c r="L796" t="s">
        <v>49</v>
      </c>
      <c r="M796">
        <v>19845.25</v>
      </c>
      <c r="N796">
        <v>28304</v>
      </c>
      <c r="O796" t="s">
        <v>31</v>
      </c>
      <c r="P796" t="str">
        <f t="shared" si="108"/>
        <v>Yes</v>
      </c>
      <c r="Q796">
        <f t="shared" si="109"/>
        <v>107.2</v>
      </c>
      <c r="R796">
        <f t="shared" si="110"/>
        <v>4.67</v>
      </c>
      <c r="S796">
        <f t="shared" si="111"/>
        <v>0.7</v>
      </c>
      <c r="T796" t="str">
        <f t="shared" si="112"/>
        <v>Delayed</v>
      </c>
      <c r="U796" t="str">
        <f t="shared" si="113"/>
        <v>Low</v>
      </c>
      <c r="V796" t="str">
        <f t="shared" si="114"/>
        <v>High Risk</v>
      </c>
      <c r="W796" t="str">
        <f t="shared" si="115"/>
        <v>Oct</v>
      </c>
      <c r="X796">
        <f t="shared" si="116"/>
        <v>2025</v>
      </c>
    </row>
    <row r="797" spans="1:24" x14ac:dyDescent="0.35">
      <c r="A797" s="3">
        <v>45891</v>
      </c>
      <c r="B797" t="s">
        <v>129</v>
      </c>
      <c r="C797" t="s">
        <v>95</v>
      </c>
      <c r="D797" t="s">
        <v>943</v>
      </c>
      <c r="E797" t="s">
        <v>48</v>
      </c>
      <c r="F797" t="s">
        <v>28</v>
      </c>
      <c r="G797" t="s">
        <v>29</v>
      </c>
      <c r="H797">
        <v>53.6</v>
      </c>
      <c r="I797">
        <v>4870</v>
      </c>
      <c r="J797">
        <v>84</v>
      </c>
      <c r="K797">
        <v>20.5</v>
      </c>
      <c r="L797" t="s">
        <v>30</v>
      </c>
      <c r="M797">
        <v>36967.660000000003</v>
      </c>
      <c r="N797">
        <v>27372</v>
      </c>
      <c r="O797" t="s">
        <v>50</v>
      </c>
      <c r="P797" t="str">
        <f t="shared" si="108"/>
        <v>Yes</v>
      </c>
      <c r="Q797">
        <f t="shared" si="109"/>
        <v>90.86</v>
      </c>
      <c r="R797">
        <f t="shared" si="110"/>
        <v>7.59</v>
      </c>
      <c r="S797">
        <f t="shared" si="111"/>
        <v>1.35</v>
      </c>
      <c r="T797" t="str">
        <f t="shared" si="112"/>
        <v>Delayed</v>
      </c>
      <c r="U797" t="str">
        <f t="shared" si="113"/>
        <v>Medium</v>
      </c>
      <c r="V797" t="str">
        <f t="shared" si="114"/>
        <v>Medium Risk</v>
      </c>
      <c r="W797" t="str">
        <f t="shared" si="115"/>
        <v>Aug</v>
      </c>
      <c r="X797">
        <f t="shared" si="116"/>
        <v>2025</v>
      </c>
    </row>
    <row r="798" spans="1:24" x14ac:dyDescent="0.35">
      <c r="A798" s="3">
        <v>45958</v>
      </c>
      <c r="B798" t="s">
        <v>157</v>
      </c>
      <c r="C798" t="s">
        <v>69</v>
      </c>
      <c r="D798" t="s">
        <v>944</v>
      </c>
      <c r="E798" t="s">
        <v>63</v>
      </c>
      <c r="F798" t="s">
        <v>28</v>
      </c>
      <c r="G798" t="s">
        <v>42</v>
      </c>
      <c r="H798">
        <v>24.6</v>
      </c>
      <c r="I798">
        <v>1526</v>
      </c>
      <c r="J798">
        <v>71</v>
      </c>
      <c r="K798">
        <v>13.1</v>
      </c>
      <c r="L798" t="s">
        <v>78</v>
      </c>
      <c r="M798">
        <v>11820.12</v>
      </c>
      <c r="N798">
        <v>11741</v>
      </c>
      <c r="O798" t="s">
        <v>59</v>
      </c>
      <c r="P798" t="str">
        <f t="shared" si="108"/>
        <v>No</v>
      </c>
      <c r="Q798">
        <f t="shared" si="109"/>
        <v>62.03</v>
      </c>
      <c r="R798">
        <f t="shared" si="110"/>
        <v>7.75</v>
      </c>
      <c r="S798">
        <f t="shared" si="111"/>
        <v>1.01</v>
      </c>
      <c r="T798" t="str">
        <f t="shared" si="112"/>
        <v>On Time</v>
      </c>
      <c r="U798" t="str">
        <f t="shared" si="113"/>
        <v>Low</v>
      </c>
      <c r="V798" t="str">
        <f t="shared" si="114"/>
        <v>Low Risk</v>
      </c>
      <c r="W798" t="str">
        <f t="shared" si="115"/>
        <v>Oct</v>
      </c>
      <c r="X798">
        <f t="shared" si="116"/>
        <v>2025</v>
      </c>
    </row>
    <row r="799" spans="1:24" x14ac:dyDescent="0.35">
      <c r="A799" s="3">
        <v>45768</v>
      </c>
      <c r="B799" t="s">
        <v>46</v>
      </c>
      <c r="C799" t="s">
        <v>95</v>
      </c>
      <c r="D799" t="s">
        <v>945</v>
      </c>
      <c r="E799" t="s">
        <v>63</v>
      </c>
      <c r="F799" t="s">
        <v>66</v>
      </c>
      <c r="G799" t="s">
        <v>71</v>
      </c>
      <c r="H799">
        <v>74.599999999999994</v>
      </c>
      <c r="I799">
        <v>3251</v>
      </c>
      <c r="J799">
        <v>46</v>
      </c>
      <c r="K799">
        <v>12.6</v>
      </c>
      <c r="L799" t="s">
        <v>43</v>
      </c>
      <c r="M799">
        <v>33935.85</v>
      </c>
      <c r="N799">
        <v>10996</v>
      </c>
      <c r="O799" t="s">
        <v>44</v>
      </c>
      <c r="P799" t="str">
        <f t="shared" si="108"/>
        <v>Yes</v>
      </c>
      <c r="Q799">
        <f t="shared" si="109"/>
        <v>43.58</v>
      </c>
      <c r="R799">
        <f t="shared" si="110"/>
        <v>10.44</v>
      </c>
      <c r="S799">
        <f t="shared" si="111"/>
        <v>3.09</v>
      </c>
      <c r="T799" t="str">
        <f t="shared" si="112"/>
        <v>Delayed</v>
      </c>
      <c r="U799" t="str">
        <f t="shared" si="113"/>
        <v>High</v>
      </c>
      <c r="V799" t="str">
        <f t="shared" si="114"/>
        <v>Low Risk</v>
      </c>
      <c r="W799" t="str">
        <f t="shared" si="115"/>
        <v>Apr</v>
      </c>
      <c r="X799">
        <f t="shared" si="116"/>
        <v>2025</v>
      </c>
    </row>
    <row r="800" spans="1:24" x14ac:dyDescent="0.35">
      <c r="A800" s="3">
        <v>45990</v>
      </c>
      <c r="B800" t="s">
        <v>277</v>
      </c>
      <c r="C800" t="s">
        <v>25</v>
      </c>
      <c r="D800" t="s">
        <v>946</v>
      </c>
      <c r="E800" t="s">
        <v>48</v>
      </c>
      <c r="F800" t="s">
        <v>28</v>
      </c>
      <c r="G800" t="s">
        <v>29</v>
      </c>
      <c r="H800">
        <v>23.6</v>
      </c>
      <c r="I800">
        <v>1062</v>
      </c>
      <c r="J800">
        <v>65</v>
      </c>
      <c r="K800">
        <v>20.2</v>
      </c>
      <c r="L800" t="s">
        <v>78</v>
      </c>
      <c r="M800">
        <v>13926.64</v>
      </c>
      <c r="N800">
        <v>9937</v>
      </c>
      <c r="O800" t="s">
        <v>50</v>
      </c>
      <c r="P800" t="str">
        <f t="shared" si="108"/>
        <v>No</v>
      </c>
      <c r="Q800">
        <f t="shared" si="109"/>
        <v>45</v>
      </c>
      <c r="R800">
        <f t="shared" si="110"/>
        <v>13.11</v>
      </c>
      <c r="S800">
        <f t="shared" si="111"/>
        <v>1.4</v>
      </c>
      <c r="T800" t="str">
        <f t="shared" si="112"/>
        <v>On Time</v>
      </c>
      <c r="U800" t="str">
        <f t="shared" si="113"/>
        <v>Low</v>
      </c>
      <c r="V800" t="str">
        <f t="shared" si="114"/>
        <v>Low Risk</v>
      </c>
      <c r="W800" t="str">
        <f t="shared" si="115"/>
        <v>Nov</v>
      </c>
      <c r="X800">
        <f t="shared" si="116"/>
        <v>2025</v>
      </c>
    </row>
    <row r="801" spans="1:24" x14ac:dyDescent="0.35">
      <c r="A801" s="3">
        <v>45924</v>
      </c>
      <c r="B801" t="s">
        <v>24</v>
      </c>
      <c r="C801" t="s">
        <v>109</v>
      </c>
      <c r="D801" t="s">
        <v>947</v>
      </c>
      <c r="E801" t="s">
        <v>55</v>
      </c>
      <c r="F801" t="s">
        <v>48</v>
      </c>
      <c r="G801" t="s">
        <v>71</v>
      </c>
      <c r="H801">
        <v>33.6</v>
      </c>
      <c r="I801">
        <v>866</v>
      </c>
      <c r="J801">
        <v>37</v>
      </c>
      <c r="K801">
        <v>16</v>
      </c>
      <c r="L801" t="s">
        <v>78</v>
      </c>
      <c r="M801">
        <v>15901.87</v>
      </c>
      <c r="N801">
        <v>19818</v>
      </c>
      <c r="O801" t="s">
        <v>31</v>
      </c>
      <c r="P801" t="str">
        <f t="shared" si="108"/>
        <v>No</v>
      </c>
      <c r="Q801">
        <f t="shared" si="109"/>
        <v>25.77</v>
      </c>
      <c r="R801">
        <f t="shared" si="110"/>
        <v>18.36</v>
      </c>
      <c r="S801">
        <f t="shared" si="111"/>
        <v>0.8</v>
      </c>
      <c r="T801" t="str">
        <f t="shared" si="112"/>
        <v>On Time</v>
      </c>
      <c r="U801" t="str">
        <f t="shared" si="113"/>
        <v>Low</v>
      </c>
      <c r="V801" t="str">
        <f t="shared" si="114"/>
        <v>Low Risk</v>
      </c>
      <c r="W801" t="str">
        <f t="shared" si="115"/>
        <v>Sep</v>
      </c>
      <c r="X801">
        <f t="shared" si="116"/>
        <v>2025</v>
      </c>
    </row>
    <row r="802" spans="1:24" x14ac:dyDescent="0.35">
      <c r="A802" s="3">
        <v>45784</v>
      </c>
      <c r="B802" t="s">
        <v>100</v>
      </c>
      <c r="C802" t="s">
        <v>25</v>
      </c>
      <c r="D802" t="s">
        <v>948</v>
      </c>
      <c r="E802" t="s">
        <v>48</v>
      </c>
      <c r="F802" t="s">
        <v>41</v>
      </c>
      <c r="G802" t="s">
        <v>42</v>
      </c>
      <c r="H802">
        <v>42.6</v>
      </c>
      <c r="I802">
        <v>4480</v>
      </c>
      <c r="J802">
        <v>93</v>
      </c>
      <c r="K802">
        <v>12.6</v>
      </c>
      <c r="L802" t="s">
        <v>49</v>
      </c>
      <c r="M802">
        <v>21464.01</v>
      </c>
      <c r="N802">
        <v>29029</v>
      </c>
      <c r="O802" t="s">
        <v>84</v>
      </c>
      <c r="P802" t="str">
        <f t="shared" si="108"/>
        <v>Yes</v>
      </c>
      <c r="Q802">
        <f t="shared" si="109"/>
        <v>105.16</v>
      </c>
      <c r="R802">
        <f t="shared" si="110"/>
        <v>4.79</v>
      </c>
      <c r="S802">
        <f t="shared" si="111"/>
        <v>0.74</v>
      </c>
      <c r="T802" t="str">
        <f t="shared" si="112"/>
        <v>Delayed</v>
      </c>
      <c r="U802" t="str">
        <f t="shared" si="113"/>
        <v>Medium</v>
      </c>
      <c r="V802" t="str">
        <f t="shared" si="114"/>
        <v>High Risk</v>
      </c>
      <c r="W802" t="str">
        <f t="shared" si="115"/>
        <v>May</v>
      </c>
      <c r="X802">
        <f t="shared" si="116"/>
        <v>2025</v>
      </c>
    </row>
    <row r="803" spans="1:24" x14ac:dyDescent="0.35">
      <c r="A803" s="3">
        <v>45959</v>
      </c>
      <c r="B803" t="s">
        <v>100</v>
      </c>
      <c r="C803" t="s">
        <v>109</v>
      </c>
      <c r="D803" t="s">
        <v>949</v>
      </c>
      <c r="E803" t="s">
        <v>27</v>
      </c>
      <c r="F803" t="s">
        <v>48</v>
      </c>
      <c r="G803" t="s">
        <v>42</v>
      </c>
      <c r="H803">
        <v>37</v>
      </c>
      <c r="I803">
        <v>4037</v>
      </c>
      <c r="J803">
        <v>70</v>
      </c>
      <c r="K803">
        <v>13.6</v>
      </c>
      <c r="L803" t="s">
        <v>78</v>
      </c>
      <c r="M803">
        <v>25858.28</v>
      </c>
      <c r="N803">
        <v>11156</v>
      </c>
      <c r="O803" t="s">
        <v>31</v>
      </c>
      <c r="P803" t="str">
        <f t="shared" si="108"/>
        <v>No</v>
      </c>
      <c r="Q803">
        <f t="shared" si="109"/>
        <v>109.11</v>
      </c>
      <c r="R803">
        <f t="shared" si="110"/>
        <v>6.41</v>
      </c>
      <c r="S803">
        <f t="shared" si="111"/>
        <v>2.3199999999999998</v>
      </c>
      <c r="T803" t="str">
        <f t="shared" si="112"/>
        <v>On Time</v>
      </c>
      <c r="U803" t="str">
        <f t="shared" si="113"/>
        <v>Low</v>
      </c>
      <c r="V803" t="str">
        <f t="shared" si="114"/>
        <v>Low Risk</v>
      </c>
      <c r="W803" t="str">
        <f t="shared" si="115"/>
        <v>Oct</v>
      </c>
      <c r="X803">
        <f t="shared" si="116"/>
        <v>2025</v>
      </c>
    </row>
    <row r="804" spans="1:24" x14ac:dyDescent="0.35">
      <c r="A804" s="3">
        <v>45714</v>
      </c>
      <c r="B804" t="s">
        <v>104</v>
      </c>
      <c r="C804" t="s">
        <v>25</v>
      </c>
      <c r="D804" t="s">
        <v>950</v>
      </c>
      <c r="E804" t="s">
        <v>63</v>
      </c>
      <c r="F804" t="s">
        <v>27</v>
      </c>
      <c r="G804" t="s">
        <v>35</v>
      </c>
      <c r="H804">
        <v>34.4</v>
      </c>
      <c r="I804">
        <v>1631</v>
      </c>
      <c r="J804">
        <v>82</v>
      </c>
      <c r="K804">
        <v>21.9</v>
      </c>
      <c r="L804" t="s">
        <v>30</v>
      </c>
      <c r="M804">
        <v>22336.44</v>
      </c>
      <c r="N804">
        <v>24627</v>
      </c>
      <c r="O804" t="s">
        <v>84</v>
      </c>
      <c r="P804" t="str">
        <f t="shared" si="108"/>
        <v>Yes</v>
      </c>
      <c r="Q804">
        <f t="shared" si="109"/>
        <v>47.41</v>
      </c>
      <c r="R804">
        <f t="shared" si="110"/>
        <v>13.69</v>
      </c>
      <c r="S804">
        <f t="shared" si="111"/>
        <v>0.91</v>
      </c>
      <c r="T804" t="str">
        <f t="shared" si="112"/>
        <v>Delayed</v>
      </c>
      <c r="U804" t="str">
        <f t="shared" si="113"/>
        <v>Low</v>
      </c>
      <c r="V804" t="str">
        <f t="shared" si="114"/>
        <v>Medium Risk</v>
      </c>
      <c r="W804" t="str">
        <f t="shared" si="115"/>
        <v>Feb</v>
      </c>
      <c r="X804">
        <f t="shared" si="116"/>
        <v>2025</v>
      </c>
    </row>
    <row r="805" spans="1:24" x14ac:dyDescent="0.35">
      <c r="A805" s="3">
        <v>45682</v>
      </c>
      <c r="B805" t="s">
        <v>92</v>
      </c>
      <c r="C805" t="s">
        <v>130</v>
      </c>
      <c r="D805" t="s">
        <v>951</v>
      </c>
      <c r="E805" t="s">
        <v>48</v>
      </c>
      <c r="F805" t="s">
        <v>27</v>
      </c>
      <c r="G805" t="s">
        <v>42</v>
      </c>
      <c r="H805">
        <v>30.6</v>
      </c>
      <c r="I805">
        <v>4138</v>
      </c>
      <c r="J805">
        <v>106</v>
      </c>
      <c r="K805">
        <v>16.3</v>
      </c>
      <c r="L805" t="s">
        <v>30</v>
      </c>
      <c r="M805">
        <v>18432.830000000002</v>
      </c>
      <c r="N805">
        <v>21794</v>
      </c>
      <c r="O805" t="s">
        <v>50</v>
      </c>
      <c r="P805" t="str">
        <f t="shared" si="108"/>
        <v>Yes</v>
      </c>
      <c r="Q805">
        <f t="shared" si="109"/>
        <v>135.22999999999999</v>
      </c>
      <c r="R805">
        <f t="shared" si="110"/>
        <v>4.45</v>
      </c>
      <c r="S805">
        <f t="shared" si="111"/>
        <v>0.85</v>
      </c>
      <c r="T805" t="str">
        <f t="shared" si="112"/>
        <v>Delayed</v>
      </c>
      <c r="U805" t="str">
        <f t="shared" si="113"/>
        <v>Low</v>
      </c>
      <c r="V805" t="str">
        <f t="shared" si="114"/>
        <v>Medium Risk</v>
      </c>
      <c r="W805" t="str">
        <f t="shared" si="115"/>
        <v>Jan</v>
      </c>
      <c r="X805">
        <f t="shared" si="116"/>
        <v>2025</v>
      </c>
    </row>
    <row r="806" spans="1:24" x14ac:dyDescent="0.35">
      <c r="A806" s="3">
        <v>45799</v>
      </c>
      <c r="B806" t="s">
        <v>291</v>
      </c>
      <c r="C806" t="s">
        <v>39</v>
      </c>
      <c r="D806" t="s">
        <v>952</v>
      </c>
      <c r="E806" t="s">
        <v>27</v>
      </c>
      <c r="F806" t="s">
        <v>54</v>
      </c>
      <c r="G806" t="s">
        <v>71</v>
      </c>
      <c r="H806">
        <v>40.799999999999997</v>
      </c>
      <c r="I806">
        <v>4642</v>
      </c>
      <c r="J806">
        <v>20</v>
      </c>
      <c r="K806">
        <v>10.3</v>
      </c>
      <c r="L806" t="s">
        <v>30</v>
      </c>
      <c r="M806">
        <v>21104.03</v>
      </c>
      <c r="N806">
        <v>26830</v>
      </c>
      <c r="O806" t="s">
        <v>91</v>
      </c>
      <c r="P806" t="str">
        <f t="shared" si="108"/>
        <v>Yes</v>
      </c>
      <c r="Q806">
        <f t="shared" si="109"/>
        <v>113.77</v>
      </c>
      <c r="R806">
        <f t="shared" si="110"/>
        <v>4.55</v>
      </c>
      <c r="S806">
        <f t="shared" si="111"/>
        <v>0.79</v>
      </c>
      <c r="T806" t="str">
        <f t="shared" si="112"/>
        <v>Delayed</v>
      </c>
      <c r="U806" t="str">
        <f t="shared" si="113"/>
        <v>Medium</v>
      </c>
      <c r="V806" t="str">
        <f t="shared" si="114"/>
        <v>Medium Risk</v>
      </c>
      <c r="W806" t="str">
        <f t="shared" si="115"/>
        <v>May</v>
      </c>
      <c r="X806">
        <f t="shared" si="116"/>
        <v>2025</v>
      </c>
    </row>
    <row r="807" spans="1:24" x14ac:dyDescent="0.35">
      <c r="A807" s="3">
        <v>46000</v>
      </c>
      <c r="B807" t="s">
        <v>87</v>
      </c>
      <c r="C807" t="s">
        <v>130</v>
      </c>
      <c r="D807" t="s">
        <v>953</v>
      </c>
      <c r="E807" t="s">
        <v>41</v>
      </c>
      <c r="F807" t="s">
        <v>54</v>
      </c>
      <c r="G807" t="s">
        <v>35</v>
      </c>
      <c r="H807">
        <v>23.7</v>
      </c>
      <c r="I807">
        <v>2482</v>
      </c>
      <c r="J807">
        <v>62</v>
      </c>
      <c r="K807">
        <v>20.399999999999999</v>
      </c>
      <c r="L807" t="s">
        <v>43</v>
      </c>
      <c r="M807">
        <v>15840.2</v>
      </c>
      <c r="N807">
        <v>21374</v>
      </c>
      <c r="O807" t="s">
        <v>84</v>
      </c>
      <c r="P807" t="str">
        <f t="shared" si="108"/>
        <v>Yes</v>
      </c>
      <c r="Q807">
        <f t="shared" si="109"/>
        <v>104.73</v>
      </c>
      <c r="R807">
        <f t="shared" si="110"/>
        <v>6.38</v>
      </c>
      <c r="S807">
        <f t="shared" si="111"/>
        <v>0.74</v>
      </c>
      <c r="T807" t="str">
        <f t="shared" si="112"/>
        <v>Delayed</v>
      </c>
      <c r="U807" t="str">
        <f t="shared" si="113"/>
        <v>Low</v>
      </c>
      <c r="V807" t="str">
        <f t="shared" si="114"/>
        <v>Low Risk</v>
      </c>
      <c r="W807" t="str">
        <f t="shared" si="115"/>
        <v>Dec</v>
      </c>
      <c r="X807">
        <f t="shared" si="116"/>
        <v>2025</v>
      </c>
    </row>
    <row r="808" spans="1:24" x14ac:dyDescent="0.35">
      <c r="A808" s="3">
        <v>45890</v>
      </c>
      <c r="B808" t="s">
        <v>195</v>
      </c>
      <c r="C808" t="s">
        <v>95</v>
      </c>
      <c r="D808" t="s">
        <v>954</v>
      </c>
      <c r="E808" t="s">
        <v>27</v>
      </c>
      <c r="F808" t="s">
        <v>66</v>
      </c>
      <c r="G808" t="s">
        <v>29</v>
      </c>
      <c r="H808">
        <v>27.8</v>
      </c>
      <c r="I808">
        <v>4959</v>
      </c>
      <c r="J808">
        <v>115</v>
      </c>
      <c r="K808">
        <v>14.9</v>
      </c>
      <c r="L808" t="s">
        <v>30</v>
      </c>
      <c r="M808">
        <v>16695.75</v>
      </c>
      <c r="N808">
        <v>16540</v>
      </c>
      <c r="O808" t="s">
        <v>84</v>
      </c>
      <c r="P808" t="str">
        <f t="shared" si="108"/>
        <v>Yes</v>
      </c>
      <c r="Q808">
        <f t="shared" si="109"/>
        <v>178.38</v>
      </c>
      <c r="R808">
        <f t="shared" si="110"/>
        <v>3.37</v>
      </c>
      <c r="S808">
        <f t="shared" si="111"/>
        <v>1.01</v>
      </c>
      <c r="T808" t="str">
        <f t="shared" si="112"/>
        <v>Delayed</v>
      </c>
      <c r="U808" t="str">
        <f t="shared" si="113"/>
        <v>Low</v>
      </c>
      <c r="V808" t="str">
        <f t="shared" si="114"/>
        <v>Medium Risk</v>
      </c>
      <c r="W808" t="str">
        <f t="shared" si="115"/>
        <v>Aug</v>
      </c>
      <c r="X808">
        <f t="shared" si="116"/>
        <v>2025</v>
      </c>
    </row>
    <row r="809" spans="1:24" x14ac:dyDescent="0.35">
      <c r="A809" s="3">
        <v>45837</v>
      </c>
      <c r="B809" t="s">
        <v>173</v>
      </c>
      <c r="C809" t="s">
        <v>52</v>
      </c>
      <c r="D809" t="s">
        <v>955</v>
      </c>
      <c r="E809" t="s">
        <v>28</v>
      </c>
      <c r="F809" t="s">
        <v>63</v>
      </c>
      <c r="G809" t="s">
        <v>71</v>
      </c>
      <c r="H809">
        <v>74.599999999999994</v>
      </c>
      <c r="I809">
        <v>602</v>
      </c>
      <c r="J809">
        <v>76</v>
      </c>
      <c r="K809">
        <v>16.5</v>
      </c>
      <c r="L809" t="s">
        <v>30</v>
      </c>
      <c r="M809">
        <v>44061.33</v>
      </c>
      <c r="N809">
        <v>20895</v>
      </c>
      <c r="O809" t="s">
        <v>59</v>
      </c>
      <c r="P809" t="str">
        <f t="shared" si="108"/>
        <v>Yes</v>
      </c>
      <c r="Q809">
        <f t="shared" si="109"/>
        <v>8.07</v>
      </c>
      <c r="R809">
        <f t="shared" si="110"/>
        <v>73.19</v>
      </c>
      <c r="S809">
        <f t="shared" si="111"/>
        <v>2.11</v>
      </c>
      <c r="T809" t="str">
        <f t="shared" si="112"/>
        <v>Delayed</v>
      </c>
      <c r="U809" t="str">
        <f t="shared" si="113"/>
        <v>High</v>
      </c>
      <c r="V809" t="str">
        <f t="shared" si="114"/>
        <v>Medium Risk</v>
      </c>
      <c r="W809" t="str">
        <f t="shared" si="115"/>
        <v>Jun</v>
      </c>
      <c r="X809">
        <f t="shared" si="116"/>
        <v>2025</v>
      </c>
    </row>
    <row r="810" spans="1:24" x14ac:dyDescent="0.35">
      <c r="A810" s="3">
        <v>45923</v>
      </c>
      <c r="B810" t="s">
        <v>349</v>
      </c>
      <c r="C810" t="s">
        <v>130</v>
      </c>
      <c r="D810" t="s">
        <v>956</v>
      </c>
      <c r="E810" t="s">
        <v>54</v>
      </c>
      <c r="F810" t="s">
        <v>63</v>
      </c>
      <c r="G810" t="s">
        <v>29</v>
      </c>
      <c r="H810">
        <v>25.4</v>
      </c>
      <c r="I810">
        <v>660</v>
      </c>
      <c r="J810">
        <v>102</v>
      </c>
      <c r="K810">
        <v>21.7</v>
      </c>
      <c r="L810" t="s">
        <v>49</v>
      </c>
      <c r="M810">
        <v>16940.330000000002</v>
      </c>
      <c r="N810">
        <v>7826</v>
      </c>
      <c r="O810" t="s">
        <v>36</v>
      </c>
      <c r="P810" t="str">
        <f t="shared" si="108"/>
        <v>Yes</v>
      </c>
      <c r="Q810">
        <f t="shared" si="109"/>
        <v>25.98</v>
      </c>
      <c r="R810">
        <f t="shared" si="110"/>
        <v>25.67</v>
      </c>
      <c r="S810">
        <f t="shared" si="111"/>
        <v>2.16</v>
      </c>
      <c r="T810" t="str">
        <f t="shared" si="112"/>
        <v>Delayed</v>
      </c>
      <c r="U810" t="str">
        <f t="shared" si="113"/>
        <v>Low</v>
      </c>
      <c r="V810" t="str">
        <f t="shared" si="114"/>
        <v>High Risk</v>
      </c>
      <c r="W810" t="str">
        <f t="shared" si="115"/>
        <v>Sep</v>
      </c>
      <c r="X810">
        <f t="shared" si="116"/>
        <v>2025</v>
      </c>
    </row>
    <row r="811" spans="1:24" x14ac:dyDescent="0.35">
      <c r="A811" s="3">
        <v>45770</v>
      </c>
      <c r="B811" t="s">
        <v>139</v>
      </c>
      <c r="C811" t="s">
        <v>95</v>
      </c>
      <c r="D811" t="s">
        <v>957</v>
      </c>
      <c r="E811" t="s">
        <v>41</v>
      </c>
      <c r="F811" t="s">
        <v>55</v>
      </c>
      <c r="G811" t="s">
        <v>42</v>
      </c>
      <c r="H811">
        <v>66.2</v>
      </c>
      <c r="I811">
        <v>4879</v>
      </c>
      <c r="J811">
        <v>51</v>
      </c>
      <c r="K811">
        <v>13.8</v>
      </c>
      <c r="L811" t="s">
        <v>43</v>
      </c>
      <c r="M811">
        <v>33436.04</v>
      </c>
      <c r="N811">
        <v>6271</v>
      </c>
      <c r="O811" t="s">
        <v>91</v>
      </c>
      <c r="P811" t="str">
        <f t="shared" si="108"/>
        <v>Yes</v>
      </c>
      <c r="Q811">
        <f t="shared" si="109"/>
        <v>73.7</v>
      </c>
      <c r="R811">
        <f t="shared" si="110"/>
        <v>6.85</v>
      </c>
      <c r="S811">
        <f t="shared" si="111"/>
        <v>5.33</v>
      </c>
      <c r="T811" t="str">
        <f t="shared" si="112"/>
        <v>Delayed</v>
      </c>
      <c r="U811" t="str">
        <f t="shared" si="113"/>
        <v>High</v>
      </c>
      <c r="V811" t="str">
        <f t="shared" si="114"/>
        <v>Low Risk</v>
      </c>
      <c r="W811" t="str">
        <f t="shared" si="115"/>
        <v>Apr</v>
      </c>
      <c r="X811">
        <f t="shared" si="116"/>
        <v>2025</v>
      </c>
    </row>
    <row r="812" spans="1:24" x14ac:dyDescent="0.35">
      <c r="A812" s="3">
        <v>45994</v>
      </c>
      <c r="B812" t="s">
        <v>98</v>
      </c>
      <c r="C812" t="s">
        <v>52</v>
      </c>
      <c r="D812" t="s">
        <v>958</v>
      </c>
      <c r="E812" t="s">
        <v>54</v>
      </c>
      <c r="F812" t="s">
        <v>27</v>
      </c>
      <c r="G812" t="s">
        <v>29</v>
      </c>
      <c r="H812">
        <v>56.5</v>
      </c>
      <c r="I812">
        <v>890</v>
      </c>
      <c r="J812">
        <v>82</v>
      </c>
      <c r="K812">
        <v>10.4</v>
      </c>
      <c r="L812" t="s">
        <v>78</v>
      </c>
      <c r="M812">
        <v>36832.47</v>
      </c>
      <c r="N812">
        <v>14443</v>
      </c>
      <c r="O812" t="s">
        <v>44</v>
      </c>
      <c r="P812" t="str">
        <f t="shared" si="108"/>
        <v>No</v>
      </c>
      <c r="Q812">
        <f t="shared" si="109"/>
        <v>15.75</v>
      </c>
      <c r="R812">
        <f t="shared" si="110"/>
        <v>41.38</v>
      </c>
      <c r="S812">
        <f t="shared" si="111"/>
        <v>2.5499999999999998</v>
      </c>
      <c r="T812" t="str">
        <f t="shared" si="112"/>
        <v>On Time</v>
      </c>
      <c r="U812" t="str">
        <f t="shared" si="113"/>
        <v>Medium</v>
      </c>
      <c r="V812" t="str">
        <f t="shared" si="114"/>
        <v>Low Risk</v>
      </c>
      <c r="W812" t="str">
        <f t="shared" si="115"/>
        <v>Dec</v>
      </c>
      <c r="X812">
        <f t="shared" si="116"/>
        <v>2025</v>
      </c>
    </row>
    <row r="813" spans="1:24" x14ac:dyDescent="0.35">
      <c r="A813" s="3">
        <v>45875</v>
      </c>
      <c r="B813" t="s">
        <v>195</v>
      </c>
      <c r="C813" t="s">
        <v>57</v>
      </c>
      <c r="D813" t="s">
        <v>959</v>
      </c>
      <c r="E813" t="s">
        <v>63</v>
      </c>
      <c r="F813" t="s">
        <v>41</v>
      </c>
      <c r="G813" t="s">
        <v>35</v>
      </c>
      <c r="H813">
        <v>76.7</v>
      </c>
      <c r="I813">
        <v>2364</v>
      </c>
      <c r="J813">
        <v>61</v>
      </c>
      <c r="K813">
        <v>15.1</v>
      </c>
      <c r="L813" t="s">
        <v>49</v>
      </c>
      <c r="M813">
        <v>42924.3</v>
      </c>
      <c r="N813">
        <v>7864</v>
      </c>
      <c r="O813" t="s">
        <v>59</v>
      </c>
      <c r="P813" t="str">
        <f t="shared" si="108"/>
        <v>Yes</v>
      </c>
      <c r="Q813">
        <f t="shared" si="109"/>
        <v>30.82</v>
      </c>
      <c r="R813">
        <f t="shared" si="110"/>
        <v>18.16</v>
      </c>
      <c r="S813">
        <f t="shared" si="111"/>
        <v>5.46</v>
      </c>
      <c r="T813" t="str">
        <f t="shared" si="112"/>
        <v>Delayed</v>
      </c>
      <c r="U813" t="str">
        <f t="shared" si="113"/>
        <v>High</v>
      </c>
      <c r="V813" t="str">
        <f t="shared" si="114"/>
        <v>High Risk</v>
      </c>
      <c r="W813" t="str">
        <f t="shared" si="115"/>
        <v>Aug</v>
      </c>
      <c r="X813">
        <f t="shared" si="116"/>
        <v>2025</v>
      </c>
    </row>
    <row r="814" spans="1:24" x14ac:dyDescent="0.35">
      <c r="A814" s="3">
        <v>45962</v>
      </c>
      <c r="B814" t="s">
        <v>61</v>
      </c>
      <c r="C814" t="s">
        <v>95</v>
      </c>
      <c r="D814" t="s">
        <v>960</v>
      </c>
      <c r="E814" t="s">
        <v>41</v>
      </c>
      <c r="F814" t="s">
        <v>54</v>
      </c>
      <c r="G814" t="s">
        <v>35</v>
      </c>
      <c r="H814">
        <v>25.2</v>
      </c>
      <c r="I814">
        <v>2647</v>
      </c>
      <c r="J814">
        <v>41</v>
      </c>
      <c r="K814">
        <v>11.8</v>
      </c>
      <c r="L814" t="s">
        <v>49</v>
      </c>
      <c r="M814">
        <v>14267.07</v>
      </c>
      <c r="N814">
        <v>19813</v>
      </c>
      <c r="O814" t="s">
        <v>50</v>
      </c>
      <c r="P814" t="str">
        <f t="shared" si="108"/>
        <v>Yes</v>
      </c>
      <c r="Q814">
        <f t="shared" si="109"/>
        <v>105.04</v>
      </c>
      <c r="R814">
        <f t="shared" si="110"/>
        <v>5.39</v>
      </c>
      <c r="S814">
        <f t="shared" si="111"/>
        <v>0.72</v>
      </c>
      <c r="T814" t="str">
        <f t="shared" si="112"/>
        <v>Delayed</v>
      </c>
      <c r="U814" t="str">
        <f t="shared" si="113"/>
        <v>Low</v>
      </c>
      <c r="V814" t="str">
        <f t="shared" si="114"/>
        <v>High Risk</v>
      </c>
      <c r="W814" t="str">
        <f t="shared" si="115"/>
        <v>Nov</v>
      </c>
      <c r="X814">
        <f t="shared" si="116"/>
        <v>2025</v>
      </c>
    </row>
    <row r="815" spans="1:24" x14ac:dyDescent="0.35">
      <c r="A815" s="3">
        <v>45974</v>
      </c>
      <c r="B815" t="s">
        <v>38</v>
      </c>
      <c r="C815" t="s">
        <v>109</v>
      </c>
      <c r="D815" t="s">
        <v>961</v>
      </c>
      <c r="E815" t="s">
        <v>41</v>
      </c>
      <c r="F815" t="s">
        <v>63</v>
      </c>
      <c r="G815" t="s">
        <v>35</v>
      </c>
      <c r="H815">
        <v>77.8</v>
      </c>
      <c r="I815">
        <v>3500</v>
      </c>
      <c r="J815">
        <v>39</v>
      </c>
      <c r="K815">
        <v>14.2</v>
      </c>
      <c r="L815" t="s">
        <v>78</v>
      </c>
      <c r="M815">
        <v>43131.5</v>
      </c>
      <c r="N815">
        <v>23009</v>
      </c>
      <c r="O815" t="s">
        <v>67</v>
      </c>
      <c r="P815" t="str">
        <f t="shared" si="108"/>
        <v>No</v>
      </c>
      <c r="Q815">
        <f t="shared" si="109"/>
        <v>44.99</v>
      </c>
      <c r="R815">
        <f t="shared" si="110"/>
        <v>12.32</v>
      </c>
      <c r="S815">
        <f t="shared" si="111"/>
        <v>1.87</v>
      </c>
      <c r="T815" t="str">
        <f t="shared" si="112"/>
        <v>On Time</v>
      </c>
      <c r="U815" t="str">
        <f t="shared" si="113"/>
        <v>High</v>
      </c>
      <c r="V815" t="str">
        <f t="shared" si="114"/>
        <v>Low Risk</v>
      </c>
      <c r="W815" t="str">
        <f t="shared" si="115"/>
        <v>Nov</v>
      </c>
      <c r="X815">
        <f t="shared" si="116"/>
        <v>2025</v>
      </c>
    </row>
    <row r="816" spans="1:24" x14ac:dyDescent="0.35">
      <c r="A816" s="3">
        <v>45675</v>
      </c>
      <c r="B816" t="s">
        <v>207</v>
      </c>
      <c r="C816" t="s">
        <v>57</v>
      </c>
      <c r="D816" t="s">
        <v>962</v>
      </c>
      <c r="E816" t="s">
        <v>66</v>
      </c>
      <c r="F816" t="s">
        <v>28</v>
      </c>
      <c r="G816" t="s">
        <v>71</v>
      </c>
      <c r="H816">
        <v>21.8</v>
      </c>
      <c r="I816">
        <v>2057</v>
      </c>
      <c r="J816">
        <v>105</v>
      </c>
      <c r="K816">
        <v>15.3</v>
      </c>
      <c r="L816" t="s">
        <v>49</v>
      </c>
      <c r="M816">
        <v>10780.89</v>
      </c>
      <c r="N816">
        <v>27115</v>
      </c>
      <c r="O816" t="s">
        <v>67</v>
      </c>
      <c r="P816" t="str">
        <f t="shared" si="108"/>
        <v>Yes</v>
      </c>
      <c r="Q816">
        <f t="shared" si="109"/>
        <v>94.36</v>
      </c>
      <c r="R816">
        <f t="shared" si="110"/>
        <v>5.24</v>
      </c>
      <c r="S816">
        <f t="shared" si="111"/>
        <v>0.4</v>
      </c>
      <c r="T816" t="str">
        <f t="shared" si="112"/>
        <v>Delayed</v>
      </c>
      <c r="U816" t="str">
        <f t="shared" si="113"/>
        <v>Low</v>
      </c>
      <c r="V816" t="str">
        <f t="shared" si="114"/>
        <v>High Risk</v>
      </c>
      <c r="W816" t="str">
        <f t="shared" si="115"/>
        <v>Jan</v>
      </c>
      <c r="X816">
        <f t="shared" si="116"/>
        <v>2025</v>
      </c>
    </row>
    <row r="817" spans="1:24" x14ac:dyDescent="0.35">
      <c r="A817" s="3">
        <v>46007</v>
      </c>
      <c r="B817" t="s">
        <v>277</v>
      </c>
      <c r="C817" t="s">
        <v>109</v>
      </c>
      <c r="D817" t="s">
        <v>963</v>
      </c>
      <c r="E817" t="s">
        <v>63</v>
      </c>
      <c r="F817" t="s">
        <v>55</v>
      </c>
      <c r="G817" t="s">
        <v>35</v>
      </c>
      <c r="H817">
        <v>50.1</v>
      </c>
      <c r="I817">
        <v>3644</v>
      </c>
      <c r="J817">
        <v>91</v>
      </c>
      <c r="K817">
        <v>20.3</v>
      </c>
      <c r="L817" t="s">
        <v>49</v>
      </c>
      <c r="M817">
        <v>31144.5</v>
      </c>
      <c r="N817">
        <v>8869</v>
      </c>
      <c r="O817" t="s">
        <v>59</v>
      </c>
      <c r="P817" t="str">
        <f t="shared" si="108"/>
        <v>Yes</v>
      </c>
      <c r="Q817">
        <f t="shared" si="109"/>
        <v>72.73</v>
      </c>
      <c r="R817">
        <f t="shared" si="110"/>
        <v>8.5500000000000007</v>
      </c>
      <c r="S817">
        <f t="shared" si="111"/>
        <v>3.51</v>
      </c>
      <c r="T817" t="str">
        <f t="shared" si="112"/>
        <v>Delayed</v>
      </c>
      <c r="U817" t="str">
        <f t="shared" si="113"/>
        <v>Medium</v>
      </c>
      <c r="V817" t="str">
        <f t="shared" si="114"/>
        <v>High Risk</v>
      </c>
      <c r="W817" t="str">
        <f t="shared" si="115"/>
        <v>Dec</v>
      </c>
      <c r="X817">
        <f t="shared" si="116"/>
        <v>2025</v>
      </c>
    </row>
    <row r="818" spans="1:24" x14ac:dyDescent="0.35">
      <c r="A818" s="3">
        <v>45702</v>
      </c>
      <c r="B818" t="s">
        <v>159</v>
      </c>
      <c r="C818" t="s">
        <v>25</v>
      </c>
      <c r="D818" t="s">
        <v>964</v>
      </c>
      <c r="E818" t="s">
        <v>66</v>
      </c>
      <c r="F818" t="s">
        <v>48</v>
      </c>
      <c r="G818" t="s">
        <v>71</v>
      </c>
      <c r="H818">
        <v>44.2</v>
      </c>
      <c r="I818">
        <v>792</v>
      </c>
      <c r="J818">
        <v>87</v>
      </c>
      <c r="K818">
        <v>16.600000000000001</v>
      </c>
      <c r="L818" t="s">
        <v>49</v>
      </c>
      <c r="M818">
        <v>29421.200000000001</v>
      </c>
      <c r="N818">
        <v>5562</v>
      </c>
      <c r="O818" t="s">
        <v>36</v>
      </c>
      <c r="P818" t="str">
        <f t="shared" si="108"/>
        <v>Yes</v>
      </c>
      <c r="Q818">
        <f t="shared" si="109"/>
        <v>17.920000000000002</v>
      </c>
      <c r="R818">
        <f t="shared" si="110"/>
        <v>37.15</v>
      </c>
      <c r="S818">
        <f t="shared" si="111"/>
        <v>5.29</v>
      </c>
      <c r="T818" t="str">
        <f t="shared" si="112"/>
        <v>Delayed</v>
      </c>
      <c r="U818" t="str">
        <f t="shared" si="113"/>
        <v>Medium</v>
      </c>
      <c r="V818" t="str">
        <f t="shared" si="114"/>
        <v>High Risk</v>
      </c>
      <c r="W818" t="str">
        <f t="shared" si="115"/>
        <v>Feb</v>
      </c>
      <c r="X818">
        <f t="shared" si="116"/>
        <v>2025</v>
      </c>
    </row>
    <row r="819" spans="1:24" x14ac:dyDescent="0.35">
      <c r="A819" s="3">
        <v>45992</v>
      </c>
      <c r="B819" t="s">
        <v>185</v>
      </c>
      <c r="C819" t="s">
        <v>39</v>
      </c>
      <c r="D819" t="s">
        <v>965</v>
      </c>
      <c r="E819" t="s">
        <v>28</v>
      </c>
      <c r="F819" t="s">
        <v>48</v>
      </c>
      <c r="G819" t="s">
        <v>71</v>
      </c>
      <c r="H819">
        <v>52.3</v>
      </c>
      <c r="I819">
        <v>1106</v>
      </c>
      <c r="J819">
        <v>118</v>
      </c>
      <c r="K819">
        <v>17.2</v>
      </c>
      <c r="L819" t="s">
        <v>78</v>
      </c>
      <c r="M819">
        <v>31165.62</v>
      </c>
      <c r="N819">
        <v>6035</v>
      </c>
      <c r="O819" t="s">
        <v>36</v>
      </c>
      <c r="P819" t="str">
        <f t="shared" si="108"/>
        <v>No</v>
      </c>
      <c r="Q819">
        <f t="shared" si="109"/>
        <v>21.15</v>
      </c>
      <c r="R819">
        <f t="shared" si="110"/>
        <v>28.18</v>
      </c>
      <c r="S819">
        <f t="shared" si="111"/>
        <v>5.16</v>
      </c>
      <c r="T819" t="str">
        <f t="shared" si="112"/>
        <v>On Time</v>
      </c>
      <c r="U819" t="str">
        <f t="shared" si="113"/>
        <v>Medium</v>
      </c>
      <c r="V819" t="str">
        <f t="shared" si="114"/>
        <v>Low Risk</v>
      </c>
      <c r="W819" t="str">
        <f t="shared" si="115"/>
        <v>Dec</v>
      </c>
      <c r="X819">
        <f t="shared" si="116"/>
        <v>2025</v>
      </c>
    </row>
    <row r="820" spans="1:24" x14ac:dyDescent="0.35">
      <c r="A820" s="3">
        <v>46010</v>
      </c>
      <c r="B820" t="s">
        <v>203</v>
      </c>
      <c r="C820" t="s">
        <v>95</v>
      </c>
      <c r="D820" t="s">
        <v>966</v>
      </c>
      <c r="E820" t="s">
        <v>55</v>
      </c>
      <c r="F820" t="s">
        <v>48</v>
      </c>
      <c r="G820" t="s">
        <v>42</v>
      </c>
      <c r="H820">
        <v>66.8</v>
      </c>
      <c r="I820">
        <v>3212</v>
      </c>
      <c r="J820">
        <v>47</v>
      </c>
      <c r="K820">
        <v>14.3</v>
      </c>
      <c r="L820" t="s">
        <v>49</v>
      </c>
      <c r="M820">
        <v>36098.239999999998</v>
      </c>
      <c r="N820">
        <v>16354</v>
      </c>
      <c r="O820" t="s">
        <v>36</v>
      </c>
      <c r="P820" t="str">
        <f t="shared" si="108"/>
        <v>Yes</v>
      </c>
      <c r="Q820">
        <f t="shared" si="109"/>
        <v>48.08</v>
      </c>
      <c r="R820">
        <f t="shared" si="110"/>
        <v>11.24</v>
      </c>
      <c r="S820">
        <f t="shared" si="111"/>
        <v>2.21</v>
      </c>
      <c r="T820" t="str">
        <f t="shared" si="112"/>
        <v>Delayed</v>
      </c>
      <c r="U820" t="str">
        <f t="shared" si="113"/>
        <v>High</v>
      </c>
      <c r="V820" t="str">
        <f t="shared" si="114"/>
        <v>High Risk</v>
      </c>
      <c r="W820" t="str">
        <f t="shared" si="115"/>
        <v>Dec</v>
      </c>
      <c r="X820">
        <f t="shared" si="116"/>
        <v>2025</v>
      </c>
    </row>
    <row r="821" spans="1:24" x14ac:dyDescent="0.35">
      <c r="A821" s="3">
        <v>45981</v>
      </c>
      <c r="B821" t="s">
        <v>309</v>
      </c>
      <c r="C821" t="s">
        <v>95</v>
      </c>
      <c r="D821" t="s">
        <v>967</v>
      </c>
      <c r="E821" t="s">
        <v>66</v>
      </c>
      <c r="F821" t="s">
        <v>55</v>
      </c>
      <c r="G821" t="s">
        <v>35</v>
      </c>
      <c r="H821">
        <v>25.4</v>
      </c>
      <c r="I821">
        <v>3023</v>
      </c>
      <c r="J821">
        <v>36</v>
      </c>
      <c r="K821">
        <v>11.2</v>
      </c>
      <c r="L821" t="s">
        <v>49</v>
      </c>
      <c r="M821">
        <v>15941.94</v>
      </c>
      <c r="N821">
        <v>24237</v>
      </c>
      <c r="O821" t="s">
        <v>44</v>
      </c>
      <c r="P821" t="str">
        <f t="shared" si="108"/>
        <v>Yes</v>
      </c>
      <c r="Q821">
        <f t="shared" si="109"/>
        <v>119.02</v>
      </c>
      <c r="R821">
        <f t="shared" si="110"/>
        <v>5.27</v>
      </c>
      <c r="S821">
        <f t="shared" si="111"/>
        <v>0.66</v>
      </c>
      <c r="T821" t="str">
        <f t="shared" si="112"/>
        <v>Delayed</v>
      </c>
      <c r="U821" t="str">
        <f t="shared" si="113"/>
        <v>Low</v>
      </c>
      <c r="V821" t="str">
        <f t="shared" si="114"/>
        <v>High Risk</v>
      </c>
      <c r="W821" t="str">
        <f t="shared" si="115"/>
        <v>Nov</v>
      </c>
      <c r="X821">
        <f t="shared" si="116"/>
        <v>2025</v>
      </c>
    </row>
    <row r="822" spans="1:24" x14ac:dyDescent="0.35">
      <c r="A822" s="3">
        <v>45901</v>
      </c>
      <c r="B822" t="s">
        <v>195</v>
      </c>
      <c r="C822" t="s">
        <v>130</v>
      </c>
      <c r="D822" t="s">
        <v>968</v>
      </c>
      <c r="E822" t="s">
        <v>55</v>
      </c>
      <c r="F822" t="s">
        <v>48</v>
      </c>
      <c r="G822" t="s">
        <v>71</v>
      </c>
      <c r="H822">
        <v>21.5</v>
      </c>
      <c r="I822">
        <v>3957</v>
      </c>
      <c r="J822">
        <v>99</v>
      </c>
      <c r="K822">
        <v>16</v>
      </c>
      <c r="L822" t="s">
        <v>78</v>
      </c>
      <c r="M822">
        <v>11209.1</v>
      </c>
      <c r="N822">
        <v>8660</v>
      </c>
      <c r="O822" t="s">
        <v>59</v>
      </c>
      <c r="P822" t="str">
        <f t="shared" si="108"/>
        <v>No</v>
      </c>
      <c r="Q822">
        <f t="shared" si="109"/>
        <v>184.05</v>
      </c>
      <c r="R822">
        <f t="shared" si="110"/>
        <v>2.83</v>
      </c>
      <c r="S822">
        <f t="shared" si="111"/>
        <v>1.29</v>
      </c>
      <c r="T822" t="str">
        <f t="shared" si="112"/>
        <v>On Time</v>
      </c>
      <c r="U822" t="str">
        <f t="shared" si="113"/>
        <v>Low</v>
      </c>
      <c r="V822" t="str">
        <f t="shared" si="114"/>
        <v>Low Risk</v>
      </c>
      <c r="W822" t="str">
        <f t="shared" si="115"/>
        <v>Sep</v>
      </c>
      <c r="X822">
        <f t="shared" si="116"/>
        <v>2025</v>
      </c>
    </row>
    <row r="823" spans="1:24" x14ac:dyDescent="0.35">
      <c r="A823" s="3">
        <v>46001</v>
      </c>
      <c r="B823" t="s">
        <v>104</v>
      </c>
      <c r="C823" t="s">
        <v>57</v>
      </c>
      <c r="D823" t="s">
        <v>969</v>
      </c>
      <c r="E823" t="s">
        <v>66</v>
      </c>
      <c r="F823" t="s">
        <v>27</v>
      </c>
      <c r="G823" t="s">
        <v>29</v>
      </c>
      <c r="H823">
        <v>39</v>
      </c>
      <c r="I823">
        <v>825</v>
      </c>
      <c r="J823">
        <v>73</v>
      </c>
      <c r="K823">
        <v>18.8</v>
      </c>
      <c r="L823" t="s">
        <v>78</v>
      </c>
      <c r="M823">
        <v>22094.76</v>
      </c>
      <c r="N823">
        <v>8927</v>
      </c>
      <c r="O823" t="s">
        <v>59</v>
      </c>
      <c r="P823" t="str">
        <f t="shared" si="108"/>
        <v>No</v>
      </c>
      <c r="Q823">
        <f t="shared" si="109"/>
        <v>21.15</v>
      </c>
      <c r="R823">
        <f t="shared" si="110"/>
        <v>26.78</v>
      </c>
      <c r="S823">
        <f t="shared" si="111"/>
        <v>2.48</v>
      </c>
      <c r="T823" t="str">
        <f t="shared" si="112"/>
        <v>On Time</v>
      </c>
      <c r="U823" t="str">
        <f t="shared" si="113"/>
        <v>Low</v>
      </c>
      <c r="V823" t="str">
        <f t="shared" si="114"/>
        <v>Low Risk</v>
      </c>
      <c r="W823" t="str">
        <f t="shared" si="115"/>
        <v>Dec</v>
      </c>
      <c r="X823">
        <f t="shared" si="116"/>
        <v>2025</v>
      </c>
    </row>
    <row r="824" spans="1:24" x14ac:dyDescent="0.35">
      <c r="A824" s="3">
        <v>45752</v>
      </c>
      <c r="B824" t="s">
        <v>64</v>
      </c>
      <c r="C824" t="s">
        <v>69</v>
      </c>
      <c r="D824" t="s">
        <v>970</v>
      </c>
      <c r="E824" t="s">
        <v>66</v>
      </c>
      <c r="F824" t="s">
        <v>27</v>
      </c>
      <c r="G824" t="s">
        <v>29</v>
      </c>
      <c r="H824">
        <v>63.7</v>
      </c>
      <c r="I824">
        <v>672</v>
      </c>
      <c r="J824">
        <v>36</v>
      </c>
      <c r="K824">
        <v>19.600000000000001</v>
      </c>
      <c r="L824" t="s">
        <v>78</v>
      </c>
      <c r="M824">
        <v>38220.06</v>
      </c>
      <c r="N824">
        <v>6705</v>
      </c>
      <c r="O824" t="s">
        <v>31</v>
      </c>
      <c r="P824" t="str">
        <f t="shared" si="108"/>
        <v>No</v>
      </c>
      <c r="Q824">
        <f t="shared" si="109"/>
        <v>10.55</v>
      </c>
      <c r="R824">
        <f t="shared" si="110"/>
        <v>56.88</v>
      </c>
      <c r="S824">
        <f t="shared" si="111"/>
        <v>5.7</v>
      </c>
      <c r="T824" t="str">
        <f t="shared" si="112"/>
        <v>On Time</v>
      </c>
      <c r="U824" t="str">
        <f t="shared" si="113"/>
        <v>High</v>
      </c>
      <c r="V824" t="str">
        <f t="shared" si="114"/>
        <v>Low Risk</v>
      </c>
      <c r="W824" t="str">
        <f t="shared" si="115"/>
        <v>Apr</v>
      </c>
      <c r="X824">
        <f t="shared" si="116"/>
        <v>2025</v>
      </c>
    </row>
    <row r="825" spans="1:24" x14ac:dyDescent="0.35">
      <c r="A825" s="3">
        <v>45869</v>
      </c>
      <c r="B825" t="s">
        <v>102</v>
      </c>
      <c r="C825" t="s">
        <v>57</v>
      </c>
      <c r="D825" t="s">
        <v>971</v>
      </c>
      <c r="E825" t="s">
        <v>54</v>
      </c>
      <c r="F825" t="s">
        <v>63</v>
      </c>
      <c r="G825" t="s">
        <v>29</v>
      </c>
      <c r="H825">
        <v>59.6</v>
      </c>
      <c r="I825">
        <v>1264</v>
      </c>
      <c r="J825">
        <v>52</v>
      </c>
      <c r="K825">
        <v>19.3</v>
      </c>
      <c r="L825" t="s">
        <v>49</v>
      </c>
      <c r="M825">
        <v>31736.91</v>
      </c>
      <c r="N825">
        <v>9567</v>
      </c>
      <c r="O825" t="s">
        <v>91</v>
      </c>
      <c r="P825" t="str">
        <f t="shared" si="108"/>
        <v>Yes</v>
      </c>
      <c r="Q825">
        <f t="shared" si="109"/>
        <v>21.21</v>
      </c>
      <c r="R825">
        <f t="shared" si="110"/>
        <v>25.11</v>
      </c>
      <c r="S825">
        <f t="shared" si="111"/>
        <v>3.32</v>
      </c>
      <c r="T825" t="str">
        <f t="shared" si="112"/>
        <v>Delayed</v>
      </c>
      <c r="U825" t="str">
        <f t="shared" si="113"/>
        <v>Medium</v>
      </c>
      <c r="V825" t="str">
        <f t="shared" si="114"/>
        <v>High Risk</v>
      </c>
      <c r="W825" t="str">
        <f t="shared" si="115"/>
        <v>Jul</v>
      </c>
      <c r="X825">
        <f t="shared" si="116"/>
        <v>2025</v>
      </c>
    </row>
    <row r="826" spans="1:24" x14ac:dyDescent="0.35">
      <c r="A826" s="3">
        <v>45742</v>
      </c>
      <c r="B826" t="s">
        <v>115</v>
      </c>
      <c r="C826" t="s">
        <v>95</v>
      </c>
      <c r="D826" t="s">
        <v>972</v>
      </c>
      <c r="E826" t="s">
        <v>66</v>
      </c>
      <c r="F826" t="s">
        <v>54</v>
      </c>
      <c r="G826" t="s">
        <v>29</v>
      </c>
      <c r="H826">
        <v>66.8</v>
      </c>
      <c r="I826">
        <v>4095</v>
      </c>
      <c r="J826">
        <v>47</v>
      </c>
      <c r="K826">
        <v>10.3</v>
      </c>
      <c r="L826" t="s">
        <v>30</v>
      </c>
      <c r="M826">
        <v>35546.080000000002</v>
      </c>
      <c r="N826">
        <v>6176</v>
      </c>
      <c r="O826" t="s">
        <v>59</v>
      </c>
      <c r="P826" t="str">
        <f t="shared" si="108"/>
        <v>Yes</v>
      </c>
      <c r="Q826">
        <f t="shared" si="109"/>
        <v>61.3</v>
      </c>
      <c r="R826">
        <f t="shared" si="110"/>
        <v>8.68</v>
      </c>
      <c r="S826">
        <f t="shared" si="111"/>
        <v>5.76</v>
      </c>
      <c r="T826" t="str">
        <f t="shared" si="112"/>
        <v>Delayed</v>
      </c>
      <c r="U826" t="str">
        <f t="shared" si="113"/>
        <v>High</v>
      </c>
      <c r="V826" t="str">
        <f t="shared" si="114"/>
        <v>Medium Risk</v>
      </c>
      <c r="W826" t="str">
        <f t="shared" si="115"/>
        <v>Mar</v>
      </c>
      <c r="X826">
        <f t="shared" si="116"/>
        <v>2025</v>
      </c>
    </row>
    <row r="827" spans="1:24" x14ac:dyDescent="0.35">
      <c r="A827" s="3">
        <v>45977</v>
      </c>
      <c r="B827" t="s">
        <v>100</v>
      </c>
      <c r="C827" t="s">
        <v>130</v>
      </c>
      <c r="D827" t="s">
        <v>973</v>
      </c>
      <c r="E827" t="s">
        <v>48</v>
      </c>
      <c r="F827" t="s">
        <v>66</v>
      </c>
      <c r="G827" t="s">
        <v>35</v>
      </c>
      <c r="H827">
        <v>67</v>
      </c>
      <c r="I827">
        <v>1851</v>
      </c>
      <c r="J827">
        <v>93</v>
      </c>
      <c r="K827">
        <v>10.7</v>
      </c>
      <c r="L827" t="s">
        <v>30</v>
      </c>
      <c r="M827">
        <v>33069.86</v>
      </c>
      <c r="N827">
        <v>24278</v>
      </c>
      <c r="O827" t="s">
        <v>67</v>
      </c>
      <c r="P827" t="str">
        <f t="shared" si="108"/>
        <v>Yes</v>
      </c>
      <c r="Q827">
        <f t="shared" si="109"/>
        <v>27.63</v>
      </c>
      <c r="R827">
        <f t="shared" si="110"/>
        <v>17.87</v>
      </c>
      <c r="S827">
        <f t="shared" si="111"/>
        <v>1.36</v>
      </c>
      <c r="T827" t="str">
        <f t="shared" si="112"/>
        <v>Delayed</v>
      </c>
      <c r="U827" t="str">
        <f t="shared" si="113"/>
        <v>High</v>
      </c>
      <c r="V827" t="str">
        <f t="shared" si="114"/>
        <v>Medium Risk</v>
      </c>
      <c r="W827" t="str">
        <f t="shared" si="115"/>
        <v>Nov</v>
      </c>
      <c r="X827">
        <f t="shared" si="116"/>
        <v>2025</v>
      </c>
    </row>
    <row r="828" spans="1:24" x14ac:dyDescent="0.35">
      <c r="A828" s="3">
        <v>45729</v>
      </c>
      <c r="B828" t="s">
        <v>38</v>
      </c>
      <c r="C828" t="s">
        <v>39</v>
      </c>
      <c r="D828" t="s">
        <v>974</v>
      </c>
      <c r="E828" t="s">
        <v>66</v>
      </c>
      <c r="F828" t="s">
        <v>48</v>
      </c>
      <c r="G828" t="s">
        <v>42</v>
      </c>
      <c r="H828">
        <v>54.3</v>
      </c>
      <c r="I828">
        <v>3068</v>
      </c>
      <c r="J828">
        <v>107</v>
      </c>
      <c r="K828">
        <v>21.4</v>
      </c>
      <c r="L828" t="s">
        <v>49</v>
      </c>
      <c r="M828">
        <v>30941.96</v>
      </c>
      <c r="N828">
        <v>20198</v>
      </c>
      <c r="O828" t="s">
        <v>36</v>
      </c>
      <c r="P828" t="str">
        <f t="shared" si="108"/>
        <v>Yes</v>
      </c>
      <c r="Q828">
        <f t="shared" si="109"/>
        <v>56.5</v>
      </c>
      <c r="R828">
        <f t="shared" si="110"/>
        <v>10.09</v>
      </c>
      <c r="S828">
        <f t="shared" si="111"/>
        <v>1.53</v>
      </c>
      <c r="T828" t="str">
        <f t="shared" si="112"/>
        <v>Delayed</v>
      </c>
      <c r="U828" t="str">
        <f t="shared" si="113"/>
        <v>Medium</v>
      </c>
      <c r="V828" t="str">
        <f t="shared" si="114"/>
        <v>High Risk</v>
      </c>
      <c r="W828" t="str">
        <f t="shared" si="115"/>
        <v>Mar</v>
      </c>
      <c r="X828">
        <f t="shared" si="116"/>
        <v>2025</v>
      </c>
    </row>
    <row r="829" spans="1:24" x14ac:dyDescent="0.35">
      <c r="A829" s="3">
        <v>45908</v>
      </c>
      <c r="B829" t="s">
        <v>111</v>
      </c>
      <c r="C829" t="s">
        <v>52</v>
      </c>
      <c r="D829" t="s">
        <v>975</v>
      </c>
      <c r="E829" t="s">
        <v>48</v>
      </c>
      <c r="F829" t="s">
        <v>54</v>
      </c>
      <c r="G829" t="s">
        <v>35</v>
      </c>
      <c r="H829">
        <v>25.1</v>
      </c>
      <c r="I829">
        <v>523</v>
      </c>
      <c r="J829">
        <v>95</v>
      </c>
      <c r="K829">
        <v>19.600000000000001</v>
      </c>
      <c r="L829" t="s">
        <v>43</v>
      </c>
      <c r="M829">
        <v>14121.67</v>
      </c>
      <c r="N829">
        <v>5678</v>
      </c>
      <c r="O829" t="s">
        <v>67</v>
      </c>
      <c r="P829" t="str">
        <f t="shared" si="108"/>
        <v>Yes</v>
      </c>
      <c r="Q829">
        <f t="shared" si="109"/>
        <v>20.84</v>
      </c>
      <c r="R829">
        <f t="shared" si="110"/>
        <v>27</v>
      </c>
      <c r="S829">
        <f t="shared" si="111"/>
        <v>2.4900000000000002</v>
      </c>
      <c r="T829" t="str">
        <f t="shared" si="112"/>
        <v>Delayed</v>
      </c>
      <c r="U829" t="str">
        <f t="shared" si="113"/>
        <v>Low</v>
      </c>
      <c r="V829" t="str">
        <f t="shared" si="114"/>
        <v>Low Risk</v>
      </c>
      <c r="W829" t="str">
        <f t="shared" si="115"/>
        <v>Sep</v>
      </c>
      <c r="X829">
        <f t="shared" si="116"/>
        <v>2025</v>
      </c>
    </row>
    <row r="830" spans="1:24" x14ac:dyDescent="0.35">
      <c r="A830" s="3">
        <v>45771</v>
      </c>
      <c r="B830" t="s">
        <v>159</v>
      </c>
      <c r="C830" t="s">
        <v>95</v>
      </c>
      <c r="D830" t="s">
        <v>976</v>
      </c>
      <c r="E830" t="s">
        <v>55</v>
      </c>
      <c r="F830" t="s">
        <v>48</v>
      </c>
      <c r="G830" t="s">
        <v>35</v>
      </c>
      <c r="H830">
        <v>63.5</v>
      </c>
      <c r="I830">
        <v>1407</v>
      </c>
      <c r="J830">
        <v>57</v>
      </c>
      <c r="K830">
        <v>16.100000000000001</v>
      </c>
      <c r="L830" t="s">
        <v>78</v>
      </c>
      <c r="M830">
        <v>35371.769999999997</v>
      </c>
      <c r="N830">
        <v>9589</v>
      </c>
      <c r="O830" t="s">
        <v>31</v>
      </c>
      <c r="P830" t="str">
        <f t="shared" si="108"/>
        <v>No</v>
      </c>
      <c r="Q830">
        <f t="shared" si="109"/>
        <v>22.16</v>
      </c>
      <c r="R830">
        <f t="shared" si="110"/>
        <v>25.14</v>
      </c>
      <c r="S830">
        <f t="shared" si="111"/>
        <v>3.69</v>
      </c>
      <c r="T830" t="str">
        <f t="shared" si="112"/>
        <v>On Time</v>
      </c>
      <c r="U830" t="str">
        <f t="shared" si="113"/>
        <v>High</v>
      </c>
      <c r="V830" t="str">
        <f t="shared" si="114"/>
        <v>Low Risk</v>
      </c>
      <c r="W830" t="str">
        <f t="shared" si="115"/>
        <v>Apr</v>
      </c>
      <c r="X830">
        <f t="shared" si="116"/>
        <v>2025</v>
      </c>
    </row>
    <row r="831" spans="1:24" x14ac:dyDescent="0.35">
      <c r="A831" s="3">
        <v>45950</v>
      </c>
      <c r="B831" t="s">
        <v>349</v>
      </c>
      <c r="C831" t="s">
        <v>39</v>
      </c>
      <c r="D831" t="s">
        <v>977</v>
      </c>
      <c r="E831" t="s">
        <v>55</v>
      </c>
      <c r="F831" t="s">
        <v>54</v>
      </c>
      <c r="G831" t="s">
        <v>29</v>
      </c>
      <c r="H831">
        <v>37.6</v>
      </c>
      <c r="I831">
        <v>1265</v>
      </c>
      <c r="J831">
        <v>30</v>
      </c>
      <c r="K831">
        <v>11.2</v>
      </c>
      <c r="L831" t="s">
        <v>49</v>
      </c>
      <c r="M831">
        <v>17027.759999999998</v>
      </c>
      <c r="N831">
        <v>14441</v>
      </c>
      <c r="O831" t="s">
        <v>36</v>
      </c>
      <c r="P831" t="str">
        <f t="shared" si="108"/>
        <v>Yes</v>
      </c>
      <c r="Q831">
        <f t="shared" si="109"/>
        <v>33.64</v>
      </c>
      <c r="R831">
        <f t="shared" si="110"/>
        <v>13.46</v>
      </c>
      <c r="S831">
        <f t="shared" si="111"/>
        <v>1.18</v>
      </c>
      <c r="T831" t="str">
        <f t="shared" si="112"/>
        <v>Delayed</v>
      </c>
      <c r="U831" t="str">
        <f t="shared" si="113"/>
        <v>Low</v>
      </c>
      <c r="V831" t="str">
        <f t="shared" si="114"/>
        <v>High Risk</v>
      </c>
      <c r="W831" t="str">
        <f t="shared" si="115"/>
        <v>Oct</v>
      </c>
      <c r="X831">
        <f t="shared" si="116"/>
        <v>2025</v>
      </c>
    </row>
    <row r="832" spans="1:24" x14ac:dyDescent="0.35">
      <c r="A832" s="3">
        <v>45956</v>
      </c>
      <c r="B832" t="s">
        <v>111</v>
      </c>
      <c r="C832" t="s">
        <v>95</v>
      </c>
      <c r="D832" t="s">
        <v>978</v>
      </c>
      <c r="E832" t="s">
        <v>66</v>
      </c>
      <c r="F832" t="s">
        <v>63</v>
      </c>
      <c r="G832" t="s">
        <v>35</v>
      </c>
      <c r="H832">
        <v>62.3</v>
      </c>
      <c r="I832">
        <v>2035</v>
      </c>
      <c r="J832">
        <v>47</v>
      </c>
      <c r="K832">
        <v>11.2</v>
      </c>
      <c r="L832" t="s">
        <v>49</v>
      </c>
      <c r="M832">
        <v>28812.799999999999</v>
      </c>
      <c r="N832">
        <v>7659</v>
      </c>
      <c r="O832" t="s">
        <v>44</v>
      </c>
      <c r="P832" t="str">
        <f t="shared" si="108"/>
        <v>Yes</v>
      </c>
      <c r="Q832">
        <f t="shared" si="109"/>
        <v>32.659999999999997</v>
      </c>
      <c r="R832">
        <f t="shared" si="110"/>
        <v>14.16</v>
      </c>
      <c r="S832">
        <f t="shared" si="111"/>
        <v>3.76</v>
      </c>
      <c r="T832" t="str">
        <f t="shared" si="112"/>
        <v>Delayed</v>
      </c>
      <c r="U832" t="str">
        <f t="shared" si="113"/>
        <v>High</v>
      </c>
      <c r="V832" t="str">
        <f t="shared" si="114"/>
        <v>High Risk</v>
      </c>
      <c r="W832" t="str">
        <f t="shared" si="115"/>
        <v>Oct</v>
      </c>
      <c r="X832">
        <f t="shared" si="116"/>
        <v>2025</v>
      </c>
    </row>
    <row r="833" spans="1:24" x14ac:dyDescent="0.35">
      <c r="A833" s="3">
        <v>45765</v>
      </c>
      <c r="B833" t="s">
        <v>80</v>
      </c>
      <c r="C833" t="s">
        <v>52</v>
      </c>
      <c r="D833" t="s">
        <v>979</v>
      </c>
      <c r="E833" t="s">
        <v>41</v>
      </c>
      <c r="F833" t="s">
        <v>27</v>
      </c>
      <c r="G833" t="s">
        <v>29</v>
      </c>
      <c r="H833">
        <v>66.5</v>
      </c>
      <c r="I833">
        <v>3978</v>
      </c>
      <c r="J833">
        <v>39</v>
      </c>
      <c r="K833">
        <v>17.100000000000001</v>
      </c>
      <c r="L833" t="s">
        <v>43</v>
      </c>
      <c r="M833">
        <v>35714.29</v>
      </c>
      <c r="N833">
        <v>7677</v>
      </c>
      <c r="O833" t="s">
        <v>50</v>
      </c>
      <c r="P833" t="str">
        <f t="shared" si="108"/>
        <v>Yes</v>
      </c>
      <c r="Q833">
        <f t="shared" si="109"/>
        <v>59.82</v>
      </c>
      <c r="R833">
        <f t="shared" si="110"/>
        <v>8.98</v>
      </c>
      <c r="S833">
        <f t="shared" si="111"/>
        <v>4.6500000000000004</v>
      </c>
      <c r="T833" t="str">
        <f t="shared" si="112"/>
        <v>Delayed</v>
      </c>
      <c r="U833" t="str">
        <f t="shared" si="113"/>
        <v>High</v>
      </c>
      <c r="V833" t="str">
        <f t="shared" si="114"/>
        <v>Low Risk</v>
      </c>
      <c r="W833" t="str">
        <f t="shared" si="115"/>
        <v>Apr</v>
      </c>
      <c r="X833">
        <f t="shared" si="116"/>
        <v>2025</v>
      </c>
    </row>
    <row r="834" spans="1:24" x14ac:dyDescent="0.35">
      <c r="A834" s="3">
        <v>45894</v>
      </c>
      <c r="B834" t="s">
        <v>277</v>
      </c>
      <c r="C834" t="s">
        <v>25</v>
      </c>
      <c r="D834" t="s">
        <v>980</v>
      </c>
      <c r="E834" t="s">
        <v>28</v>
      </c>
      <c r="F834" t="s">
        <v>54</v>
      </c>
      <c r="G834" t="s">
        <v>35</v>
      </c>
      <c r="H834">
        <v>54.6</v>
      </c>
      <c r="I834">
        <v>3463</v>
      </c>
      <c r="J834">
        <v>62</v>
      </c>
      <c r="K834">
        <v>14.6</v>
      </c>
      <c r="L834" t="s">
        <v>49</v>
      </c>
      <c r="M834">
        <v>31725.01</v>
      </c>
      <c r="N834">
        <v>29490</v>
      </c>
      <c r="O834" t="s">
        <v>50</v>
      </c>
      <c r="P834" t="str">
        <f t="shared" ref="P834:P897" si="117">IF(OR(L834="Rain",L834="Fog",L834="Storm"),"Yes","No")</f>
        <v>Yes</v>
      </c>
      <c r="Q834">
        <f t="shared" ref="Q834:Q897" si="118">ROUND(I834/H834,2)</f>
        <v>63.42</v>
      </c>
      <c r="R834">
        <f t="shared" ref="R834:R897" si="119">ROUND(M834/I834,2)</f>
        <v>9.16</v>
      </c>
      <c r="S834">
        <f t="shared" ref="S834:S897" si="120">ROUND(M834/N834,2)</f>
        <v>1.08</v>
      </c>
      <c r="T834" t="str">
        <f t="shared" ref="T834:T897" si="121">IF(P834="Yes","Delayed","On Time")</f>
        <v>Delayed</v>
      </c>
      <c r="U834" t="str">
        <f t="shared" ref="U834:U897" si="122">IF(H834&gt;=60,"High",IF(H834&gt;=40,"Medium","Low"))</f>
        <v>Medium</v>
      </c>
      <c r="V834" t="str">
        <f t="shared" ref="V834:V897" si="123">IF(L834="Storm","High Risk",IF(L834="Rain","Medium Risk","Low Risk"))</f>
        <v>High Risk</v>
      </c>
      <c r="W834" t="str">
        <f t="shared" ref="W834:W897" si="124">TEXT(A834,"mmm")</f>
        <v>Aug</v>
      </c>
      <c r="X834">
        <f t="shared" si="116"/>
        <v>2025</v>
      </c>
    </row>
    <row r="835" spans="1:24" x14ac:dyDescent="0.35">
      <c r="A835" s="3">
        <v>45823</v>
      </c>
      <c r="B835" t="s">
        <v>203</v>
      </c>
      <c r="C835" t="s">
        <v>69</v>
      </c>
      <c r="D835" t="s">
        <v>981</v>
      </c>
      <c r="E835" t="s">
        <v>28</v>
      </c>
      <c r="F835" t="s">
        <v>54</v>
      </c>
      <c r="G835" t="s">
        <v>29</v>
      </c>
      <c r="H835">
        <v>73.7</v>
      </c>
      <c r="I835">
        <v>4885</v>
      </c>
      <c r="J835">
        <v>41</v>
      </c>
      <c r="K835">
        <v>10.3</v>
      </c>
      <c r="L835" t="s">
        <v>49</v>
      </c>
      <c r="M835">
        <v>47438.11</v>
      </c>
      <c r="N835">
        <v>17305</v>
      </c>
      <c r="O835" t="s">
        <v>31</v>
      </c>
      <c r="P835" t="str">
        <f t="shared" si="117"/>
        <v>Yes</v>
      </c>
      <c r="Q835">
        <f t="shared" si="118"/>
        <v>66.28</v>
      </c>
      <c r="R835">
        <f t="shared" si="119"/>
        <v>9.7100000000000009</v>
      </c>
      <c r="S835">
        <f t="shared" si="120"/>
        <v>2.74</v>
      </c>
      <c r="T835" t="str">
        <f t="shared" si="121"/>
        <v>Delayed</v>
      </c>
      <c r="U835" t="str">
        <f t="shared" si="122"/>
        <v>High</v>
      </c>
      <c r="V835" t="str">
        <f t="shared" si="123"/>
        <v>High Risk</v>
      </c>
      <c r="W835" t="str">
        <f t="shared" si="124"/>
        <v>Jun</v>
      </c>
      <c r="X835">
        <f t="shared" ref="X835:X898" si="125">YEAR(A835)</f>
        <v>2025</v>
      </c>
    </row>
    <row r="836" spans="1:24" x14ac:dyDescent="0.35">
      <c r="A836" s="3">
        <v>45701</v>
      </c>
      <c r="B836" t="s">
        <v>38</v>
      </c>
      <c r="C836" t="s">
        <v>95</v>
      </c>
      <c r="D836" t="s">
        <v>982</v>
      </c>
      <c r="E836" t="s">
        <v>55</v>
      </c>
      <c r="F836" t="s">
        <v>41</v>
      </c>
      <c r="G836" t="s">
        <v>71</v>
      </c>
      <c r="H836">
        <v>23.8</v>
      </c>
      <c r="I836">
        <v>1647</v>
      </c>
      <c r="J836">
        <v>97</v>
      </c>
      <c r="K836">
        <v>21.4</v>
      </c>
      <c r="L836" t="s">
        <v>78</v>
      </c>
      <c r="M836">
        <v>12790.07</v>
      </c>
      <c r="N836">
        <v>11814</v>
      </c>
      <c r="O836" t="s">
        <v>31</v>
      </c>
      <c r="P836" t="str">
        <f t="shared" si="117"/>
        <v>No</v>
      </c>
      <c r="Q836">
        <f t="shared" si="118"/>
        <v>69.2</v>
      </c>
      <c r="R836">
        <f t="shared" si="119"/>
        <v>7.77</v>
      </c>
      <c r="S836">
        <f t="shared" si="120"/>
        <v>1.08</v>
      </c>
      <c r="T836" t="str">
        <f t="shared" si="121"/>
        <v>On Time</v>
      </c>
      <c r="U836" t="str">
        <f t="shared" si="122"/>
        <v>Low</v>
      </c>
      <c r="V836" t="str">
        <f t="shared" si="123"/>
        <v>Low Risk</v>
      </c>
      <c r="W836" t="str">
        <f t="shared" si="124"/>
        <v>Feb</v>
      </c>
      <c r="X836">
        <f t="shared" si="125"/>
        <v>2025</v>
      </c>
    </row>
    <row r="837" spans="1:24" x14ac:dyDescent="0.35">
      <c r="A837" s="3">
        <v>46007</v>
      </c>
      <c r="B837" t="s">
        <v>366</v>
      </c>
      <c r="C837" t="s">
        <v>57</v>
      </c>
      <c r="D837" t="s">
        <v>983</v>
      </c>
      <c r="E837" t="s">
        <v>41</v>
      </c>
      <c r="F837" t="s">
        <v>63</v>
      </c>
      <c r="G837" t="s">
        <v>42</v>
      </c>
      <c r="H837">
        <v>24.7</v>
      </c>
      <c r="I837">
        <v>4081</v>
      </c>
      <c r="J837">
        <v>113</v>
      </c>
      <c r="K837">
        <v>14.3</v>
      </c>
      <c r="L837" t="s">
        <v>49</v>
      </c>
      <c r="M837">
        <v>13583.39</v>
      </c>
      <c r="N837">
        <v>25692</v>
      </c>
      <c r="O837" t="s">
        <v>91</v>
      </c>
      <c r="P837" t="str">
        <f t="shared" si="117"/>
        <v>Yes</v>
      </c>
      <c r="Q837">
        <f t="shared" si="118"/>
        <v>165.22</v>
      </c>
      <c r="R837">
        <f t="shared" si="119"/>
        <v>3.33</v>
      </c>
      <c r="S837">
        <f t="shared" si="120"/>
        <v>0.53</v>
      </c>
      <c r="T837" t="str">
        <f t="shared" si="121"/>
        <v>Delayed</v>
      </c>
      <c r="U837" t="str">
        <f t="shared" si="122"/>
        <v>Low</v>
      </c>
      <c r="V837" t="str">
        <f t="shared" si="123"/>
        <v>High Risk</v>
      </c>
      <c r="W837" t="str">
        <f t="shared" si="124"/>
        <v>Dec</v>
      </c>
      <c r="X837">
        <f t="shared" si="125"/>
        <v>2025</v>
      </c>
    </row>
    <row r="838" spans="1:24" x14ac:dyDescent="0.35">
      <c r="A838" s="3">
        <v>46006</v>
      </c>
      <c r="B838" t="s">
        <v>193</v>
      </c>
      <c r="C838" t="s">
        <v>95</v>
      </c>
      <c r="D838" t="s">
        <v>984</v>
      </c>
      <c r="E838" t="s">
        <v>27</v>
      </c>
      <c r="F838" t="s">
        <v>54</v>
      </c>
      <c r="G838" t="s">
        <v>35</v>
      </c>
      <c r="H838">
        <v>53.7</v>
      </c>
      <c r="I838">
        <v>3451</v>
      </c>
      <c r="J838">
        <v>103</v>
      </c>
      <c r="K838">
        <v>19.2</v>
      </c>
      <c r="L838" t="s">
        <v>49</v>
      </c>
      <c r="M838">
        <v>33040.699999999997</v>
      </c>
      <c r="N838">
        <v>18003</v>
      </c>
      <c r="O838" t="s">
        <v>50</v>
      </c>
      <c r="P838" t="str">
        <f t="shared" si="117"/>
        <v>Yes</v>
      </c>
      <c r="Q838">
        <f t="shared" si="118"/>
        <v>64.260000000000005</v>
      </c>
      <c r="R838">
        <f t="shared" si="119"/>
        <v>9.57</v>
      </c>
      <c r="S838">
        <f t="shared" si="120"/>
        <v>1.84</v>
      </c>
      <c r="T838" t="str">
        <f t="shared" si="121"/>
        <v>Delayed</v>
      </c>
      <c r="U838" t="str">
        <f t="shared" si="122"/>
        <v>Medium</v>
      </c>
      <c r="V838" t="str">
        <f t="shared" si="123"/>
        <v>High Risk</v>
      </c>
      <c r="W838" t="str">
        <f t="shared" si="124"/>
        <v>Dec</v>
      </c>
      <c r="X838">
        <f t="shared" si="125"/>
        <v>2025</v>
      </c>
    </row>
    <row r="839" spans="1:24" x14ac:dyDescent="0.35">
      <c r="A839" s="3">
        <v>45840</v>
      </c>
      <c r="B839" t="s">
        <v>89</v>
      </c>
      <c r="C839" t="s">
        <v>25</v>
      </c>
      <c r="D839" t="s">
        <v>985</v>
      </c>
      <c r="E839" t="s">
        <v>27</v>
      </c>
      <c r="F839" t="s">
        <v>48</v>
      </c>
      <c r="G839" t="s">
        <v>42</v>
      </c>
      <c r="H839">
        <v>79.7</v>
      </c>
      <c r="I839">
        <v>4696</v>
      </c>
      <c r="J839">
        <v>59</v>
      </c>
      <c r="K839">
        <v>22</v>
      </c>
      <c r="L839" t="s">
        <v>30</v>
      </c>
      <c r="M839">
        <v>54302.31</v>
      </c>
      <c r="N839">
        <v>6468</v>
      </c>
      <c r="O839" t="s">
        <v>50</v>
      </c>
      <c r="P839" t="str">
        <f t="shared" si="117"/>
        <v>Yes</v>
      </c>
      <c r="Q839">
        <f t="shared" si="118"/>
        <v>58.92</v>
      </c>
      <c r="R839">
        <f t="shared" si="119"/>
        <v>11.56</v>
      </c>
      <c r="S839">
        <f t="shared" si="120"/>
        <v>8.4</v>
      </c>
      <c r="T839" t="str">
        <f t="shared" si="121"/>
        <v>Delayed</v>
      </c>
      <c r="U839" t="str">
        <f t="shared" si="122"/>
        <v>High</v>
      </c>
      <c r="V839" t="str">
        <f t="shared" si="123"/>
        <v>Medium Risk</v>
      </c>
      <c r="W839" t="str">
        <f t="shared" si="124"/>
        <v>Jul</v>
      </c>
      <c r="X839">
        <f t="shared" si="125"/>
        <v>2025</v>
      </c>
    </row>
    <row r="840" spans="1:24" x14ac:dyDescent="0.35">
      <c r="A840" s="3">
        <v>45957</v>
      </c>
      <c r="B840" t="s">
        <v>244</v>
      </c>
      <c r="C840" t="s">
        <v>109</v>
      </c>
      <c r="D840" t="s">
        <v>986</v>
      </c>
      <c r="E840" t="s">
        <v>63</v>
      </c>
      <c r="F840" t="s">
        <v>28</v>
      </c>
      <c r="G840" t="s">
        <v>35</v>
      </c>
      <c r="H840">
        <v>55.2</v>
      </c>
      <c r="I840">
        <v>4451</v>
      </c>
      <c r="J840">
        <v>70</v>
      </c>
      <c r="K840">
        <v>16.5</v>
      </c>
      <c r="L840" t="s">
        <v>30</v>
      </c>
      <c r="M840">
        <v>31404.87</v>
      </c>
      <c r="N840">
        <v>18947</v>
      </c>
      <c r="O840" t="s">
        <v>84</v>
      </c>
      <c r="P840" t="str">
        <f t="shared" si="117"/>
        <v>Yes</v>
      </c>
      <c r="Q840">
        <f t="shared" si="118"/>
        <v>80.63</v>
      </c>
      <c r="R840">
        <f t="shared" si="119"/>
        <v>7.06</v>
      </c>
      <c r="S840">
        <f t="shared" si="120"/>
        <v>1.66</v>
      </c>
      <c r="T840" t="str">
        <f t="shared" si="121"/>
        <v>Delayed</v>
      </c>
      <c r="U840" t="str">
        <f t="shared" si="122"/>
        <v>Medium</v>
      </c>
      <c r="V840" t="str">
        <f t="shared" si="123"/>
        <v>Medium Risk</v>
      </c>
      <c r="W840" t="str">
        <f t="shared" si="124"/>
        <v>Oct</v>
      </c>
      <c r="X840">
        <f t="shared" si="125"/>
        <v>2025</v>
      </c>
    </row>
    <row r="841" spans="1:24" x14ac:dyDescent="0.35">
      <c r="A841" s="3">
        <v>45908</v>
      </c>
      <c r="B841" t="s">
        <v>98</v>
      </c>
      <c r="C841" t="s">
        <v>69</v>
      </c>
      <c r="D841" t="s">
        <v>987</v>
      </c>
      <c r="E841" t="s">
        <v>27</v>
      </c>
      <c r="F841" t="s">
        <v>41</v>
      </c>
      <c r="G841" t="s">
        <v>29</v>
      </c>
      <c r="H841">
        <v>75.599999999999994</v>
      </c>
      <c r="I841">
        <v>536</v>
      </c>
      <c r="J841">
        <v>50</v>
      </c>
      <c r="K841">
        <v>10.1</v>
      </c>
      <c r="L841" t="s">
        <v>30</v>
      </c>
      <c r="M841">
        <v>50023.86</v>
      </c>
      <c r="N841">
        <v>26604</v>
      </c>
      <c r="O841" t="s">
        <v>59</v>
      </c>
      <c r="P841" t="str">
        <f t="shared" si="117"/>
        <v>Yes</v>
      </c>
      <c r="Q841">
        <f t="shared" si="118"/>
        <v>7.09</v>
      </c>
      <c r="R841">
        <f t="shared" si="119"/>
        <v>93.33</v>
      </c>
      <c r="S841">
        <f t="shared" si="120"/>
        <v>1.88</v>
      </c>
      <c r="T841" t="str">
        <f t="shared" si="121"/>
        <v>Delayed</v>
      </c>
      <c r="U841" t="str">
        <f t="shared" si="122"/>
        <v>High</v>
      </c>
      <c r="V841" t="str">
        <f t="shared" si="123"/>
        <v>Medium Risk</v>
      </c>
      <c r="W841" t="str">
        <f t="shared" si="124"/>
        <v>Sep</v>
      </c>
      <c r="X841">
        <f t="shared" si="125"/>
        <v>2025</v>
      </c>
    </row>
    <row r="842" spans="1:24" x14ac:dyDescent="0.35">
      <c r="A842" s="3">
        <v>45668</v>
      </c>
      <c r="B842" t="s">
        <v>275</v>
      </c>
      <c r="C842" t="s">
        <v>95</v>
      </c>
      <c r="D842" t="s">
        <v>988</v>
      </c>
      <c r="E842" t="s">
        <v>27</v>
      </c>
      <c r="F842" t="s">
        <v>66</v>
      </c>
      <c r="G842" t="s">
        <v>42</v>
      </c>
      <c r="H842">
        <v>34.700000000000003</v>
      </c>
      <c r="I842">
        <v>1596</v>
      </c>
      <c r="J842">
        <v>63</v>
      </c>
      <c r="K842">
        <v>15.1</v>
      </c>
      <c r="L842" t="s">
        <v>78</v>
      </c>
      <c r="M842">
        <v>22828.97</v>
      </c>
      <c r="N842">
        <v>23705</v>
      </c>
      <c r="O842" t="s">
        <v>31</v>
      </c>
      <c r="P842" t="str">
        <f t="shared" si="117"/>
        <v>No</v>
      </c>
      <c r="Q842">
        <f t="shared" si="118"/>
        <v>45.99</v>
      </c>
      <c r="R842">
        <f t="shared" si="119"/>
        <v>14.3</v>
      </c>
      <c r="S842">
        <f t="shared" si="120"/>
        <v>0.96</v>
      </c>
      <c r="T842" t="str">
        <f t="shared" si="121"/>
        <v>On Time</v>
      </c>
      <c r="U842" t="str">
        <f t="shared" si="122"/>
        <v>Low</v>
      </c>
      <c r="V842" t="str">
        <f t="shared" si="123"/>
        <v>Low Risk</v>
      </c>
      <c r="W842" t="str">
        <f t="shared" si="124"/>
        <v>Jan</v>
      </c>
      <c r="X842">
        <f t="shared" si="125"/>
        <v>2025</v>
      </c>
    </row>
    <row r="843" spans="1:24" x14ac:dyDescent="0.35">
      <c r="A843" s="3">
        <v>45682</v>
      </c>
      <c r="B843" t="s">
        <v>185</v>
      </c>
      <c r="C843" t="s">
        <v>130</v>
      </c>
      <c r="D843" t="s">
        <v>989</v>
      </c>
      <c r="E843" t="s">
        <v>28</v>
      </c>
      <c r="F843" t="s">
        <v>66</v>
      </c>
      <c r="G843" t="s">
        <v>35</v>
      </c>
      <c r="H843">
        <v>43.8</v>
      </c>
      <c r="I843">
        <v>3405</v>
      </c>
      <c r="J843">
        <v>98</v>
      </c>
      <c r="K843">
        <v>18</v>
      </c>
      <c r="L843" t="s">
        <v>30</v>
      </c>
      <c r="M843">
        <v>23708.98</v>
      </c>
      <c r="N843">
        <v>28293</v>
      </c>
      <c r="O843" t="s">
        <v>50</v>
      </c>
      <c r="P843" t="str">
        <f t="shared" si="117"/>
        <v>Yes</v>
      </c>
      <c r="Q843">
        <f t="shared" si="118"/>
        <v>77.739999999999995</v>
      </c>
      <c r="R843">
        <f t="shared" si="119"/>
        <v>6.96</v>
      </c>
      <c r="S843">
        <f t="shared" si="120"/>
        <v>0.84</v>
      </c>
      <c r="T843" t="str">
        <f t="shared" si="121"/>
        <v>Delayed</v>
      </c>
      <c r="U843" t="str">
        <f t="shared" si="122"/>
        <v>Medium</v>
      </c>
      <c r="V843" t="str">
        <f t="shared" si="123"/>
        <v>Medium Risk</v>
      </c>
      <c r="W843" t="str">
        <f t="shared" si="124"/>
        <v>Jan</v>
      </c>
      <c r="X843">
        <f t="shared" si="125"/>
        <v>2025</v>
      </c>
    </row>
    <row r="844" spans="1:24" x14ac:dyDescent="0.35">
      <c r="A844" s="3">
        <v>45725</v>
      </c>
      <c r="B844" t="s">
        <v>311</v>
      </c>
      <c r="C844" t="s">
        <v>52</v>
      </c>
      <c r="D844" t="s">
        <v>990</v>
      </c>
      <c r="E844" t="s">
        <v>48</v>
      </c>
      <c r="F844" t="s">
        <v>55</v>
      </c>
      <c r="G844" t="s">
        <v>29</v>
      </c>
      <c r="H844">
        <v>64.900000000000006</v>
      </c>
      <c r="I844">
        <v>1183</v>
      </c>
      <c r="J844">
        <v>46</v>
      </c>
      <c r="K844">
        <v>20.2</v>
      </c>
      <c r="L844" t="s">
        <v>49</v>
      </c>
      <c r="M844">
        <v>36054.21</v>
      </c>
      <c r="N844">
        <v>19248</v>
      </c>
      <c r="O844" t="s">
        <v>59</v>
      </c>
      <c r="P844" t="str">
        <f t="shared" si="117"/>
        <v>Yes</v>
      </c>
      <c r="Q844">
        <f t="shared" si="118"/>
        <v>18.23</v>
      </c>
      <c r="R844">
        <f t="shared" si="119"/>
        <v>30.48</v>
      </c>
      <c r="S844">
        <f t="shared" si="120"/>
        <v>1.87</v>
      </c>
      <c r="T844" t="str">
        <f t="shared" si="121"/>
        <v>Delayed</v>
      </c>
      <c r="U844" t="str">
        <f t="shared" si="122"/>
        <v>High</v>
      </c>
      <c r="V844" t="str">
        <f t="shared" si="123"/>
        <v>High Risk</v>
      </c>
      <c r="W844" t="str">
        <f t="shared" si="124"/>
        <v>Mar</v>
      </c>
      <c r="X844">
        <f t="shared" si="125"/>
        <v>2025</v>
      </c>
    </row>
    <row r="845" spans="1:24" x14ac:dyDescent="0.35">
      <c r="A845" s="3">
        <v>45805</v>
      </c>
      <c r="B845" t="s">
        <v>210</v>
      </c>
      <c r="C845" t="s">
        <v>25</v>
      </c>
      <c r="D845" t="s">
        <v>991</v>
      </c>
      <c r="E845" t="s">
        <v>27</v>
      </c>
      <c r="F845" t="s">
        <v>66</v>
      </c>
      <c r="G845" t="s">
        <v>35</v>
      </c>
      <c r="H845">
        <v>70.900000000000006</v>
      </c>
      <c r="I845">
        <v>2079</v>
      </c>
      <c r="J845">
        <v>35</v>
      </c>
      <c r="K845">
        <v>16.3</v>
      </c>
      <c r="L845" t="s">
        <v>43</v>
      </c>
      <c r="M845">
        <v>46504.41</v>
      </c>
      <c r="N845">
        <v>11633</v>
      </c>
      <c r="O845" t="s">
        <v>91</v>
      </c>
      <c r="P845" t="str">
        <f t="shared" si="117"/>
        <v>Yes</v>
      </c>
      <c r="Q845">
        <f t="shared" si="118"/>
        <v>29.32</v>
      </c>
      <c r="R845">
        <f t="shared" si="119"/>
        <v>22.37</v>
      </c>
      <c r="S845">
        <f t="shared" si="120"/>
        <v>4</v>
      </c>
      <c r="T845" t="str">
        <f t="shared" si="121"/>
        <v>Delayed</v>
      </c>
      <c r="U845" t="str">
        <f t="shared" si="122"/>
        <v>High</v>
      </c>
      <c r="V845" t="str">
        <f t="shared" si="123"/>
        <v>Low Risk</v>
      </c>
      <c r="W845" t="str">
        <f t="shared" si="124"/>
        <v>May</v>
      </c>
      <c r="X845">
        <f t="shared" si="125"/>
        <v>2025</v>
      </c>
    </row>
    <row r="846" spans="1:24" x14ac:dyDescent="0.35">
      <c r="A846" s="3">
        <v>46016</v>
      </c>
      <c r="B846" t="s">
        <v>154</v>
      </c>
      <c r="C846" t="s">
        <v>39</v>
      </c>
      <c r="D846" t="s">
        <v>992</v>
      </c>
      <c r="E846" t="s">
        <v>41</v>
      </c>
      <c r="F846" t="s">
        <v>27</v>
      </c>
      <c r="G846" t="s">
        <v>35</v>
      </c>
      <c r="H846">
        <v>77.5</v>
      </c>
      <c r="I846">
        <v>3318</v>
      </c>
      <c r="J846">
        <v>45</v>
      </c>
      <c r="K846">
        <v>19.100000000000001</v>
      </c>
      <c r="L846" t="s">
        <v>49</v>
      </c>
      <c r="M846">
        <v>35029.199999999997</v>
      </c>
      <c r="N846">
        <v>12022</v>
      </c>
      <c r="O846" t="s">
        <v>59</v>
      </c>
      <c r="P846" t="str">
        <f t="shared" si="117"/>
        <v>Yes</v>
      </c>
      <c r="Q846">
        <f t="shared" si="118"/>
        <v>42.81</v>
      </c>
      <c r="R846">
        <f t="shared" si="119"/>
        <v>10.56</v>
      </c>
      <c r="S846">
        <f t="shared" si="120"/>
        <v>2.91</v>
      </c>
      <c r="T846" t="str">
        <f t="shared" si="121"/>
        <v>Delayed</v>
      </c>
      <c r="U846" t="str">
        <f t="shared" si="122"/>
        <v>High</v>
      </c>
      <c r="V846" t="str">
        <f t="shared" si="123"/>
        <v>High Risk</v>
      </c>
      <c r="W846" t="str">
        <f t="shared" si="124"/>
        <v>Dec</v>
      </c>
      <c r="X846">
        <f t="shared" si="125"/>
        <v>2025</v>
      </c>
    </row>
    <row r="847" spans="1:24" x14ac:dyDescent="0.35">
      <c r="A847" s="3">
        <v>45683</v>
      </c>
      <c r="B847" t="s">
        <v>150</v>
      </c>
      <c r="C847" t="s">
        <v>95</v>
      </c>
      <c r="D847" t="s">
        <v>993</v>
      </c>
      <c r="E847" t="s">
        <v>66</v>
      </c>
      <c r="F847" t="s">
        <v>27</v>
      </c>
      <c r="G847" t="s">
        <v>71</v>
      </c>
      <c r="H847">
        <v>70.3</v>
      </c>
      <c r="I847">
        <v>3036</v>
      </c>
      <c r="J847">
        <v>95</v>
      </c>
      <c r="K847">
        <v>15.4</v>
      </c>
      <c r="L847" t="s">
        <v>49</v>
      </c>
      <c r="M847">
        <v>47012.32</v>
      </c>
      <c r="N847">
        <v>21795</v>
      </c>
      <c r="O847" t="s">
        <v>44</v>
      </c>
      <c r="P847" t="str">
        <f t="shared" si="117"/>
        <v>Yes</v>
      </c>
      <c r="Q847">
        <f t="shared" si="118"/>
        <v>43.19</v>
      </c>
      <c r="R847">
        <f t="shared" si="119"/>
        <v>15.48</v>
      </c>
      <c r="S847">
        <f t="shared" si="120"/>
        <v>2.16</v>
      </c>
      <c r="T847" t="str">
        <f t="shared" si="121"/>
        <v>Delayed</v>
      </c>
      <c r="U847" t="str">
        <f t="shared" si="122"/>
        <v>High</v>
      </c>
      <c r="V847" t="str">
        <f t="shared" si="123"/>
        <v>High Risk</v>
      </c>
      <c r="W847" t="str">
        <f t="shared" si="124"/>
        <v>Jan</v>
      </c>
      <c r="X847">
        <f t="shared" si="125"/>
        <v>2025</v>
      </c>
    </row>
    <row r="848" spans="1:24" x14ac:dyDescent="0.35">
      <c r="A848" s="3">
        <v>45881</v>
      </c>
      <c r="B848" t="s">
        <v>157</v>
      </c>
      <c r="C848" t="s">
        <v>52</v>
      </c>
      <c r="D848" t="s">
        <v>994</v>
      </c>
      <c r="E848" t="s">
        <v>54</v>
      </c>
      <c r="F848" t="s">
        <v>28</v>
      </c>
      <c r="G848" t="s">
        <v>71</v>
      </c>
      <c r="H848">
        <v>67.7</v>
      </c>
      <c r="I848">
        <v>1717</v>
      </c>
      <c r="J848">
        <v>39</v>
      </c>
      <c r="K848">
        <v>13.9</v>
      </c>
      <c r="L848" t="s">
        <v>30</v>
      </c>
      <c r="M848">
        <v>45538.74</v>
      </c>
      <c r="N848">
        <v>9824</v>
      </c>
      <c r="O848" t="s">
        <v>44</v>
      </c>
      <c r="P848" t="str">
        <f t="shared" si="117"/>
        <v>Yes</v>
      </c>
      <c r="Q848">
        <f t="shared" si="118"/>
        <v>25.36</v>
      </c>
      <c r="R848">
        <f t="shared" si="119"/>
        <v>26.52</v>
      </c>
      <c r="S848">
        <f t="shared" si="120"/>
        <v>4.6399999999999997</v>
      </c>
      <c r="T848" t="str">
        <f t="shared" si="121"/>
        <v>Delayed</v>
      </c>
      <c r="U848" t="str">
        <f t="shared" si="122"/>
        <v>High</v>
      </c>
      <c r="V848" t="str">
        <f t="shared" si="123"/>
        <v>Medium Risk</v>
      </c>
      <c r="W848" t="str">
        <f t="shared" si="124"/>
        <v>Aug</v>
      </c>
      <c r="X848">
        <f t="shared" si="125"/>
        <v>2025</v>
      </c>
    </row>
    <row r="849" spans="1:24" x14ac:dyDescent="0.35">
      <c r="A849" s="3">
        <v>45898</v>
      </c>
      <c r="B849" t="s">
        <v>61</v>
      </c>
      <c r="C849" t="s">
        <v>95</v>
      </c>
      <c r="D849" t="s">
        <v>995</v>
      </c>
      <c r="E849" t="s">
        <v>28</v>
      </c>
      <c r="F849" t="s">
        <v>63</v>
      </c>
      <c r="G849" t="s">
        <v>35</v>
      </c>
      <c r="H849">
        <v>36.4</v>
      </c>
      <c r="I849">
        <v>2624</v>
      </c>
      <c r="J849">
        <v>44</v>
      </c>
      <c r="K849">
        <v>12.5</v>
      </c>
      <c r="L849" t="s">
        <v>30</v>
      </c>
      <c r="M849">
        <v>19642.59</v>
      </c>
      <c r="N849">
        <v>6758</v>
      </c>
      <c r="O849" t="s">
        <v>67</v>
      </c>
      <c r="P849" t="str">
        <f t="shared" si="117"/>
        <v>Yes</v>
      </c>
      <c r="Q849">
        <f t="shared" si="118"/>
        <v>72.09</v>
      </c>
      <c r="R849">
        <f t="shared" si="119"/>
        <v>7.49</v>
      </c>
      <c r="S849">
        <f t="shared" si="120"/>
        <v>2.91</v>
      </c>
      <c r="T849" t="str">
        <f t="shared" si="121"/>
        <v>Delayed</v>
      </c>
      <c r="U849" t="str">
        <f t="shared" si="122"/>
        <v>Low</v>
      </c>
      <c r="V849" t="str">
        <f t="shared" si="123"/>
        <v>Medium Risk</v>
      </c>
      <c r="W849" t="str">
        <f t="shared" si="124"/>
        <v>Aug</v>
      </c>
      <c r="X849">
        <f t="shared" si="125"/>
        <v>2025</v>
      </c>
    </row>
    <row r="850" spans="1:24" x14ac:dyDescent="0.35">
      <c r="A850" s="3">
        <v>45877</v>
      </c>
      <c r="B850" t="s">
        <v>76</v>
      </c>
      <c r="C850" t="s">
        <v>109</v>
      </c>
      <c r="D850" t="s">
        <v>996</v>
      </c>
      <c r="E850" t="s">
        <v>48</v>
      </c>
      <c r="F850" t="s">
        <v>63</v>
      </c>
      <c r="G850" t="s">
        <v>29</v>
      </c>
      <c r="H850">
        <v>72.400000000000006</v>
      </c>
      <c r="I850">
        <v>3284</v>
      </c>
      <c r="J850">
        <v>25</v>
      </c>
      <c r="K850">
        <v>12.2</v>
      </c>
      <c r="L850" t="s">
        <v>78</v>
      </c>
      <c r="M850">
        <v>35718</v>
      </c>
      <c r="N850">
        <v>22847</v>
      </c>
      <c r="O850" t="s">
        <v>36</v>
      </c>
      <c r="P850" t="str">
        <f t="shared" si="117"/>
        <v>No</v>
      </c>
      <c r="Q850">
        <f t="shared" si="118"/>
        <v>45.36</v>
      </c>
      <c r="R850">
        <f t="shared" si="119"/>
        <v>10.88</v>
      </c>
      <c r="S850">
        <f t="shared" si="120"/>
        <v>1.56</v>
      </c>
      <c r="T850" t="str">
        <f t="shared" si="121"/>
        <v>On Time</v>
      </c>
      <c r="U850" t="str">
        <f t="shared" si="122"/>
        <v>High</v>
      </c>
      <c r="V850" t="str">
        <f t="shared" si="123"/>
        <v>Low Risk</v>
      </c>
      <c r="W850" t="str">
        <f t="shared" si="124"/>
        <v>Aug</v>
      </c>
      <c r="X850">
        <f t="shared" si="125"/>
        <v>2025</v>
      </c>
    </row>
    <row r="851" spans="1:24" x14ac:dyDescent="0.35">
      <c r="A851" s="3">
        <v>46011</v>
      </c>
      <c r="B851" t="s">
        <v>430</v>
      </c>
      <c r="C851" t="s">
        <v>130</v>
      </c>
      <c r="D851" t="s">
        <v>997</v>
      </c>
      <c r="E851" t="s">
        <v>63</v>
      </c>
      <c r="F851" t="s">
        <v>54</v>
      </c>
      <c r="G851" t="s">
        <v>29</v>
      </c>
      <c r="H851">
        <v>75.599999999999994</v>
      </c>
      <c r="I851">
        <v>1746</v>
      </c>
      <c r="J851">
        <v>67</v>
      </c>
      <c r="K851">
        <v>21.3</v>
      </c>
      <c r="L851" t="s">
        <v>49</v>
      </c>
      <c r="M851">
        <v>50826.47</v>
      </c>
      <c r="N851">
        <v>17151</v>
      </c>
      <c r="O851" t="s">
        <v>59</v>
      </c>
      <c r="P851" t="str">
        <f t="shared" si="117"/>
        <v>Yes</v>
      </c>
      <c r="Q851">
        <f t="shared" si="118"/>
        <v>23.1</v>
      </c>
      <c r="R851">
        <f t="shared" si="119"/>
        <v>29.11</v>
      </c>
      <c r="S851">
        <f t="shared" si="120"/>
        <v>2.96</v>
      </c>
      <c r="T851" t="str">
        <f t="shared" si="121"/>
        <v>Delayed</v>
      </c>
      <c r="U851" t="str">
        <f t="shared" si="122"/>
        <v>High</v>
      </c>
      <c r="V851" t="str">
        <f t="shared" si="123"/>
        <v>High Risk</v>
      </c>
      <c r="W851" t="str">
        <f t="shared" si="124"/>
        <v>Dec</v>
      </c>
      <c r="X851">
        <f t="shared" si="125"/>
        <v>2025</v>
      </c>
    </row>
    <row r="852" spans="1:24" x14ac:dyDescent="0.35">
      <c r="A852" s="3">
        <v>45719</v>
      </c>
      <c r="B852" t="s">
        <v>162</v>
      </c>
      <c r="C852" t="s">
        <v>39</v>
      </c>
      <c r="D852" t="s">
        <v>998</v>
      </c>
      <c r="E852" t="s">
        <v>28</v>
      </c>
      <c r="F852" t="s">
        <v>41</v>
      </c>
      <c r="G852" t="s">
        <v>71</v>
      </c>
      <c r="H852">
        <v>50.4</v>
      </c>
      <c r="I852">
        <v>1727</v>
      </c>
      <c r="J852">
        <v>24</v>
      </c>
      <c r="K852">
        <v>10</v>
      </c>
      <c r="L852" t="s">
        <v>78</v>
      </c>
      <c r="M852">
        <v>25849.81</v>
      </c>
      <c r="N852">
        <v>28358</v>
      </c>
      <c r="O852" t="s">
        <v>50</v>
      </c>
      <c r="P852" t="str">
        <f t="shared" si="117"/>
        <v>No</v>
      </c>
      <c r="Q852">
        <f t="shared" si="118"/>
        <v>34.270000000000003</v>
      </c>
      <c r="R852">
        <f t="shared" si="119"/>
        <v>14.97</v>
      </c>
      <c r="S852">
        <f t="shared" si="120"/>
        <v>0.91</v>
      </c>
      <c r="T852" t="str">
        <f t="shared" si="121"/>
        <v>On Time</v>
      </c>
      <c r="U852" t="str">
        <f t="shared" si="122"/>
        <v>Medium</v>
      </c>
      <c r="V852" t="str">
        <f t="shared" si="123"/>
        <v>Low Risk</v>
      </c>
      <c r="W852" t="str">
        <f t="shared" si="124"/>
        <v>Mar</v>
      </c>
      <c r="X852">
        <f t="shared" si="125"/>
        <v>2025</v>
      </c>
    </row>
    <row r="853" spans="1:24" x14ac:dyDescent="0.35">
      <c r="A853" s="3">
        <v>45837</v>
      </c>
      <c r="B853" t="s">
        <v>185</v>
      </c>
      <c r="C853" t="s">
        <v>39</v>
      </c>
      <c r="D853" t="s">
        <v>999</v>
      </c>
      <c r="E853" t="s">
        <v>54</v>
      </c>
      <c r="F853" t="s">
        <v>48</v>
      </c>
      <c r="G853" t="s">
        <v>29</v>
      </c>
      <c r="H853">
        <v>58</v>
      </c>
      <c r="I853">
        <v>2036</v>
      </c>
      <c r="J853">
        <v>44</v>
      </c>
      <c r="K853">
        <v>12.9</v>
      </c>
      <c r="L853" t="s">
        <v>78</v>
      </c>
      <c r="M853">
        <v>37667.35</v>
      </c>
      <c r="N853">
        <v>21586</v>
      </c>
      <c r="O853" t="s">
        <v>36</v>
      </c>
      <c r="P853" t="str">
        <f t="shared" si="117"/>
        <v>No</v>
      </c>
      <c r="Q853">
        <f t="shared" si="118"/>
        <v>35.1</v>
      </c>
      <c r="R853">
        <f t="shared" si="119"/>
        <v>18.5</v>
      </c>
      <c r="S853">
        <f t="shared" si="120"/>
        <v>1.74</v>
      </c>
      <c r="T853" t="str">
        <f t="shared" si="121"/>
        <v>On Time</v>
      </c>
      <c r="U853" t="str">
        <f t="shared" si="122"/>
        <v>Medium</v>
      </c>
      <c r="V853" t="str">
        <f t="shared" si="123"/>
        <v>Low Risk</v>
      </c>
      <c r="W853" t="str">
        <f t="shared" si="124"/>
        <v>Jun</v>
      </c>
      <c r="X853">
        <f t="shared" si="125"/>
        <v>2025</v>
      </c>
    </row>
    <row r="854" spans="1:24" x14ac:dyDescent="0.35">
      <c r="A854" s="3">
        <v>45982</v>
      </c>
      <c r="B854" t="s">
        <v>221</v>
      </c>
      <c r="C854" t="s">
        <v>39</v>
      </c>
      <c r="D854" t="s">
        <v>1000</v>
      </c>
      <c r="E854" t="s">
        <v>27</v>
      </c>
      <c r="F854" t="s">
        <v>66</v>
      </c>
      <c r="G854" t="s">
        <v>35</v>
      </c>
      <c r="H854">
        <v>24.9</v>
      </c>
      <c r="I854">
        <v>4312</v>
      </c>
      <c r="J854">
        <v>33</v>
      </c>
      <c r="K854">
        <v>14.1</v>
      </c>
      <c r="L854" t="s">
        <v>43</v>
      </c>
      <c r="M854">
        <v>14289.11</v>
      </c>
      <c r="N854">
        <v>11704</v>
      </c>
      <c r="O854" t="s">
        <v>91</v>
      </c>
      <c r="P854" t="str">
        <f t="shared" si="117"/>
        <v>Yes</v>
      </c>
      <c r="Q854">
        <f t="shared" si="118"/>
        <v>173.17</v>
      </c>
      <c r="R854">
        <f t="shared" si="119"/>
        <v>3.31</v>
      </c>
      <c r="S854">
        <f t="shared" si="120"/>
        <v>1.22</v>
      </c>
      <c r="T854" t="str">
        <f t="shared" si="121"/>
        <v>Delayed</v>
      </c>
      <c r="U854" t="str">
        <f t="shared" si="122"/>
        <v>Low</v>
      </c>
      <c r="V854" t="str">
        <f t="shared" si="123"/>
        <v>Low Risk</v>
      </c>
      <c r="W854" t="str">
        <f t="shared" si="124"/>
        <v>Nov</v>
      </c>
      <c r="X854">
        <f t="shared" si="125"/>
        <v>2025</v>
      </c>
    </row>
    <row r="855" spans="1:24" x14ac:dyDescent="0.35">
      <c r="A855" s="3">
        <v>45819</v>
      </c>
      <c r="B855" t="s">
        <v>188</v>
      </c>
      <c r="C855" t="s">
        <v>109</v>
      </c>
      <c r="D855" t="s">
        <v>1001</v>
      </c>
      <c r="E855" t="s">
        <v>63</v>
      </c>
      <c r="F855" t="s">
        <v>48</v>
      </c>
      <c r="G855" t="s">
        <v>71</v>
      </c>
      <c r="H855">
        <v>31.5</v>
      </c>
      <c r="I855">
        <v>4956</v>
      </c>
      <c r="J855">
        <v>66</v>
      </c>
      <c r="K855">
        <v>10.7</v>
      </c>
      <c r="L855" t="s">
        <v>78</v>
      </c>
      <c r="M855">
        <v>14282.33</v>
      </c>
      <c r="N855">
        <v>24029</v>
      </c>
      <c r="O855" t="s">
        <v>67</v>
      </c>
      <c r="P855" t="str">
        <f t="shared" si="117"/>
        <v>No</v>
      </c>
      <c r="Q855">
        <f t="shared" si="118"/>
        <v>157.33000000000001</v>
      </c>
      <c r="R855">
        <f t="shared" si="119"/>
        <v>2.88</v>
      </c>
      <c r="S855">
        <f t="shared" si="120"/>
        <v>0.59</v>
      </c>
      <c r="T855" t="str">
        <f t="shared" si="121"/>
        <v>On Time</v>
      </c>
      <c r="U855" t="str">
        <f t="shared" si="122"/>
        <v>Low</v>
      </c>
      <c r="V855" t="str">
        <f t="shared" si="123"/>
        <v>Low Risk</v>
      </c>
      <c r="W855" t="str">
        <f t="shared" si="124"/>
        <v>Jun</v>
      </c>
      <c r="X855">
        <f t="shared" si="125"/>
        <v>2025</v>
      </c>
    </row>
    <row r="856" spans="1:24" x14ac:dyDescent="0.35">
      <c r="A856" s="3">
        <v>46010</v>
      </c>
      <c r="B856" t="s">
        <v>129</v>
      </c>
      <c r="C856" t="s">
        <v>25</v>
      </c>
      <c r="D856" t="s">
        <v>1002</v>
      </c>
      <c r="E856" t="s">
        <v>66</v>
      </c>
      <c r="F856" t="s">
        <v>28</v>
      </c>
      <c r="G856" t="s">
        <v>29</v>
      </c>
      <c r="H856">
        <v>35.700000000000003</v>
      </c>
      <c r="I856">
        <v>1249</v>
      </c>
      <c r="J856">
        <v>71</v>
      </c>
      <c r="K856">
        <v>16.600000000000001</v>
      </c>
      <c r="L856" t="s">
        <v>30</v>
      </c>
      <c r="M856">
        <v>18565.39</v>
      </c>
      <c r="N856">
        <v>24732</v>
      </c>
      <c r="O856" t="s">
        <v>67</v>
      </c>
      <c r="P856" t="str">
        <f t="shared" si="117"/>
        <v>Yes</v>
      </c>
      <c r="Q856">
        <f t="shared" si="118"/>
        <v>34.99</v>
      </c>
      <c r="R856">
        <f t="shared" si="119"/>
        <v>14.86</v>
      </c>
      <c r="S856">
        <f t="shared" si="120"/>
        <v>0.75</v>
      </c>
      <c r="T856" t="str">
        <f t="shared" si="121"/>
        <v>Delayed</v>
      </c>
      <c r="U856" t="str">
        <f t="shared" si="122"/>
        <v>Low</v>
      </c>
      <c r="V856" t="str">
        <f t="shared" si="123"/>
        <v>Medium Risk</v>
      </c>
      <c r="W856" t="str">
        <f t="shared" si="124"/>
        <v>Dec</v>
      </c>
      <c r="X856">
        <f t="shared" si="125"/>
        <v>2025</v>
      </c>
    </row>
    <row r="857" spans="1:24" x14ac:dyDescent="0.35">
      <c r="A857" s="3">
        <v>45839</v>
      </c>
      <c r="B857" t="s">
        <v>76</v>
      </c>
      <c r="C857" t="s">
        <v>39</v>
      </c>
      <c r="D857" t="s">
        <v>1003</v>
      </c>
      <c r="E857" t="s">
        <v>27</v>
      </c>
      <c r="F857" t="s">
        <v>54</v>
      </c>
      <c r="G857" t="s">
        <v>29</v>
      </c>
      <c r="H857">
        <v>35.200000000000003</v>
      </c>
      <c r="I857">
        <v>4878</v>
      </c>
      <c r="J857">
        <v>78</v>
      </c>
      <c r="K857">
        <v>18.5</v>
      </c>
      <c r="L857" t="s">
        <v>30</v>
      </c>
      <c r="M857">
        <v>23453.32</v>
      </c>
      <c r="N857">
        <v>26881</v>
      </c>
      <c r="O857" t="s">
        <v>31</v>
      </c>
      <c r="P857" t="str">
        <f t="shared" si="117"/>
        <v>Yes</v>
      </c>
      <c r="Q857">
        <f t="shared" si="118"/>
        <v>138.58000000000001</v>
      </c>
      <c r="R857">
        <f t="shared" si="119"/>
        <v>4.8099999999999996</v>
      </c>
      <c r="S857">
        <f t="shared" si="120"/>
        <v>0.87</v>
      </c>
      <c r="T857" t="str">
        <f t="shared" si="121"/>
        <v>Delayed</v>
      </c>
      <c r="U857" t="str">
        <f t="shared" si="122"/>
        <v>Low</v>
      </c>
      <c r="V857" t="str">
        <f t="shared" si="123"/>
        <v>Medium Risk</v>
      </c>
      <c r="W857" t="str">
        <f t="shared" si="124"/>
        <v>Jul</v>
      </c>
      <c r="X857">
        <f t="shared" si="125"/>
        <v>2025</v>
      </c>
    </row>
    <row r="858" spans="1:24" x14ac:dyDescent="0.35">
      <c r="A858" s="3">
        <v>45967</v>
      </c>
      <c r="B858" t="s">
        <v>199</v>
      </c>
      <c r="C858" t="s">
        <v>109</v>
      </c>
      <c r="D858" t="s">
        <v>1004</v>
      </c>
      <c r="E858" t="s">
        <v>55</v>
      </c>
      <c r="F858" t="s">
        <v>63</v>
      </c>
      <c r="G858" t="s">
        <v>42</v>
      </c>
      <c r="H858">
        <v>75.3</v>
      </c>
      <c r="I858">
        <v>4410</v>
      </c>
      <c r="J858">
        <v>73</v>
      </c>
      <c r="K858">
        <v>10.5</v>
      </c>
      <c r="L858" t="s">
        <v>78</v>
      </c>
      <c r="M858">
        <v>46163.19</v>
      </c>
      <c r="N858">
        <v>20859</v>
      </c>
      <c r="O858" t="s">
        <v>36</v>
      </c>
      <c r="P858" t="str">
        <f t="shared" si="117"/>
        <v>No</v>
      </c>
      <c r="Q858">
        <f t="shared" si="118"/>
        <v>58.57</v>
      </c>
      <c r="R858">
        <f t="shared" si="119"/>
        <v>10.47</v>
      </c>
      <c r="S858">
        <f t="shared" si="120"/>
        <v>2.21</v>
      </c>
      <c r="T858" t="str">
        <f t="shared" si="121"/>
        <v>On Time</v>
      </c>
      <c r="U858" t="str">
        <f t="shared" si="122"/>
        <v>High</v>
      </c>
      <c r="V858" t="str">
        <f t="shared" si="123"/>
        <v>Low Risk</v>
      </c>
      <c r="W858" t="str">
        <f t="shared" si="124"/>
        <v>Nov</v>
      </c>
      <c r="X858">
        <f t="shared" si="125"/>
        <v>2025</v>
      </c>
    </row>
    <row r="859" spans="1:24" x14ac:dyDescent="0.35">
      <c r="A859" s="3">
        <v>45680</v>
      </c>
      <c r="B859" t="s">
        <v>98</v>
      </c>
      <c r="C859" t="s">
        <v>39</v>
      </c>
      <c r="D859" t="s">
        <v>1005</v>
      </c>
      <c r="E859" t="s">
        <v>66</v>
      </c>
      <c r="F859" t="s">
        <v>54</v>
      </c>
      <c r="G859" t="s">
        <v>71</v>
      </c>
      <c r="H859">
        <v>36.1</v>
      </c>
      <c r="I859">
        <v>503</v>
      </c>
      <c r="J859">
        <v>60</v>
      </c>
      <c r="K859">
        <v>13.5</v>
      </c>
      <c r="L859" t="s">
        <v>78</v>
      </c>
      <c r="M859">
        <v>20443.849999999999</v>
      </c>
      <c r="N859">
        <v>18653</v>
      </c>
      <c r="O859" t="s">
        <v>84</v>
      </c>
      <c r="P859" t="str">
        <f t="shared" si="117"/>
        <v>No</v>
      </c>
      <c r="Q859">
        <f t="shared" si="118"/>
        <v>13.93</v>
      </c>
      <c r="R859">
        <f t="shared" si="119"/>
        <v>40.64</v>
      </c>
      <c r="S859">
        <f t="shared" si="120"/>
        <v>1.1000000000000001</v>
      </c>
      <c r="T859" t="str">
        <f t="shared" si="121"/>
        <v>On Time</v>
      </c>
      <c r="U859" t="str">
        <f t="shared" si="122"/>
        <v>Low</v>
      </c>
      <c r="V859" t="str">
        <f t="shared" si="123"/>
        <v>Low Risk</v>
      </c>
      <c r="W859" t="str">
        <f t="shared" si="124"/>
        <v>Jan</v>
      </c>
      <c r="X859">
        <f t="shared" si="125"/>
        <v>2025</v>
      </c>
    </row>
    <row r="860" spans="1:24" x14ac:dyDescent="0.35">
      <c r="A860" s="3">
        <v>45703</v>
      </c>
      <c r="B860" t="s">
        <v>417</v>
      </c>
      <c r="C860" t="s">
        <v>130</v>
      </c>
      <c r="D860" t="s">
        <v>1006</v>
      </c>
      <c r="E860" t="s">
        <v>54</v>
      </c>
      <c r="F860" t="s">
        <v>27</v>
      </c>
      <c r="G860" t="s">
        <v>71</v>
      </c>
      <c r="H860">
        <v>51</v>
      </c>
      <c r="I860">
        <v>3620</v>
      </c>
      <c r="J860">
        <v>72</v>
      </c>
      <c r="K860">
        <v>19.100000000000001</v>
      </c>
      <c r="L860" t="s">
        <v>78</v>
      </c>
      <c r="M860">
        <v>26121.86</v>
      </c>
      <c r="N860">
        <v>20866</v>
      </c>
      <c r="O860" t="s">
        <v>59</v>
      </c>
      <c r="P860" t="str">
        <f t="shared" si="117"/>
        <v>No</v>
      </c>
      <c r="Q860">
        <f t="shared" si="118"/>
        <v>70.98</v>
      </c>
      <c r="R860">
        <f t="shared" si="119"/>
        <v>7.22</v>
      </c>
      <c r="S860">
        <f t="shared" si="120"/>
        <v>1.25</v>
      </c>
      <c r="T860" t="str">
        <f t="shared" si="121"/>
        <v>On Time</v>
      </c>
      <c r="U860" t="str">
        <f t="shared" si="122"/>
        <v>Medium</v>
      </c>
      <c r="V860" t="str">
        <f t="shared" si="123"/>
        <v>Low Risk</v>
      </c>
      <c r="W860" t="str">
        <f t="shared" si="124"/>
        <v>Feb</v>
      </c>
      <c r="X860">
        <f t="shared" si="125"/>
        <v>2025</v>
      </c>
    </row>
    <row r="861" spans="1:24" x14ac:dyDescent="0.35">
      <c r="A861" s="3">
        <v>45922</v>
      </c>
      <c r="B861" t="s">
        <v>190</v>
      </c>
      <c r="C861" t="s">
        <v>57</v>
      </c>
      <c r="D861" t="s">
        <v>1007</v>
      </c>
      <c r="E861" t="s">
        <v>63</v>
      </c>
      <c r="F861" t="s">
        <v>48</v>
      </c>
      <c r="G861" t="s">
        <v>71</v>
      </c>
      <c r="H861">
        <v>52.3</v>
      </c>
      <c r="I861">
        <v>3742</v>
      </c>
      <c r="J861">
        <v>55</v>
      </c>
      <c r="K861">
        <v>11.6</v>
      </c>
      <c r="L861" t="s">
        <v>43</v>
      </c>
      <c r="M861">
        <v>28764.89</v>
      </c>
      <c r="N861">
        <v>22756</v>
      </c>
      <c r="O861" t="s">
        <v>91</v>
      </c>
      <c r="P861" t="str">
        <f t="shared" si="117"/>
        <v>Yes</v>
      </c>
      <c r="Q861">
        <f t="shared" si="118"/>
        <v>71.55</v>
      </c>
      <c r="R861">
        <f t="shared" si="119"/>
        <v>7.69</v>
      </c>
      <c r="S861">
        <f t="shared" si="120"/>
        <v>1.26</v>
      </c>
      <c r="T861" t="str">
        <f t="shared" si="121"/>
        <v>Delayed</v>
      </c>
      <c r="U861" t="str">
        <f t="shared" si="122"/>
        <v>Medium</v>
      </c>
      <c r="V861" t="str">
        <f t="shared" si="123"/>
        <v>Low Risk</v>
      </c>
      <c r="W861" t="str">
        <f t="shared" si="124"/>
        <v>Sep</v>
      </c>
      <c r="X861">
        <f t="shared" si="125"/>
        <v>2025</v>
      </c>
    </row>
    <row r="862" spans="1:24" x14ac:dyDescent="0.35">
      <c r="A862" s="3">
        <v>45924</v>
      </c>
      <c r="B862" t="s">
        <v>76</v>
      </c>
      <c r="C862" t="s">
        <v>57</v>
      </c>
      <c r="D862" t="s">
        <v>1008</v>
      </c>
      <c r="E862" t="s">
        <v>63</v>
      </c>
      <c r="F862" t="s">
        <v>55</v>
      </c>
      <c r="G862" t="s">
        <v>29</v>
      </c>
      <c r="H862">
        <v>68.099999999999994</v>
      </c>
      <c r="I862">
        <v>4362</v>
      </c>
      <c r="J862">
        <v>45</v>
      </c>
      <c r="K862">
        <v>14.4</v>
      </c>
      <c r="L862" t="s">
        <v>30</v>
      </c>
      <c r="M862">
        <v>39187.919999999998</v>
      </c>
      <c r="N862">
        <v>29758</v>
      </c>
      <c r="O862" t="s">
        <v>50</v>
      </c>
      <c r="P862" t="str">
        <f t="shared" si="117"/>
        <v>Yes</v>
      </c>
      <c r="Q862">
        <f t="shared" si="118"/>
        <v>64.05</v>
      </c>
      <c r="R862">
        <f t="shared" si="119"/>
        <v>8.98</v>
      </c>
      <c r="S862">
        <f t="shared" si="120"/>
        <v>1.32</v>
      </c>
      <c r="T862" t="str">
        <f t="shared" si="121"/>
        <v>Delayed</v>
      </c>
      <c r="U862" t="str">
        <f t="shared" si="122"/>
        <v>High</v>
      </c>
      <c r="V862" t="str">
        <f t="shared" si="123"/>
        <v>Medium Risk</v>
      </c>
      <c r="W862" t="str">
        <f t="shared" si="124"/>
        <v>Sep</v>
      </c>
      <c r="X862">
        <f t="shared" si="125"/>
        <v>2025</v>
      </c>
    </row>
    <row r="863" spans="1:24" x14ac:dyDescent="0.35">
      <c r="A863" s="3">
        <v>45978</v>
      </c>
      <c r="B863" t="s">
        <v>185</v>
      </c>
      <c r="C863" t="s">
        <v>25</v>
      </c>
      <c r="D863" t="s">
        <v>1009</v>
      </c>
      <c r="E863" t="s">
        <v>55</v>
      </c>
      <c r="F863" t="s">
        <v>54</v>
      </c>
      <c r="G863" t="s">
        <v>29</v>
      </c>
      <c r="H863">
        <v>39.700000000000003</v>
      </c>
      <c r="I863">
        <v>4541</v>
      </c>
      <c r="J863">
        <v>87</v>
      </c>
      <c r="K863">
        <v>15.4</v>
      </c>
      <c r="L863" t="s">
        <v>49</v>
      </c>
      <c r="M863">
        <v>21989.95</v>
      </c>
      <c r="N863">
        <v>18691</v>
      </c>
      <c r="O863" t="s">
        <v>50</v>
      </c>
      <c r="P863" t="str">
        <f t="shared" si="117"/>
        <v>Yes</v>
      </c>
      <c r="Q863">
        <f t="shared" si="118"/>
        <v>114.38</v>
      </c>
      <c r="R863">
        <f t="shared" si="119"/>
        <v>4.84</v>
      </c>
      <c r="S863">
        <f t="shared" si="120"/>
        <v>1.18</v>
      </c>
      <c r="T863" t="str">
        <f t="shared" si="121"/>
        <v>Delayed</v>
      </c>
      <c r="U863" t="str">
        <f t="shared" si="122"/>
        <v>Low</v>
      </c>
      <c r="V863" t="str">
        <f t="shared" si="123"/>
        <v>High Risk</v>
      </c>
      <c r="W863" t="str">
        <f t="shared" si="124"/>
        <v>Nov</v>
      </c>
      <c r="X863">
        <f t="shared" si="125"/>
        <v>2025</v>
      </c>
    </row>
    <row r="864" spans="1:24" x14ac:dyDescent="0.35">
      <c r="A864" s="3">
        <v>45706</v>
      </c>
      <c r="B864" t="s">
        <v>188</v>
      </c>
      <c r="C864" t="s">
        <v>130</v>
      </c>
      <c r="D864" t="s">
        <v>1010</v>
      </c>
      <c r="E864" t="s">
        <v>63</v>
      </c>
      <c r="F864" t="s">
        <v>28</v>
      </c>
      <c r="G864" t="s">
        <v>29</v>
      </c>
      <c r="H864">
        <v>53.9</v>
      </c>
      <c r="I864">
        <v>2095</v>
      </c>
      <c r="J864">
        <v>49</v>
      </c>
      <c r="K864">
        <v>13.2</v>
      </c>
      <c r="L864" t="s">
        <v>78</v>
      </c>
      <c r="M864">
        <v>35555.910000000003</v>
      </c>
      <c r="N864">
        <v>23903</v>
      </c>
      <c r="O864" t="s">
        <v>44</v>
      </c>
      <c r="P864" t="str">
        <f t="shared" si="117"/>
        <v>No</v>
      </c>
      <c r="Q864">
        <f t="shared" si="118"/>
        <v>38.869999999999997</v>
      </c>
      <c r="R864">
        <f t="shared" si="119"/>
        <v>16.97</v>
      </c>
      <c r="S864">
        <f t="shared" si="120"/>
        <v>1.49</v>
      </c>
      <c r="T864" t="str">
        <f t="shared" si="121"/>
        <v>On Time</v>
      </c>
      <c r="U864" t="str">
        <f t="shared" si="122"/>
        <v>Medium</v>
      </c>
      <c r="V864" t="str">
        <f t="shared" si="123"/>
        <v>Low Risk</v>
      </c>
      <c r="W864" t="str">
        <f t="shared" si="124"/>
        <v>Feb</v>
      </c>
      <c r="X864">
        <f t="shared" si="125"/>
        <v>2025</v>
      </c>
    </row>
    <row r="865" spans="1:24" x14ac:dyDescent="0.35">
      <c r="A865" s="3">
        <v>45724</v>
      </c>
      <c r="B865" t="s">
        <v>33</v>
      </c>
      <c r="C865" t="s">
        <v>39</v>
      </c>
      <c r="D865" t="s">
        <v>1011</v>
      </c>
      <c r="E865" t="s">
        <v>41</v>
      </c>
      <c r="F865" t="s">
        <v>55</v>
      </c>
      <c r="G865" t="s">
        <v>35</v>
      </c>
      <c r="H865">
        <v>57.7</v>
      </c>
      <c r="I865">
        <v>911</v>
      </c>
      <c r="J865">
        <v>32</v>
      </c>
      <c r="K865">
        <v>10.9</v>
      </c>
      <c r="L865" t="s">
        <v>43</v>
      </c>
      <c r="M865">
        <v>35849.33</v>
      </c>
      <c r="N865">
        <v>12787</v>
      </c>
      <c r="O865" t="s">
        <v>84</v>
      </c>
      <c r="P865" t="str">
        <f t="shared" si="117"/>
        <v>Yes</v>
      </c>
      <c r="Q865">
        <f t="shared" si="118"/>
        <v>15.79</v>
      </c>
      <c r="R865">
        <f t="shared" si="119"/>
        <v>39.35</v>
      </c>
      <c r="S865">
        <f t="shared" si="120"/>
        <v>2.8</v>
      </c>
      <c r="T865" t="str">
        <f t="shared" si="121"/>
        <v>Delayed</v>
      </c>
      <c r="U865" t="str">
        <f t="shared" si="122"/>
        <v>Medium</v>
      </c>
      <c r="V865" t="str">
        <f t="shared" si="123"/>
        <v>Low Risk</v>
      </c>
      <c r="W865" t="str">
        <f t="shared" si="124"/>
        <v>Mar</v>
      </c>
      <c r="X865">
        <f t="shared" si="125"/>
        <v>2025</v>
      </c>
    </row>
    <row r="866" spans="1:24" x14ac:dyDescent="0.35">
      <c r="A866" s="3">
        <v>45862</v>
      </c>
      <c r="B866" t="s">
        <v>185</v>
      </c>
      <c r="C866" t="s">
        <v>109</v>
      </c>
      <c r="D866" t="s">
        <v>1012</v>
      </c>
      <c r="E866" t="s">
        <v>66</v>
      </c>
      <c r="F866" t="s">
        <v>55</v>
      </c>
      <c r="G866" t="s">
        <v>35</v>
      </c>
      <c r="H866">
        <v>50.4</v>
      </c>
      <c r="I866">
        <v>543</v>
      </c>
      <c r="J866">
        <v>117</v>
      </c>
      <c r="K866">
        <v>11.4</v>
      </c>
      <c r="L866" t="s">
        <v>78</v>
      </c>
      <c r="M866">
        <v>23689.24</v>
      </c>
      <c r="N866">
        <v>22924</v>
      </c>
      <c r="O866" t="s">
        <v>91</v>
      </c>
      <c r="P866" t="str">
        <f t="shared" si="117"/>
        <v>No</v>
      </c>
      <c r="Q866">
        <f t="shared" si="118"/>
        <v>10.77</v>
      </c>
      <c r="R866">
        <f t="shared" si="119"/>
        <v>43.63</v>
      </c>
      <c r="S866">
        <f t="shared" si="120"/>
        <v>1.03</v>
      </c>
      <c r="T866" t="str">
        <f t="shared" si="121"/>
        <v>On Time</v>
      </c>
      <c r="U866" t="str">
        <f t="shared" si="122"/>
        <v>Medium</v>
      </c>
      <c r="V866" t="str">
        <f t="shared" si="123"/>
        <v>Low Risk</v>
      </c>
      <c r="W866" t="str">
        <f t="shared" si="124"/>
        <v>Jul</v>
      </c>
      <c r="X866">
        <f t="shared" si="125"/>
        <v>2025</v>
      </c>
    </row>
    <row r="867" spans="1:24" x14ac:dyDescent="0.35">
      <c r="A867" s="3">
        <v>45764</v>
      </c>
      <c r="B867" t="s">
        <v>87</v>
      </c>
      <c r="C867" t="s">
        <v>95</v>
      </c>
      <c r="D867" t="s">
        <v>1013</v>
      </c>
      <c r="E867" t="s">
        <v>66</v>
      </c>
      <c r="F867" t="s">
        <v>63</v>
      </c>
      <c r="G867" t="s">
        <v>71</v>
      </c>
      <c r="H867">
        <v>68.099999999999994</v>
      </c>
      <c r="I867">
        <v>3325</v>
      </c>
      <c r="J867">
        <v>100</v>
      </c>
      <c r="K867">
        <v>16.7</v>
      </c>
      <c r="L867" t="s">
        <v>30</v>
      </c>
      <c r="M867">
        <v>39962.269999999997</v>
      </c>
      <c r="N867">
        <v>15834</v>
      </c>
      <c r="O867" t="s">
        <v>50</v>
      </c>
      <c r="P867" t="str">
        <f t="shared" si="117"/>
        <v>Yes</v>
      </c>
      <c r="Q867">
        <f t="shared" si="118"/>
        <v>48.83</v>
      </c>
      <c r="R867">
        <f t="shared" si="119"/>
        <v>12.02</v>
      </c>
      <c r="S867">
        <f t="shared" si="120"/>
        <v>2.52</v>
      </c>
      <c r="T867" t="str">
        <f t="shared" si="121"/>
        <v>Delayed</v>
      </c>
      <c r="U867" t="str">
        <f t="shared" si="122"/>
        <v>High</v>
      </c>
      <c r="V867" t="str">
        <f t="shared" si="123"/>
        <v>Medium Risk</v>
      </c>
      <c r="W867" t="str">
        <f t="shared" si="124"/>
        <v>Apr</v>
      </c>
      <c r="X867">
        <f t="shared" si="125"/>
        <v>2025</v>
      </c>
    </row>
    <row r="868" spans="1:24" x14ac:dyDescent="0.35">
      <c r="A868" s="3">
        <v>46022</v>
      </c>
      <c r="B868" t="s">
        <v>64</v>
      </c>
      <c r="C868" t="s">
        <v>130</v>
      </c>
      <c r="D868" t="s">
        <v>1014</v>
      </c>
      <c r="E868" t="s">
        <v>54</v>
      </c>
      <c r="F868" t="s">
        <v>63</v>
      </c>
      <c r="G868" t="s">
        <v>42</v>
      </c>
      <c r="H868">
        <v>22.8</v>
      </c>
      <c r="I868">
        <v>1910</v>
      </c>
      <c r="J868">
        <v>112</v>
      </c>
      <c r="K868">
        <v>12.8</v>
      </c>
      <c r="L868" t="s">
        <v>49</v>
      </c>
      <c r="M868">
        <v>14515.31</v>
      </c>
      <c r="N868">
        <v>11832</v>
      </c>
      <c r="O868" t="s">
        <v>91</v>
      </c>
      <c r="P868" t="str">
        <f t="shared" si="117"/>
        <v>Yes</v>
      </c>
      <c r="Q868">
        <f t="shared" si="118"/>
        <v>83.77</v>
      </c>
      <c r="R868">
        <f t="shared" si="119"/>
        <v>7.6</v>
      </c>
      <c r="S868">
        <f t="shared" si="120"/>
        <v>1.23</v>
      </c>
      <c r="T868" t="str">
        <f t="shared" si="121"/>
        <v>Delayed</v>
      </c>
      <c r="U868" t="str">
        <f t="shared" si="122"/>
        <v>Low</v>
      </c>
      <c r="V868" t="str">
        <f t="shared" si="123"/>
        <v>High Risk</v>
      </c>
      <c r="W868" t="str">
        <f t="shared" si="124"/>
        <v>Dec</v>
      </c>
      <c r="X868">
        <f t="shared" si="125"/>
        <v>2025</v>
      </c>
    </row>
    <row r="869" spans="1:24" x14ac:dyDescent="0.35">
      <c r="A869" s="3">
        <v>45955</v>
      </c>
      <c r="B869" t="s">
        <v>203</v>
      </c>
      <c r="C869" t="s">
        <v>109</v>
      </c>
      <c r="D869" t="s">
        <v>1015</v>
      </c>
      <c r="E869" t="s">
        <v>48</v>
      </c>
      <c r="F869" t="s">
        <v>28</v>
      </c>
      <c r="G869" t="s">
        <v>29</v>
      </c>
      <c r="H869">
        <v>32.5</v>
      </c>
      <c r="I869">
        <v>2448</v>
      </c>
      <c r="J869">
        <v>120</v>
      </c>
      <c r="K869">
        <v>17.2</v>
      </c>
      <c r="L869" t="s">
        <v>43</v>
      </c>
      <c r="M869">
        <v>17183.71</v>
      </c>
      <c r="N869">
        <v>11668</v>
      </c>
      <c r="O869" t="s">
        <v>67</v>
      </c>
      <c r="P869" t="str">
        <f t="shared" si="117"/>
        <v>Yes</v>
      </c>
      <c r="Q869">
        <f t="shared" si="118"/>
        <v>75.319999999999993</v>
      </c>
      <c r="R869">
        <f t="shared" si="119"/>
        <v>7.02</v>
      </c>
      <c r="S869">
        <f t="shared" si="120"/>
        <v>1.47</v>
      </c>
      <c r="T869" t="str">
        <f t="shared" si="121"/>
        <v>Delayed</v>
      </c>
      <c r="U869" t="str">
        <f t="shared" si="122"/>
        <v>Low</v>
      </c>
      <c r="V869" t="str">
        <f t="shared" si="123"/>
        <v>Low Risk</v>
      </c>
      <c r="W869" t="str">
        <f t="shared" si="124"/>
        <v>Oct</v>
      </c>
      <c r="X869">
        <f t="shared" si="125"/>
        <v>2025</v>
      </c>
    </row>
    <row r="870" spans="1:24" x14ac:dyDescent="0.35">
      <c r="A870" s="3">
        <v>45848</v>
      </c>
      <c r="B870" t="s">
        <v>118</v>
      </c>
      <c r="C870" t="s">
        <v>69</v>
      </c>
      <c r="D870" t="s">
        <v>1016</v>
      </c>
      <c r="E870" t="s">
        <v>55</v>
      </c>
      <c r="F870" t="s">
        <v>27</v>
      </c>
      <c r="G870" t="s">
        <v>35</v>
      </c>
      <c r="H870">
        <v>79.099999999999994</v>
      </c>
      <c r="I870">
        <v>2170</v>
      </c>
      <c r="J870">
        <v>79</v>
      </c>
      <c r="K870">
        <v>20.5</v>
      </c>
      <c r="L870" t="s">
        <v>30</v>
      </c>
      <c r="M870">
        <v>53808.4</v>
      </c>
      <c r="N870">
        <v>18467</v>
      </c>
      <c r="O870" t="s">
        <v>67</v>
      </c>
      <c r="P870" t="str">
        <f t="shared" si="117"/>
        <v>Yes</v>
      </c>
      <c r="Q870">
        <f t="shared" si="118"/>
        <v>27.43</v>
      </c>
      <c r="R870">
        <f t="shared" si="119"/>
        <v>24.8</v>
      </c>
      <c r="S870">
        <f t="shared" si="120"/>
        <v>2.91</v>
      </c>
      <c r="T870" t="str">
        <f t="shared" si="121"/>
        <v>Delayed</v>
      </c>
      <c r="U870" t="str">
        <f t="shared" si="122"/>
        <v>High</v>
      </c>
      <c r="V870" t="str">
        <f t="shared" si="123"/>
        <v>Medium Risk</v>
      </c>
      <c r="W870" t="str">
        <f t="shared" si="124"/>
        <v>Jul</v>
      </c>
      <c r="X870">
        <f t="shared" si="125"/>
        <v>2025</v>
      </c>
    </row>
    <row r="871" spans="1:24" x14ac:dyDescent="0.35">
      <c r="A871" s="3">
        <v>45801</v>
      </c>
      <c r="B871" t="s">
        <v>46</v>
      </c>
      <c r="C871" t="s">
        <v>95</v>
      </c>
      <c r="D871" t="s">
        <v>1017</v>
      </c>
      <c r="E871" t="s">
        <v>63</v>
      </c>
      <c r="F871" t="s">
        <v>27</v>
      </c>
      <c r="G871" t="s">
        <v>42</v>
      </c>
      <c r="H871">
        <v>21.5</v>
      </c>
      <c r="I871">
        <v>3146</v>
      </c>
      <c r="J871">
        <v>86</v>
      </c>
      <c r="K871">
        <v>10.1</v>
      </c>
      <c r="L871" t="s">
        <v>43</v>
      </c>
      <c r="M871">
        <v>11306.11</v>
      </c>
      <c r="N871">
        <v>28868</v>
      </c>
      <c r="O871" t="s">
        <v>59</v>
      </c>
      <c r="P871" t="str">
        <f t="shared" si="117"/>
        <v>Yes</v>
      </c>
      <c r="Q871">
        <f t="shared" si="118"/>
        <v>146.33000000000001</v>
      </c>
      <c r="R871">
        <f t="shared" si="119"/>
        <v>3.59</v>
      </c>
      <c r="S871">
        <f t="shared" si="120"/>
        <v>0.39</v>
      </c>
      <c r="T871" t="str">
        <f t="shared" si="121"/>
        <v>Delayed</v>
      </c>
      <c r="U871" t="str">
        <f t="shared" si="122"/>
        <v>Low</v>
      </c>
      <c r="V871" t="str">
        <f t="shared" si="123"/>
        <v>Low Risk</v>
      </c>
      <c r="W871" t="str">
        <f t="shared" si="124"/>
        <v>May</v>
      </c>
      <c r="X871">
        <f t="shared" si="125"/>
        <v>2025</v>
      </c>
    </row>
    <row r="872" spans="1:24" x14ac:dyDescent="0.35">
      <c r="A872" s="3">
        <v>45937</v>
      </c>
      <c r="B872" t="s">
        <v>162</v>
      </c>
      <c r="C872" t="s">
        <v>57</v>
      </c>
      <c r="D872" t="s">
        <v>1018</v>
      </c>
      <c r="E872" t="s">
        <v>27</v>
      </c>
      <c r="F872" t="s">
        <v>48</v>
      </c>
      <c r="G872" t="s">
        <v>29</v>
      </c>
      <c r="H872">
        <v>65.3</v>
      </c>
      <c r="I872">
        <v>3837</v>
      </c>
      <c r="J872">
        <v>78</v>
      </c>
      <c r="K872">
        <v>13.2</v>
      </c>
      <c r="L872" t="s">
        <v>49</v>
      </c>
      <c r="M872">
        <v>40361.21</v>
      </c>
      <c r="N872">
        <v>16578</v>
      </c>
      <c r="O872" t="s">
        <v>50</v>
      </c>
      <c r="P872" t="str">
        <f t="shared" si="117"/>
        <v>Yes</v>
      </c>
      <c r="Q872">
        <f t="shared" si="118"/>
        <v>58.76</v>
      </c>
      <c r="R872">
        <f t="shared" si="119"/>
        <v>10.52</v>
      </c>
      <c r="S872">
        <f t="shared" si="120"/>
        <v>2.4300000000000002</v>
      </c>
      <c r="T872" t="str">
        <f t="shared" si="121"/>
        <v>Delayed</v>
      </c>
      <c r="U872" t="str">
        <f t="shared" si="122"/>
        <v>High</v>
      </c>
      <c r="V872" t="str">
        <f t="shared" si="123"/>
        <v>High Risk</v>
      </c>
      <c r="W872" t="str">
        <f t="shared" si="124"/>
        <v>Oct</v>
      </c>
      <c r="X872">
        <f t="shared" si="125"/>
        <v>2025</v>
      </c>
    </row>
    <row r="873" spans="1:24" x14ac:dyDescent="0.35">
      <c r="A873" s="3">
        <v>45685</v>
      </c>
      <c r="B873" t="s">
        <v>366</v>
      </c>
      <c r="C873" t="s">
        <v>95</v>
      </c>
      <c r="D873" t="s">
        <v>1019</v>
      </c>
      <c r="E873" t="s">
        <v>54</v>
      </c>
      <c r="F873" t="s">
        <v>28</v>
      </c>
      <c r="G873" t="s">
        <v>71</v>
      </c>
      <c r="H873">
        <v>46.5</v>
      </c>
      <c r="I873">
        <v>875</v>
      </c>
      <c r="J873">
        <v>70</v>
      </c>
      <c r="K873">
        <v>14.7</v>
      </c>
      <c r="L873" t="s">
        <v>43</v>
      </c>
      <c r="M873">
        <v>28405.02</v>
      </c>
      <c r="N873">
        <v>17950</v>
      </c>
      <c r="O873" t="s">
        <v>84</v>
      </c>
      <c r="P873" t="str">
        <f t="shared" si="117"/>
        <v>Yes</v>
      </c>
      <c r="Q873">
        <f t="shared" si="118"/>
        <v>18.82</v>
      </c>
      <c r="R873">
        <f t="shared" si="119"/>
        <v>32.46</v>
      </c>
      <c r="S873">
        <f t="shared" si="120"/>
        <v>1.58</v>
      </c>
      <c r="T873" t="str">
        <f t="shared" si="121"/>
        <v>Delayed</v>
      </c>
      <c r="U873" t="str">
        <f t="shared" si="122"/>
        <v>Medium</v>
      </c>
      <c r="V873" t="str">
        <f t="shared" si="123"/>
        <v>Low Risk</v>
      </c>
      <c r="W873" t="str">
        <f t="shared" si="124"/>
        <v>Jan</v>
      </c>
      <c r="X873">
        <f t="shared" si="125"/>
        <v>2025</v>
      </c>
    </row>
    <row r="874" spans="1:24" x14ac:dyDescent="0.35">
      <c r="A874" s="3">
        <v>45923</v>
      </c>
      <c r="B874" t="s">
        <v>115</v>
      </c>
      <c r="C874" t="s">
        <v>109</v>
      </c>
      <c r="D874" t="s">
        <v>1020</v>
      </c>
      <c r="E874" t="s">
        <v>41</v>
      </c>
      <c r="F874" t="s">
        <v>66</v>
      </c>
      <c r="G874" t="s">
        <v>42</v>
      </c>
      <c r="H874">
        <v>51.5</v>
      </c>
      <c r="I874">
        <v>4944</v>
      </c>
      <c r="J874">
        <v>40</v>
      </c>
      <c r="K874">
        <v>19</v>
      </c>
      <c r="L874" t="s">
        <v>30</v>
      </c>
      <c r="M874">
        <v>28950.59</v>
      </c>
      <c r="N874">
        <v>19986</v>
      </c>
      <c r="O874" t="s">
        <v>44</v>
      </c>
      <c r="P874" t="str">
        <f t="shared" si="117"/>
        <v>Yes</v>
      </c>
      <c r="Q874">
        <f t="shared" si="118"/>
        <v>96</v>
      </c>
      <c r="R874">
        <f t="shared" si="119"/>
        <v>5.86</v>
      </c>
      <c r="S874">
        <f t="shared" si="120"/>
        <v>1.45</v>
      </c>
      <c r="T874" t="str">
        <f t="shared" si="121"/>
        <v>Delayed</v>
      </c>
      <c r="U874" t="str">
        <f t="shared" si="122"/>
        <v>Medium</v>
      </c>
      <c r="V874" t="str">
        <f t="shared" si="123"/>
        <v>Medium Risk</v>
      </c>
      <c r="W874" t="str">
        <f t="shared" si="124"/>
        <v>Sep</v>
      </c>
      <c r="X874">
        <f t="shared" si="125"/>
        <v>2025</v>
      </c>
    </row>
    <row r="875" spans="1:24" x14ac:dyDescent="0.35">
      <c r="A875" s="3">
        <v>45820</v>
      </c>
      <c r="B875" t="s">
        <v>106</v>
      </c>
      <c r="C875" t="s">
        <v>95</v>
      </c>
      <c r="D875" t="s">
        <v>1021</v>
      </c>
      <c r="E875" t="s">
        <v>55</v>
      </c>
      <c r="F875" t="s">
        <v>28</v>
      </c>
      <c r="G875" t="s">
        <v>71</v>
      </c>
      <c r="H875">
        <v>74.7</v>
      </c>
      <c r="I875">
        <v>4746</v>
      </c>
      <c r="J875">
        <v>68</v>
      </c>
      <c r="K875">
        <v>21.3</v>
      </c>
      <c r="L875" t="s">
        <v>78</v>
      </c>
      <c r="M875">
        <v>35412.86</v>
      </c>
      <c r="N875">
        <v>23924</v>
      </c>
      <c r="O875" t="s">
        <v>67</v>
      </c>
      <c r="P875" t="str">
        <f t="shared" si="117"/>
        <v>No</v>
      </c>
      <c r="Q875">
        <f t="shared" si="118"/>
        <v>63.53</v>
      </c>
      <c r="R875">
        <f t="shared" si="119"/>
        <v>7.46</v>
      </c>
      <c r="S875">
        <f t="shared" si="120"/>
        <v>1.48</v>
      </c>
      <c r="T875" t="str">
        <f t="shared" si="121"/>
        <v>On Time</v>
      </c>
      <c r="U875" t="str">
        <f t="shared" si="122"/>
        <v>High</v>
      </c>
      <c r="V875" t="str">
        <f t="shared" si="123"/>
        <v>Low Risk</v>
      </c>
      <c r="W875" t="str">
        <f t="shared" si="124"/>
        <v>Jun</v>
      </c>
      <c r="X875">
        <f t="shared" si="125"/>
        <v>2025</v>
      </c>
    </row>
    <row r="876" spans="1:24" x14ac:dyDescent="0.35">
      <c r="A876" s="3">
        <v>45724</v>
      </c>
      <c r="B876" t="s">
        <v>118</v>
      </c>
      <c r="C876" t="s">
        <v>109</v>
      </c>
      <c r="D876" t="s">
        <v>1022</v>
      </c>
      <c r="E876" t="s">
        <v>55</v>
      </c>
      <c r="F876" t="s">
        <v>41</v>
      </c>
      <c r="G876" t="s">
        <v>42</v>
      </c>
      <c r="H876">
        <v>55.9</v>
      </c>
      <c r="I876">
        <v>1419</v>
      </c>
      <c r="J876">
        <v>117</v>
      </c>
      <c r="K876">
        <v>13.9</v>
      </c>
      <c r="L876" t="s">
        <v>30</v>
      </c>
      <c r="M876">
        <v>38829.07</v>
      </c>
      <c r="N876">
        <v>12319</v>
      </c>
      <c r="O876" t="s">
        <v>67</v>
      </c>
      <c r="P876" t="str">
        <f t="shared" si="117"/>
        <v>Yes</v>
      </c>
      <c r="Q876">
        <f t="shared" si="118"/>
        <v>25.38</v>
      </c>
      <c r="R876">
        <f t="shared" si="119"/>
        <v>27.36</v>
      </c>
      <c r="S876">
        <f t="shared" si="120"/>
        <v>3.15</v>
      </c>
      <c r="T876" t="str">
        <f t="shared" si="121"/>
        <v>Delayed</v>
      </c>
      <c r="U876" t="str">
        <f t="shared" si="122"/>
        <v>Medium</v>
      </c>
      <c r="V876" t="str">
        <f t="shared" si="123"/>
        <v>Medium Risk</v>
      </c>
      <c r="W876" t="str">
        <f t="shared" si="124"/>
        <v>Mar</v>
      </c>
      <c r="X876">
        <f t="shared" si="125"/>
        <v>2025</v>
      </c>
    </row>
    <row r="877" spans="1:24" x14ac:dyDescent="0.35">
      <c r="A877" s="3">
        <v>45914</v>
      </c>
      <c r="B877" t="s">
        <v>139</v>
      </c>
      <c r="C877" t="s">
        <v>25</v>
      </c>
      <c r="D877" t="s">
        <v>1023</v>
      </c>
      <c r="E877" t="s">
        <v>41</v>
      </c>
      <c r="F877" t="s">
        <v>66</v>
      </c>
      <c r="G877" t="s">
        <v>29</v>
      </c>
      <c r="H877">
        <v>54.4</v>
      </c>
      <c r="I877">
        <v>824</v>
      </c>
      <c r="J877">
        <v>39</v>
      </c>
      <c r="K877">
        <v>15.2</v>
      </c>
      <c r="L877" t="s">
        <v>78</v>
      </c>
      <c r="M877">
        <v>34707.49</v>
      </c>
      <c r="N877">
        <v>9936</v>
      </c>
      <c r="O877" t="s">
        <v>36</v>
      </c>
      <c r="P877" t="str">
        <f t="shared" si="117"/>
        <v>No</v>
      </c>
      <c r="Q877">
        <f t="shared" si="118"/>
        <v>15.15</v>
      </c>
      <c r="R877">
        <f t="shared" si="119"/>
        <v>42.12</v>
      </c>
      <c r="S877">
        <f t="shared" si="120"/>
        <v>3.49</v>
      </c>
      <c r="T877" t="str">
        <f t="shared" si="121"/>
        <v>On Time</v>
      </c>
      <c r="U877" t="str">
        <f t="shared" si="122"/>
        <v>Medium</v>
      </c>
      <c r="V877" t="str">
        <f t="shared" si="123"/>
        <v>Low Risk</v>
      </c>
      <c r="W877" t="str">
        <f t="shared" si="124"/>
        <v>Sep</v>
      </c>
      <c r="X877">
        <f t="shared" si="125"/>
        <v>2025</v>
      </c>
    </row>
    <row r="878" spans="1:24" x14ac:dyDescent="0.35">
      <c r="A878" s="3">
        <v>45659</v>
      </c>
      <c r="B878" t="s">
        <v>311</v>
      </c>
      <c r="C878" t="s">
        <v>130</v>
      </c>
      <c r="D878" t="s">
        <v>1024</v>
      </c>
      <c r="E878" t="s">
        <v>27</v>
      </c>
      <c r="F878" t="s">
        <v>66</v>
      </c>
      <c r="G878" t="s">
        <v>42</v>
      </c>
      <c r="H878">
        <v>37.4</v>
      </c>
      <c r="I878">
        <v>2517</v>
      </c>
      <c r="J878">
        <v>94</v>
      </c>
      <c r="K878">
        <v>21.8</v>
      </c>
      <c r="L878" t="s">
        <v>30</v>
      </c>
      <c r="M878">
        <v>17293.849999999999</v>
      </c>
      <c r="N878">
        <v>13901</v>
      </c>
      <c r="O878" t="s">
        <v>67</v>
      </c>
      <c r="P878" t="str">
        <f t="shared" si="117"/>
        <v>Yes</v>
      </c>
      <c r="Q878">
        <f t="shared" si="118"/>
        <v>67.3</v>
      </c>
      <c r="R878">
        <f t="shared" si="119"/>
        <v>6.87</v>
      </c>
      <c r="S878">
        <f t="shared" si="120"/>
        <v>1.24</v>
      </c>
      <c r="T878" t="str">
        <f t="shared" si="121"/>
        <v>Delayed</v>
      </c>
      <c r="U878" t="str">
        <f t="shared" si="122"/>
        <v>Low</v>
      </c>
      <c r="V878" t="str">
        <f t="shared" si="123"/>
        <v>Medium Risk</v>
      </c>
      <c r="W878" t="str">
        <f t="shared" si="124"/>
        <v>Jan</v>
      </c>
      <c r="X878">
        <f t="shared" si="125"/>
        <v>2025</v>
      </c>
    </row>
    <row r="879" spans="1:24" x14ac:dyDescent="0.35">
      <c r="A879" s="3">
        <v>45879</v>
      </c>
      <c r="B879" t="s">
        <v>300</v>
      </c>
      <c r="C879" t="s">
        <v>109</v>
      </c>
      <c r="D879" t="s">
        <v>1025</v>
      </c>
      <c r="E879" t="s">
        <v>41</v>
      </c>
      <c r="F879" t="s">
        <v>27</v>
      </c>
      <c r="G879" t="s">
        <v>71</v>
      </c>
      <c r="H879">
        <v>23.9</v>
      </c>
      <c r="I879">
        <v>948</v>
      </c>
      <c r="J879">
        <v>75</v>
      </c>
      <c r="K879">
        <v>21.1</v>
      </c>
      <c r="L879" t="s">
        <v>49</v>
      </c>
      <c r="M879">
        <v>13329.61</v>
      </c>
      <c r="N879">
        <v>17069</v>
      </c>
      <c r="O879" t="s">
        <v>36</v>
      </c>
      <c r="P879" t="str">
        <f t="shared" si="117"/>
        <v>Yes</v>
      </c>
      <c r="Q879">
        <f t="shared" si="118"/>
        <v>39.67</v>
      </c>
      <c r="R879">
        <f t="shared" si="119"/>
        <v>14.06</v>
      </c>
      <c r="S879">
        <f t="shared" si="120"/>
        <v>0.78</v>
      </c>
      <c r="T879" t="str">
        <f t="shared" si="121"/>
        <v>Delayed</v>
      </c>
      <c r="U879" t="str">
        <f t="shared" si="122"/>
        <v>Low</v>
      </c>
      <c r="V879" t="str">
        <f t="shared" si="123"/>
        <v>High Risk</v>
      </c>
      <c r="W879" t="str">
        <f t="shared" si="124"/>
        <v>Aug</v>
      </c>
      <c r="X879">
        <f t="shared" si="125"/>
        <v>2025</v>
      </c>
    </row>
    <row r="880" spans="1:24" x14ac:dyDescent="0.35">
      <c r="A880" s="3">
        <v>45765</v>
      </c>
      <c r="B880" t="s">
        <v>38</v>
      </c>
      <c r="C880" t="s">
        <v>25</v>
      </c>
      <c r="D880" t="s">
        <v>1026</v>
      </c>
      <c r="E880" t="s">
        <v>55</v>
      </c>
      <c r="F880" t="s">
        <v>28</v>
      </c>
      <c r="G880" t="s">
        <v>35</v>
      </c>
      <c r="H880">
        <v>41.8</v>
      </c>
      <c r="I880">
        <v>3071</v>
      </c>
      <c r="J880">
        <v>47</v>
      </c>
      <c r="K880">
        <v>19.899999999999999</v>
      </c>
      <c r="L880" t="s">
        <v>49</v>
      </c>
      <c r="M880">
        <v>28613.18</v>
      </c>
      <c r="N880">
        <v>8105</v>
      </c>
      <c r="O880" t="s">
        <v>91</v>
      </c>
      <c r="P880" t="str">
        <f t="shared" si="117"/>
        <v>Yes</v>
      </c>
      <c r="Q880">
        <f t="shared" si="118"/>
        <v>73.47</v>
      </c>
      <c r="R880">
        <f t="shared" si="119"/>
        <v>9.32</v>
      </c>
      <c r="S880">
        <f t="shared" si="120"/>
        <v>3.53</v>
      </c>
      <c r="T880" t="str">
        <f t="shared" si="121"/>
        <v>Delayed</v>
      </c>
      <c r="U880" t="str">
        <f t="shared" si="122"/>
        <v>Medium</v>
      </c>
      <c r="V880" t="str">
        <f t="shared" si="123"/>
        <v>High Risk</v>
      </c>
      <c r="W880" t="str">
        <f t="shared" si="124"/>
        <v>Apr</v>
      </c>
      <c r="X880">
        <f t="shared" si="125"/>
        <v>2025</v>
      </c>
    </row>
    <row r="881" spans="1:24" x14ac:dyDescent="0.35">
      <c r="A881" s="3">
        <v>45890</v>
      </c>
      <c r="B881" t="s">
        <v>214</v>
      </c>
      <c r="C881" t="s">
        <v>69</v>
      </c>
      <c r="D881" t="s">
        <v>1027</v>
      </c>
      <c r="E881" t="s">
        <v>48</v>
      </c>
      <c r="F881" t="s">
        <v>27</v>
      </c>
      <c r="G881" t="s">
        <v>35</v>
      </c>
      <c r="H881">
        <v>73.400000000000006</v>
      </c>
      <c r="I881">
        <v>2474</v>
      </c>
      <c r="J881">
        <v>22</v>
      </c>
      <c r="K881">
        <v>10</v>
      </c>
      <c r="L881" t="s">
        <v>78</v>
      </c>
      <c r="M881">
        <v>40918.080000000002</v>
      </c>
      <c r="N881">
        <v>23060</v>
      </c>
      <c r="O881" t="s">
        <v>50</v>
      </c>
      <c r="P881" t="str">
        <f t="shared" si="117"/>
        <v>No</v>
      </c>
      <c r="Q881">
        <f t="shared" si="118"/>
        <v>33.71</v>
      </c>
      <c r="R881">
        <f t="shared" si="119"/>
        <v>16.54</v>
      </c>
      <c r="S881">
        <f t="shared" si="120"/>
        <v>1.77</v>
      </c>
      <c r="T881" t="str">
        <f t="shared" si="121"/>
        <v>On Time</v>
      </c>
      <c r="U881" t="str">
        <f t="shared" si="122"/>
        <v>High</v>
      </c>
      <c r="V881" t="str">
        <f t="shared" si="123"/>
        <v>Low Risk</v>
      </c>
      <c r="W881" t="str">
        <f t="shared" si="124"/>
        <v>Aug</v>
      </c>
      <c r="X881">
        <f t="shared" si="125"/>
        <v>2025</v>
      </c>
    </row>
    <row r="882" spans="1:24" x14ac:dyDescent="0.35">
      <c r="A882" s="3">
        <v>46019</v>
      </c>
      <c r="B882" t="s">
        <v>195</v>
      </c>
      <c r="C882" t="s">
        <v>52</v>
      </c>
      <c r="D882" t="s">
        <v>1028</v>
      </c>
      <c r="E882" t="s">
        <v>63</v>
      </c>
      <c r="F882" t="s">
        <v>41</v>
      </c>
      <c r="G882" t="s">
        <v>71</v>
      </c>
      <c r="H882">
        <v>50.4</v>
      </c>
      <c r="I882">
        <v>3119</v>
      </c>
      <c r="J882">
        <v>44</v>
      </c>
      <c r="K882">
        <v>13.1</v>
      </c>
      <c r="L882" t="s">
        <v>78</v>
      </c>
      <c r="M882">
        <v>26578.2</v>
      </c>
      <c r="N882">
        <v>21354</v>
      </c>
      <c r="O882" t="s">
        <v>44</v>
      </c>
      <c r="P882" t="str">
        <f t="shared" si="117"/>
        <v>No</v>
      </c>
      <c r="Q882">
        <f t="shared" si="118"/>
        <v>61.88</v>
      </c>
      <c r="R882">
        <f t="shared" si="119"/>
        <v>8.52</v>
      </c>
      <c r="S882">
        <f t="shared" si="120"/>
        <v>1.24</v>
      </c>
      <c r="T882" t="str">
        <f t="shared" si="121"/>
        <v>On Time</v>
      </c>
      <c r="U882" t="str">
        <f t="shared" si="122"/>
        <v>Medium</v>
      </c>
      <c r="V882" t="str">
        <f t="shared" si="123"/>
        <v>Low Risk</v>
      </c>
      <c r="W882" t="str">
        <f t="shared" si="124"/>
        <v>Dec</v>
      </c>
      <c r="X882">
        <f t="shared" si="125"/>
        <v>2025</v>
      </c>
    </row>
    <row r="883" spans="1:24" x14ac:dyDescent="0.35">
      <c r="A883" s="3">
        <v>45770</v>
      </c>
      <c r="B883" t="s">
        <v>159</v>
      </c>
      <c r="C883" t="s">
        <v>39</v>
      </c>
      <c r="D883" t="s">
        <v>1029</v>
      </c>
      <c r="E883" t="s">
        <v>55</v>
      </c>
      <c r="F883" t="s">
        <v>54</v>
      </c>
      <c r="G883" t="s">
        <v>42</v>
      </c>
      <c r="H883">
        <v>60.8</v>
      </c>
      <c r="I883">
        <v>4752</v>
      </c>
      <c r="J883">
        <v>62</v>
      </c>
      <c r="K883">
        <v>18.3</v>
      </c>
      <c r="L883" t="s">
        <v>43</v>
      </c>
      <c r="M883">
        <v>31777.61</v>
      </c>
      <c r="N883">
        <v>14189</v>
      </c>
      <c r="O883" t="s">
        <v>59</v>
      </c>
      <c r="P883" t="str">
        <f t="shared" si="117"/>
        <v>Yes</v>
      </c>
      <c r="Q883">
        <f t="shared" si="118"/>
        <v>78.16</v>
      </c>
      <c r="R883">
        <f t="shared" si="119"/>
        <v>6.69</v>
      </c>
      <c r="S883">
        <f t="shared" si="120"/>
        <v>2.2400000000000002</v>
      </c>
      <c r="T883" t="str">
        <f t="shared" si="121"/>
        <v>Delayed</v>
      </c>
      <c r="U883" t="str">
        <f t="shared" si="122"/>
        <v>High</v>
      </c>
      <c r="V883" t="str">
        <f t="shared" si="123"/>
        <v>Low Risk</v>
      </c>
      <c r="W883" t="str">
        <f t="shared" si="124"/>
        <v>Apr</v>
      </c>
      <c r="X883">
        <f t="shared" si="125"/>
        <v>2025</v>
      </c>
    </row>
    <row r="884" spans="1:24" x14ac:dyDescent="0.35">
      <c r="A884" s="3">
        <v>45836</v>
      </c>
      <c r="B884" t="s">
        <v>76</v>
      </c>
      <c r="C884" t="s">
        <v>57</v>
      </c>
      <c r="D884" t="s">
        <v>1030</v>
      </c>
      <c r="E884" t="s">
        <v>63</v>
      </c>
      <c r="F884" t="s">
        <v>48</v>
      </c>
      <c r="G884" t="s">
        <v>35</v>
      </c>
      <c r="H884">
        <v>66.400000000000006</v>
      </c>
      <c r="I884">
        <v>4846</v>
      </c>
      <c r="J884">
        <v>55</v>
      </c>
      <c r="K884">
        <v>15.9</v>
      </c>
      <c r="L884" t="s">
        <v>49</v>
      </c>
      <c r="M884">
        <v>35798.36</v>
      </c>
      <c r="N884">
        <v>10886</v>
      </c>
      <c r="O884" t="s">
        <v>59</v>
      </c>
      <c r="P884" t="str">
        <f t="shared" si="117"/>
        <v>Yes</v>
      </c>
      <c r="Q884">
        <f t="shared" si="118"/>
        <v>72.98</v>
      </c>
      <c r="R884">
        <f t="shared" si="119"/>
        <v>7.39</v>
      </c>
      <c r="S884">
        <f t="shared" si="120"/>
        <v>3.29</v>
      </c>
      <c r="T884" t="str">
        <f t="shared" si="121"/>
        <v>Delayed</v>
      </c>
      <c r="U884" t="str">
        <f t="shared" si="122"/>
        <v>High</v>
      </c>
      <c r="V884" t="str">
        <f t="shared" si="123"/>
        <v>High Risk</v>
      </c>
      <c r="W884" t="str">
        <f t="shared" si="124"/>
        <v>Jun</v>
      </c>
      <c r="X884">
        <f t="shared" si="125"/>
        <v>2025</v>
      </c>
    </row>
    <row r="885" spans="1:24" x14ac:dyDescent="0.35">
      <c r="A885" s="3">
        <v>45960</v>
      </c>
      <c r="B885" t="s">
        <v>430</v>
      </c>
      <c r="C885" t="s">
        <v>69</v>
      </c>
      <c r="D885" t="s">
        <v>1031</v>
      </c>
      <c r="E885" t="s">
        <v>28</v>
      </c>
      <c r="F885" t="s">
        <v>66</v>
      </c>
      <c r="G885" t="s">
        <v>71</v>
      </c>
      <c r="H885">
        <v>54.6</v>
      </c>
      <c r="I885">
        <v>2920</v>
      </c>
      <c r="J885">
        <v>63</v>
      </c>
      <c r="K885">
        <v>15.7</v>
      </c>
      <c r="L885" t="s">
        <v>78</v>
      </c>
      <c r="M885">
        <v>31231.360000000001</v>
      </c>
      <c r="N885">
        <v>12941</v>
      </c>
      <c r="O885" t="s">
        <v>50</v>
      </c>
      <c r="P885" t="str">
        <f t="shared" si="117"/>
        <v>No</v>
      </c>
      <c r="Q885">
        <f t="shared" si="118"/>
        <v>53.48</v>
      </c>
      <c r="R885">
        <f t="shared" si="119"/>
        <v>10.7</v>
      </c>
      <c r="S885">
        <f t="shared" si="120"/>
        <v>2.41</v>
      </c>
      <c r="T885" t="str">
        <f t="shared" si="121"/>
        <v>On Time</v>
      </c>
      <c r="U885" t="str">
        <f t="shared" si="122"/>
        <v>Medium</v>
      </c>
      <c r="V885" t="str">
        <f t="shared" si="123"/>
        <v>Low Risk</v>
      </c>
      <c r="W885" t="str">
        <f t="shared" si="124"/>
        <v>Oct</v>
      </c>
      <c r="X885">
        <f t="shared" si="125"/>
        <v>2025</v>
      </c>
    </row>
    <row r="886" spans="1:24" x14ac:dyDescent="0.35">
      <c r="A886" s="3">
        <v>45843</v>
      </c>
      <c r="B886" t="s">
        <v>123</v>
      </c>
      <c r="C886" t="s">
        <v>57</v>
      </c>
      <c r="D886" t="s">
        <v>1032</v>
      </c>
      <c r="E886" t="s">
        <v>28</v>
      </c>
      <c r="F886" t="s">
        <v>63</v>
      </c>
      <c r="G886" t="s">
        <v>29</v>
      </c>
      <c r="H886">
        <v>40.299999999999997</v>
      </c>
      <c r="I886">
        <v>4829</v>
      </c>
      <c r="J886">
        <v>104</v>
      </c>
      <c r="K886">
        <v>11.5</v>
      </c>
      <c r="L886" t="s">
        <v>78</v>
      </c>
      <c r="M886">
        <v>20263.330000000002</v>
      </c>
      <c r="N886">
        <v>11683</v>
      </c>
      <c r="O886" t="s">
        <v>31</v>
      </c>
      <c r="P886" t="str">
        <f t="shared" si="117"/>
        <v>No</v>
      </c>
      <c r="Q886">
        <f t="shared" si="118"/>
        <v>119.83</v>
      </c>
      <c r="R886">
        <f t="shared" si="119"/>
        <v>4.2</v>
      </c>
      <c r="S886">
        <f t="shared" si="120"/>
        <v>1.73</v>
      </c>
      <c r="T886" t="str">
        <f t="shared" si="121"/>
        <v>On Time</v>
      </c>
      <c r="U886" t="str">
        <f t="shared" si="122"/>
        <v>Medium</v>
      </c>
      <c r="V886" t="str">
        <f t="shared" si="123"/>
        <v>Low Risk</v>
      </c>
      <c r="W886" t="str">
        <f t="shared" si="124"/>
        <v>Jul</v>
      </c>
      <c r="X886">
        <f t="shared" si="125"/>
        <v>2025</v>
      </c>
    </row>
    <row r="887" spans="1:24" x14ac:dyDescent="0.35">
      <c r="A887" s="3">
        <v>45943</v>
      </c>
      <c r="B887" t="s">
        <v>157</v>
      </c>
      <c r="C887" t="s">
        <v>69</v>
      </c>
      <c r="D887" t="s">
        <v>1033</v>
      </c>
      <c r="E887" t="s">
        <v>66</v>
      </c>
      <c r="F887" t="s">
        <v>41</v>
      </c>
      <c r="G887" t="s">
        <v>29</v>
      </c>
      <c r="H887">
        <v>29.8</v>
      </c>
      <c r="I887">
        <v>2819</v>
      </c>
      <c r="J887">
        <v>60</v>
      </c>
      <c r="K887">
        <v>20.8</v>
      </c>
      <c r="L887" t="s">
        <v>43</v>
      </c>
      <c r="M887">
        <v>18198.11</v>
      </c>
      <c r="N887">
        <v>14661</v>
      </c>
      <c r="O887" t="s">
        <v>36</v>
      </c>
      <c r="P887" t="str">
        <f t="shared" si="117"/>
        <v>Yes</v>
      </c>
      <c r="Q887">
        <f t="shared" si="118"/>
        <v>94.6</v>
      </c>
      <c r="R887">
        <f t="shared" si="119"/>
        <v>6.46</v>
      </c>
      <c r="S887">
        <f t="shared" si="120"/>
        <v>1.24</v>
      </c>
      <c r="T887" t="str">
        <f t="shared" si="121"/>
        <v>Delayed</v>
      </c>
      <c r="U887" t="str">
        <f t="shared" si="122"/>
        <v>Low</v>
      </c>
      <c r="V887" t="str">
        <f t="shared" si="123"/>
        <v>Low Risk</v>
      </c>
      <c r="W887" t="str">
        <f t="shared" si="124"/>
        <v>Oct</v>
      </c>
      <c r="X887">
        <f t="shared" si="125"/>
        <v>2025</v>
      </c>
    </row>
    <row r="888" spans="1:24" x14ac:dyDescent="0.35">
      <c r="A888" s="3">
        <v>45688</v>
      </c>
      <c r="B888" t="s">
        <v>210</v>
      </c>
      <c r="C888" t="s">
        <v>52</v>
      </c>
      <c r="D888" t="s">
        <v>1034</v>
      </c>
      <c r="E888" t="s">
        <v>54</v>
      </c>
      <c r="F888" t="s">
        <v>41</v>
      </c>
      <c r="G888" t="s">
        <v>35</v>
      </c>
      <c r="H888">
        <v>32.1</v>
      </c>
      <c r="I888">
        <v>3047</v>
      </c>
      <c r="J888">
        <v>107</v>
      </c>
      <c r="K888">
        <v>19.100000000000001</v>
      </c>
      <c r="L888" t="s">
        <v>78</v>
      </c>
      <c r="M888">
        <v>17361.41</v>
      </c>
      <c r="N888">
        <v>20426</v>
      </c>
      <c r="O888" t="s">
        <v>67</v>
      </c>
      <c r="P888" t="str">
        <f t="shared" si="117"/>
        <v>No</v>
      </c>
      <c r="Q888">
        <f t="shared" si="118"/>
        <v>94.92</v>
      </c>
      <c r="R888">
        <f t="shared" si="119"/>
        <v>5.7</v>
      </c>
      <c r="S888">
        <f t="shared" si="120"/>
        <v>0.85</v>
      </c>
      <c r="T888" t="str">
        <f t="shared" si="121"/>
        <v>On Time</v>
      </c>
      <c r="U888" t="str">
        <f t="shared" si="122"/>
        <v>Low</v>
      </c>
      <c r="V888" t="str">
        <f t="shared" si="123"/>
        <v>Low Risk</v>
      </c>
      <c r="W888" t="str">
        <f t="shared" si="124"/>
        <v>Jan</v>
      </c>
      <c r="X888">
        <f t="shared" si="125"/>
        <v>2025</v>
      </c>
    </row>
    <row r="889" spans="1:24" x14ac:dyDescent="0.35">
      <c r="A889" s="3">
        <v>46006</v>
      </c>
      <c r="B889" t="s">
        <v>250</v>
      </c>
      <c r="C889" t="s">
        <v>95</v>
      </c>
      <c r="D889" t="s">
        <v>1035</v>
      </c>
      <c r="E889" t="s">
        <v>55</v>
      </c>
      <c r="F889" t="s">
        <v>28</v>
      </c>
      <c r="G889" t="s">
        <v>29</v>
      </c>
      <c r="H889">
        <v>79.099999999999994</v>
      </c>
      <c r="I889">
        <v>3054</v>
      </c>
      <c r="J889">
        <v>52</v>
      </c>
      <c r="K889">
        <v>14.1</v>
      </c>
      <c r="L889" t="s">
        <v>78</v>
      </c>
      <c r="M889">
        <v>44290.23</v>
      </c>
      <c r="N889">
        <v>18664</v>
      </c>
      <c r="O889" t="s">
        <v>67</v>
      </c>
      <c r="P889" t="str">
        <f t="shared" si="117"/>
        <v>No</v>
      </c>
      <c r="Q889">
        <f t="shared" si="118"/>
        <v>38.61</v>
      </c>
      <c r="R889">
        <f t="shared" si="119"/>
        <v>14.5</v>
      </c>
      <c r="S889">
        <f t="shared" si="120"/>
        <v>2.37</v>
      </c>
      <c r="T889" t="str">
        <f t="shared" si="121"/>
        <v>On Time</v>
      </c>
      <c r="U889" t="str">
        <f t="shared" si="122"/>
        <v>High</v>
      </c>
      <c r="V889" t="str">
        <f t="shared" si="123"/>
        <v>Low Risk</v>
      </c>
      <c r="W889" t="str">
        <f t="shared" si="124"/>
        <v>Dec</v>
      </c>
      <c r="X889">
        <f t="shared" si="125"/>
        <v>2025</v>
      </c>
    </row>
    <row r="890" spans="1:24" x14ac:dyDescent="0.35">
      <c r="A890" s="3">
        <v>45967</v>
      </c>
      <c r="B890" t="s">
        <v>89</v>
      </c>
      <c r="C890" t="s">
        <v>109</v>
      </c>
      <c r="D890" t="s">
        <v>1036</v>
      </c>
      <c r="E890" t="s">
        <v>27</v>
      </c>
      <c r="F890" t="s">
        <v>66</v>
      </c>
      <c r="G890" t="s">
        <v>35</v>
      </c>
      <c r="H890">
        <v>55.7</v>
      </c>
      <c r="I890">
        <v>2098</v>
      </c>
      <c r="J890">
        <v>94</v>
      </c>
      <c r="K890">
        <v>19.7</v>
      </c>
      <c r="L890" t="s">
        <v>49</v>
      </c>
      <c r="M890">
        <v>25458.39</v>
      </c>
      <c r="N890">
        <v>5996</v>
      </c>
      <c r="O890" t="s">
        <v>36</v>
      </c>
      <c r="P890" t="str">
        <f t="shared" si="117"/>
        <v>Yes</v>
      </c>
      <c r="Q890">
        <f t="shared" si="118"/>
        <v>37.67</v>
      </c>
      <c r="R890">
        <f t="shared" si="119"/>
        <v>12.13</v>
      </c>
      <c r="S890">
        <f t="shared" si="120"/>
        <v>4.25</v>
      </c>
      <c r="T890" t="str">
        <f t="shared" si="121"/>
        <v>Delayed</v>
      </c>
      <c r="U890" t="str">
        <f t="shared" si="122"/>
        <v>Medium</v>
      </c>
      <c r="V890" t="str">
        <f t="shared" si="123"/>
        <v>High Risk</v>
      </c>
      <c r="W890" t="str">
        <f t="shared" si="124"/>
        <v>Nov</v>
      </c>
      <c r="X890">
        <f t="shared" si="125"/>
        <v>2025</v>
      </c>
    </row>
    <row r="891" spans="1:24" x14ac:dyDescent="0.35">
      <c r="A891" s="3">
        <v>45792</v>
      </c>
      <c r="B891" t="s">
        <v>236</v>
      </c>
      <c r="C891" t="s">
        <v>109</v>
      </c>
      <c r="D891" t="s">
        <v>1037</v>
      </c>
      <c r="E891" t="s">
        <v>27</v>
      </c>
      <c r="F891" t="s">
        <v>55</v>
      </c>
      <c r="G891" t="s">
        <v>29</v>
      </c>
      <c r="H891">
        <v>44</v>
      </c>
      <c r="I891">
        <v>4044</v>
      </c>
      <c r="J891">
        <v>89</v>
      </c>
      <c r="K891">
        <v>18.5</v>
      </c>
      <c r="L891" t="s">
        <v>43</v>
      </c>
      <c r="M891">
        <v>28217.15</v>
      </c>
      <c r="N891">
        <v>20987</v>
      </c>
      <c r="O891" t="s">
        <v>59</v>
      </c>
      <c r="P891" t="str">
        <f t="shared" si="117"/>
        <v>Yes</v>
      </c>
      <c r="Q891">
        <f t="shared" si="118"/>
        <v>91.91</v>
      </c>
      <c r="R891">
        <f t="shared" si="119"/>
        <v>6.98</v>
      </c>
      <c r="S891">
        <f t="shared" si="120"/>
        <v>1.34</v>
      </c>
      <c r="T891" t="str">
        <f t="shared" si="121"/>
        <v>Delayed</v>
      </c>
      <c r="U891" t="str">
        <f t="shared" si="122"/>
        <v>Medium</v>
      </c>
      <c r="V891" t="str">
        <f t="shared" si="123"/>
        <v>Low Risk</v>
      </c>
      <c r="W891" t="str">
        <f t="shared" si="124"/>
        <v>May</v>
      </c>
      <c r="X891">
        <f t="shared" si="125"/>
        <v>2025</v>
      </c>
    </row>
    <row r="892" spans="1:24" x14ac:dyDescent="0.35">
      <c r="A892" s="3">
        <v>45834</v>
      </c>
      <c r="B892" t="s">
        <v>162</v>
      </c>
      <c r="C892" t="s">
        <v>109</v>
      </c>
      <c r="D892" t="s">
        <v>1038</v>
      </c>
      <c r="E892" t="s">
        <v>63</v>
      </c>
      <c r="F892" t="s">
        <v>66</v>
      </c>
      <c r="G892" t="s">
        <v>29</v>
      </c>
      <c r="H892">
        <v>50.6</v>
      </c>
      <c r="I892">
        <v>2369</v>
      </c>
      <c r="J892">
        <v>23</v>
      </c>
      <c r="K892">
        <v>12.3</v>
      </c>
      <c r="L892" t="s">
        <v>30</v>
      </c>
      <c r="M892">
        <v>24912.71</v>
      </c>
      <c r="N892">
        <v>27867</v>
      </c>
      <c r="O892" t="s">
        <v>36</v>
      </c>
      <c r="P892" t="str">
        <f t="shared" si="117"/>
        <v>Yes</v>
      </c>
      <c r="Q892">
        <f t="shared" si="118"/>
        <v>46.82</v>
      </c>
      <c r="R892">
        <f t="shared" si="119"/>
        <v>10.52</v>
      </c>
      <c r="S892">
        <f t="shared" si="120"/>
        <v>0.89</v>
      </c>
      <c r="T892" t="str">
        <f t="shared" si="121"/>
        <v>Delayed</v>
      </c>
      <c r="U892" t="str">
        <f t="shared" si="122"/>
        <v>Medium</v>
      </c>
      <c r="V892" t="str">
        <f t="shared" si="123"/>
        <v>Medium Risk</v>
      </c>
      <c r="W892" t="str">
        <f t="shared" si="124"/>
        <v>Jun</v>
      </c>
      <c r="X892">
        <f t="shared" si="125"/>
        <v>2025</v>
      </c>
    </row>
    <row r="893" spans="1:24" x14ac:dyDescent="0.35">
      <c r="A893" s="3">
        <v>45984</v>
      </c>
      <c r="B893" t="s">
        <v>188</v>
      </c>
      <c r="C893" t="s">
        <v>52</v>
      </c>
      <c r="D893" t="s">
        <v>1039</v>
      </c>
      <c r="E893" t="s">
        <v>55</v>
      </c>
      <c r="F893" t="s">
        <v>54</v>
      </c>
      <c r="G893" t="s">
        <v>71</v>
      </c>
      <c r="H893">
        <v>39.799999999999997</v>
      </c>
      <c r="I893">
        <v>3023</v>
      </c>
      <c r="J893">
        <v>46</v>
      </c>
      <c r="K893">
        <v>20.6</v>
      </c>
      <c r="L893" t="s">
        <v>43</v>
      </c>
      <c r="M893">
        <v>18334.79</v>
      </c>
      <c r="N893">
        <v>10700</v>
      </c>
      <c r="O893" t="s">
        <v>59</v>
      </c>
      <c r="P893" t="str">
        <f t="shared" si="117"/>
        <v>Yes</v>
      </c>
      <c r="Q893">
        <f t="shared" si="118"/>
        <v>75.95</v>
      </c>
      <c r="R893">
        <f t="shared" si="119"/>
        <v>6.07</v>
      </c>
      <c r="S893">
        <f t="shared" si="120"/>
        <v>1.71</v>
      </c>
      <c r="T893" t="str">
        <f t="shared" si="121"/>
        <v>Delayed</v>
      </c>
      <c r="U893" t="str">
        <f t="shared" si="122"/>
        <v>Low</v>
      </c>
      <c r="V893" t="str">
        <f t="shared" si="123"/>
        <v>Low Risk</v>
      </c>
      <c r="W893" t="str">
        <f t="shared" si="124"/>
        <v>Nov</v>
      </c>
      <c r="X893">
        <f t="shared" si="125"/>
        <v>2025</v>
      </c>
    </row>
    <row r="894" spans="1:24" x14ac:dyDescent="0.35">
      <c r="A894" s="3">
        <v>45693</v>
      </c>
      <c r="B894" t="s">
        <v>221</v>
      </c>
      <c r="C894" t="s">
        <v>69</v>
      </c>
      <c r="D894" t="s">
        <v>1040</v>
      </c>
      <c r="E894" t="s">
        <v>54</v>
      </c>
      <c r="F894" t="s">
        <v>55</v>
      </c>
      <c r="G894" t="s">
        <v>71</v>
      </c>
      <c r="H894">
        <v>40.700000000000003</v>
      </c>
      <c r="I894">
        <v>4394</v>
      </c>
      <c r="J894">
        <v>90</v>
      </c>
      <c r="K894">
        <v>13.2</v>
      </c>
      <c r="L894" t="s">
        <v>43</v>
      </c>
      <c r="M894">
        <v>24250.39</v>
      </c>
      <c r="N894">
        <v>20713</v>
      </c>
      <c r="O894" t="s">
        <v>36</v>
      </c>
      <c r="P894" t="str">
        <f t="shared" si="117"/>
        <v>Yes</v>
      </c>
      <c r="Q894">
        <f t="shared" si="118"/>
        <v>107.96</v>
      </c>
      <c r="R894">
        <f t="shared" si="119"/>
        <v>5.52</v>
      </c>
      <c r="S894">
        <f t="shared" si="120"/>
        <v>1.17</v>
      </c>
      <c r="T894" t="str">
        <f t="shared" si="121"/>
        <v>Delayed</v>
      </c>
      <c r="U894" t="str">
        <f t="shared" si="122"/>
        <v>Medium</v>
      </c>
      <c r="V894" t="str">
        <f t="shared" si="123"/>
        <v>Low Risk</v>
      </c>
      <c r="W894" t="str">
        <f t="shared" si="124"/>
        <v>Feb</v>
      </c>
      <c r="X894">
        <f t="shared" si="125"/>
        <v>2025</v>
      </c>
    </row>
    <row r="895" spans="1:24" x14ac:dyDescent="0.35">
      <c r="A895" s="3">
        <v>45695</v>
      </c>
      <c r="B895" t="s">
        <v>311</v>
      </c>
      <c r="C895" t="s">
        <v>57</v>
      </c>
      <c r="D895" t="s">
        <v>1041</v>
      </c>
      <c r="E895" t="s">
        <v>54</v>
      </c>
      <c r="F895" t="s">
        <v>27</v>
      </c>
      <c r="G895" t="s">
        <v>29</v>
      </c>
      <c r="H895">
        <v>50.9</v>
      </c>
      <c r="I895">
        <v>3224</v>
      </c>
      <c r="J895">
        <v>81</v>
      </c>
      <c r="K895">
        <v>17.2</v>
      </c>
      <c r="L895" t="s">
        <v>78</v>
      </c>
      <c r="M895">
        <v>27330.32</v>
      </c>
      <c r="N895">
        <v>13701</v>
      </c>
      <c r="O895" t="s">
        <v>67</v>
      </c>
      <c r="P895" t="str">
        <f t="shared" si="117"/>
        <v>No</v>
      </c>
      <c r="Q895">
        <f t="shared" si="118"/>
        <v>63.34</v>
      </c>
      <c r="R895">
        <f t="shared" si="119"/>
        <v>8.48</v>
      </c>
      <c r="S895">
        <f t="shared" si="120"/>
        <v>1.99</v>
      </c>
      <c r="T895" t="str">
        <f t="shared" si="121"/>
        <v>On Time</v>
      </c>
      <c r="U895" t="str">
        <f t="shared" si="122"/>
        <v>Medium</v>
      </c>
      <c r="V895" t="str">
        <f t="shared" si="123"/>
        <v>Low Risk</v>
      </c>
      <c r="W895" t="str">
        <f t="shared" si="124"/>
        <v>Feb</v>
      </c>
      <c r="X895">
        <f t="shared" si="125"/>
        <v>2025</v>
      </c>
    </row>
    <row r="896" spans="1:24" x14ac:dyDescent="0.35">
      <c r="A896" s="3">
        <v>45791</v>
      </c>
      <c r="B896" t="s">
        <v>76</v>
      </c>
      <c r="C896" t="s">
        <v>69</v>
      </c>
      <c r="D896" t="s">
        <v>1042</v>
      </c>
      <c r="E896" t="s">
        <v>28</v>
      </c>
      <c r="F896" t="s">
        <v>41</v>
      </c>
      <c r="G896" t="s">
        <v>42</v>
      </c>
      <c r="H896">
        <v>73.2</v>
      </c>
      <c r="I896">
        <v>1262</v>
      </c>
      <c r="J896">
        <v>68</v>
      </c>
      <c r="K896">
        <v>11.3</v>
      </c>
      <c r="L896" t="s">
        <v>78</v>
      </c>
      <c r="M896">
        <v>46305.37</v>
      </c>
      <c r="N896">
        <v>17518</v>
      </c>
      <c r="O896" t="s">
        <v>59</v>
      </c>
      <c r="P896" t="str">
        <f t="shared" si="117"/>
        <v>No</v>
      </c>
      <c r="Q896">
        <f t="shared" si="118"/>
        <v>17.239999999999998</v>
      </c>
      <c r="R896">
        <f t="shared" si="119"/>
        <v>36.69</v>
      </c>
      <c r="S896">
        <f t="shared" si="120"/>
        <v>2.64</v>
      </c>
      <c r="T896" t="str">
        <f t="shared" si="121"/>
        <v>On Time</v>
      </c>
      <c r="U896" t="str">
        <f t="shared" si="122"/>
        <v>High</v>
      </c>
      <c r="V896" t="str">
        <f t="shared" si="123"/>
        <v>Low Risk</v>
      </c>
      <c r="W896" t="str">
        <f t="shared" si="124"/>
        <v>May</v>
      </c>
      <c r="X896">
        <f t="shared" si="125"/>
        <v>2025</v>
      </c>
    </row>
    <row r="897" spans="1:24" x14ac:dyDescent="0.35">
      <c r="A897" s="3">
        <v>45855</v>
      </c>
      <c r="B897" t="s">
        <v>207</v>
      </c>
      <c r="C897" t="s">
        <v>109</v>
      </c>
      <c r="D897" t="s">
        <v>1043</v>
      </c>
      <c r="E897" t="s">
        <v>54</v>
      </c>
      <c r="F897" t="s">
        <v>41</v>
      </c>
      <c r="G897" t="s">
        <v>71</v>
      </c>
      <c r="H897">
        <v>49.9</v>
      </c>
      <c r="I897">
        <v>1438</v>
      </c>
      <c r="J897">
        <v>38</v>
      </c>
      <c r="K897">
        <v>12.9</v>
      </c>
      <c r="L897" t="s">
        <v>43</v>
      </c>
      <c r="M897">
        <v>33190.94</v>
      </c>
      <c r="N897">
        <v>8991</v>
      </c>
      <c r="O897" t="s">
        <v>59</v>
      </c>
      <c r="P897" t="str">
        <f t="shared" si="117"/>
        <v>Yes</v>
      </c>
      <c r="Q897">
        <f t="shared" si="118"/>
        <v>28.82</v>
      </c>
      <c r="R897">
        <f t="shared" si="119"/>
        <v>23.08</v>
      </c>
      <c r="S897">
        <f t="shared" si="120"/>
        <v>3.69</v>
      </c>
      <c r="T897" t="str">
        <f t="shared" si="121"/>
        <v>Delayed</v>
      </c>
      <c r="U897" t="str">
        <f t="shared" si="122"/>
        <v>Medium</v>
      </c>
      <c r="V897" t="str">
        <f t="shared" si="123"/>
        <v>Low Risk</v>
      </c>
      <c r="W897" t="str">
        <f t="shared" si="124"/>
        <v>Jul</v>
      </c>
      <c r="X897">
        <f t="shared" si="125"/>
        <v>2025</v>
      </c>
    </row>
    <row r="898" spans="1:24" x14ac:dyDescent="0.35">
      <c r="A898" s="3">
        <v>45728</v>
      </c>
      <c r="B898" t="s">
        <v>195</v>
      </c>
      <c r="C898" t="s">
        <v>39</v>
      </c>
      <c r="D898" t="s">
        <v>1044</v>
      </c>
      <c r="E898" t="s">
        <v>55</v>
      </c>
      <c r="F898" t="s">
        <v>28</v>
      </c>
      <c r="G898" t="s">
        <v>71</v>
      </c>
      <c r="H898">
        <v>52</v>
      </c>
      <c r="I898">
        <v>4777</v>
      </c>
      <c r="J898">
        <v>67</v>
      </c>
      <c r="K898">
        <v>14.8</v>
      </c>
      <c r="L898" t="s">
        <v>78</v>
      </c>
      <c r="M898">
        <v>33758.42</v>
      </c>
      <c r="N898">
        <v>10312</v>
      </c>
      <c r="O898" t="s">
        <v>91</v>
      </c>
      <c r="P898" t="str">
        <f t="shared" ref="P898:P961" si="126">IF(OR(L898="Rain",L898="Fog",L898="Storm"),"Yes","No")</f>
        <v>No</v>
      </c>
      <c r="Q898">
        <f t="shared" ref="Q898:Q961" si="127">ROUND(I898/H898,2)</f>
        <v>91.87</v>
      </c>
      <c r="R898">
        <f t="shared" ref="R898:R961" si="128">ROUND(M898/I898,2)</f>
        <v>7.07</v>
      </c>
      <c r="S898">
        <f t="shared" ref="S898:S961" si="129">ROUND(M898/N898,2)</f>
        <v>3.27</v>
      </c>
      <c r="T898" t="str">
        <f t="shared" ref="T898:T961" si="130">IF(P898="Yes","Delayed","On Time")</f>
        <v>On Time</v>
      </c>
      <c r="U898" t="str">
        <f t="shared" ref="U898:U961" si="131">IF(H898&gt;=60,"High",IF(H898&gt;=40,"Medium","Low"))</f>
        <v>Medium</v>
      </c>
      <c r="V898" t="str">
        <f t="shared" ref="V898:V961" si="132">IF(L898="Storm","High Risk",IF(L898="Rain","Medium Risk","Low Risk"))</f>
        <v>Low Risk</v>
      </c>
      <c r="W898" t="str">
        <f t="shared" ref="W898:W961" si="133">TEXT(A898,"mmm")</f>
        <v>Mar</v>
      </c>
      <c r="X898">
        <f t="shared" si="125"/>
        <v>2025</v>
      </c>
    </row>
    <row r="899" spans="1:24" x14ac:dyDescent="0.35">
      <c r="A899" s="3">
        <v>45890</v>
      </c>
      <c r="B899" t="s">
        <v>68</v>
      </c>
      <c r="C899" t="s">
        <v>39</v>
      </c>
      <c r="D899" t="s">
        <v>1045</v>
      </c>
      <c r="E899" t="s">
        <v>27</v>
      </c>
      <c r="F899" t="s">
        <v>66</v>
      </c>
      <c r="G899" t="s">
        <v>42</v>
      </c>
      <c r="H899">
        <v>46</v>
      </c>
      <c r="I899">
        <v>4565</v>
      </c>
      <c r="J899">
        <v>36</v>
      </c>
      <c r="K899">
        <v>10.199999999999999</v>
      </c>
      <c r="L899" t="s">
        <v>43</v>
      </c>
      <c r="M899">
        <v>31399.919999999998</v>
      </c>
      <c r="N899">
        <v>9033</v>
      </c>
      <c r="O899" t="s">
        <v>91</v>
      </c>
      <c r="P899" t="str">
        <f t="shared" si="126"/>
        <v>Yes</v>
      </c>
      <c r="Q899">
        <f t="shared" si="127"/>
        <v>99.24</v>
      </c>
      <c r="R899">
        <f t="shared" si="128"/>
        <v>6.88</v>
      </c>
      <c r="S899">
        <f t="shared" si="129"/>
        <v>3.48</v>
      </c>
      <c r="T899" t="str">
        <f t="shared" si="130"/>
        <v>Delayed</v>
      </c>
      <c r="U899" t="str">
        <f t="shared" si="131"/>
        <v>Medium</v>
      </c>
      <c r="V899" t="str">
        <f t="shared" si="132"/>
        <v>Low Risk</v>
      </c>
      <c r="W899" t="str">
        <f t="shared" si="133"/>
        <v>Aug</v>
      </c>
      <c r="X899">
        <f t="shared" ref="X899:X962" si="134">YEAR(A899)</f>
        <v>2025</v>
      </c>
    </row>
    <row r="900" spans="1:24" x14ac:dyDescent="0.35">
      <c r="A900" s="3">
        <v>45774</v>
      </c>
      <c r="B900" t="s">
        <v>142</v>
      </c>
      <c r="C900" t="s">
        <v>25</v>
      </c>
      <c r="D900" t="s">
        <v>1046</v>
      </c>
      <c r="E900" t="s">
        <v>54</v>
      </c>
      <c r="F900" t="s">
        <v>27</v>
      </c>
      <c r="G900" t="s">
        <v>42</v>
      </c>
      <c r="H900">
        <v>27.2</v>
      </c>
      <c r="I900">
        <v>3446</v>
      </c>
      <c r="J900">
        <v>106</v>
      </c>
      <c r="K900">
        <v>21.4</v>
      </c>
      <c r="L900" t="s">
        <v>43</v>
      </c>
      <c r="M900">
        <v>12767.08</v>
      </c>
      <c r="N900">
        <v>19890</v>
      </c>
      <c r="O900" t="s">
        <v>31</v>
      </c>
      <c r="P900" t="str">
        <f t="shared" si="126"/>
        <v>Yes</v>
      </c>
      <c r="Q900">
        <f t="shared" si="127"/>
        <v>126.69</v>
      </c>
      <c r="R900">
        <f t="shared" si="128"/>
        <v>3.7</v>
      </c>
      <c r="S900">
        <f t="shared" si="129"/>
        <v>0.64</v>
      </c>
      <c r="T900" t="str">
        <f t="shared" si="130"/>
        <v>Delayed</v>
      </c>
      <c r="U900" t="str">
        <f t="shared" si="131"/>
        <v>Low</v>
      </c>
      <c r="V900" t="str">
        <f t="shared" si="132"/>
        <v>Low Risk</v>
      </c>
      <c r="W900" t="str">
        <f t="shared" si="133"/>
        <v>Apr</v>
      </c>
      <c r="X900">
        <f t="shared" si="134"/>
        <v>2025</v>
      </c>
    </row>
    <row r="901" spans="1:24" x14ac:dyDescent="0.35">
      <c r="A901" s="3">
        <v>45752</v>
      </c>
      <c r="B901" t="s">
        <v>275</v>
      </c>
      <c r="C901" t="s">
        <v>95</v>
      </c>
      <c r="D901" t="s">
        <v>1047</v>
      </c>
      <c r="E901" t="s">
        <v>28</v>
      </c>
      <c r="F901" t="s">
        <v>54</v>
      </c>
      <c r="G901" t="s">
        <v>42</v>
      </c>
      <c r="H901">
        <v>54.9</v>
      </c>
      <c r="I901">
        <v>2787</v>
      </c>
      <c r="J901">
        <v>69</v>
      </c>
      <c r="K901">
        <v>12.4</v>
      </c>
      <c r="L901" t="s">
        <v>78</v>
      </c>
      <c r="M901">
        <v>37757.54</v>
      </c>
      <c r="N901">
        <v>12121</v>
      </c>
      <c r="O901" t="s">
        <v>59</v>
      </c>
      <c r="P901" t="str">
        <f t="shared" si="126"/>
        <v>No</v>
      </c>
      <c r="Q901">
        <f t="shared" si="127"/>
        <v>50.77</v>
      </c>
      <c r="R901">
        <f t="shared" si="128"/>
        <v>13.55</v>
      </c>
      <c r="S901">
        <f t="shared" si="129"/>
        <v>3.12</v>
      </c>
      <c r="T901" t="str">
        <f t="shared" si="130"/>
        <v>On Time</v>
      </c>
      <c r="U901" t="str">
        <f t="shared" si="131"/>
        <v>Medium</v>
      </c>
      <c r="V901" t="str">
        <f t="shared" si="132"/>
        <v>Low Risk</v>
      </c>
      <c r="W901" t="str">
        <f t="shared" si="133"/>
        <v>Apr</v>
      </c>
      <c r="X901">
        <f t="shared" si="134"/>
        <v>2025</v>
      </c>
    </row>
    <row r="902" spans="1:24" x14ac:dyDescent="0.35">
      <c r="A902" s="3">
        <v>45948</v>
      </c>
      <c r="B902" t="s">
        <v>311</v>
      </c>
      <c r="C902" t="s">
        <v>52</v>
      </c>
      <c r="D902" t="s">
        <v>1048</v>
      </c>
      <c r="E902" t="s">
        <v>48</v>
      </c>
      <c r="F902" t="s">
        <v>66</v>
      </c>
      <c r="G902" t="s">
        <v>71</v>
      </c>
      <c r="H902">
        <v>63.3</v>
      </c>
      <c r="I902">
        <v>2702</v>
      </c>
      <c r="J902">
        <v>111</v>
      </c>
      <c r="K902">
        <v>20.399999999999999</v>
      </c>
      <c r="L902" t="s">
        <v>49</v>
      </c>
      <c r="M902">
        <v>38842.15</v>
      </c>
      <c r="N902">
        <v>24651</v>
      </c>
      <c r="O902" t="s">
        <v>44</v>
      </c>
      <c r="P902" t="str">
        <f t="shared" si="126"/>
        <v>Yes</v>
      </c>
      <c r="Q902">
        <f t="shared" si="127"/>
        <v>42.69</v>
      </c>
      <c r="R902">
        <f t="shared" si="128"/>
        <v>14.38</v>
      </c>
      <c r="S902">
        <f t="shared" si="129"/>
        <v>1.58</v>
      </c>
      <c r="T902" t="str">
        <f t="shared" si="130"/>
        <v>Delayed</v>
      </c>
      <c r="U902" t="str">
        <f t="shared" si="131"/>
        <v>High</v>
      </c>
      <c r="V902" t="str">
        <f t="shared" si="132"/>
        <v>High Risk</v>
      </c>
      <c r="W902" t="str">
        <f t="shared" si="133"/>
        <v>Oct</v>
      </c>
      <c r="X902">
        <f t="shared" si="134"/>
        <v>2025</v>
      </c>
    </row>
    <row r="903" spans="1:24" x14ac:dyDescent="0.35">
      <c r="A903" s="3">
        <v>45999</v>
      </c>
      <c r="B903" t="s">
        <v>56</v>
      </c>
      <c r="C903" t="s">
        <v>109</v>
      </c>
      <c r="D903" t="s">
        <v>1049</v>
      </c>
      <c r="E903" t="s">
        <v>63</v>
      </c>
      <c r="F903" t="s">
        <v>48</v>
      </c>
      <c r="G903" t="s">
        <v>35</v>
      </c>
      <c r="H903">
        <v>77.099999999999994</v>
      </c>
      <c r="I903">
        <v>2665</v>
      </c>
      <c r="J903">
        <v>75</v>
      </c>
      <c r="K903">
        <v>20.8</v>
      </c>
      <c r="L903" t="s">
        <v>30</v>
      </c>
      <c r="M903">
        <v>39440.74</v>
      </c>
      <c r="N903">
        <v>24950</v>
      </c>
      <c r="O903" t="s">
        <v>91</v>
      </c>
      <c r="P903" t="str">
        <f t="shared" si="126"/>
        <v>Yes</v>
      </c>
      <c r="Q903">
        <f t="shared" si="127"/>
        <v>34.57</v>
      </c>
      <c r="R903">
        <f t="shared" si="128"/>
        <v>14.8</v>
      </c>
      <c r="S903">
        <f t="shared" si="129"/>
        <v>1.58</v>
      </c>
      <c r="T903" t="str">
        <f t="shared" si="130"/>
        <v>Delayed</v>
      </c>
      <c r="U903" t="str">
        <f t="shared" si="131"/>
        <v>High</v>
      </c>
      <c r="V903" t="str">
        <f t="shared" si="132"/>
        <v>Medium Risk</v>
      </c>
      <c r="W903" t="str">
        <f t="shared" si="133"/>
        <v>Dec</v>
      </c>
      <c r="X903">
        <f t="shared" si="134"/>
        <v>2025</v>
      </c>
    </row>
    <row r="904" spans="1:24" x14ac:dyDescent="0.35">
      <c r="A904" s="3">
        <v>45680</v>
      </c>
      <c r="B904" t="s">
        <v>104</v>
      </c>
      <c r="C904" t="s">
        <v>95</v>
      </c>
      <c r="D904" t="s">
        <v>1050</v>
      </c>
      <c r="E904" t="s">
        <v>63</v>
      </c>
      <c r="F904" t="s">
        <v>48</v>
      </c>
      <c r="G904" t="s">
        <v>35</v>
      </c>
      <c r="H904">
        <v>77.7</v>
      </c>
      <c r="I904">
        <v>4106</v>
      </c>
      <c r="J904">
        <v>96</v>
      </c>
      <c r="K904">
        <v>11.7</v>
      </c>
      <c r="L904" t="s">
        <v>30</v>
      </c>
      <c r="M904">
        <v>51958.89</v>
      </c>
      <c r="N904">
        <v>15491</v>
      </c>
      <c r="O904" t="s">
        <v>59</v>
      </c>
      <c r="P904" t="str">
        <f t="shared" si="126"/>
        <v>Yes</v>
      </c>
      <c r="Q904">
        <f t="shared" si="127"/>
        <v>52.84</v>
      </c>
      <c r="R904">
        <f t="shared" si="128"/>
        <v>12.65</v>
      </c>
      <c r="S904">
        <f t="shared" si="129"/>
        <v>3.35</v>
      </c>
      <c r="T904" t="str">
        <f t="shared" si="130"/>
        <v>Delayed</v>
      </c>
      <c r="U904" t="str">
        <f t="shared" si="131"/>
        <v>High</v>
      </c>
      <c r="V904" t="str">
        <f t="shared" si="132"/>
        <v>Medium Risk</v>
      </c>
      <c r="W904" t="str">
        <f t="shared" si="133"/>
        <v>Jan</v>
      </c>
      <c r="X904">
        <f t="shared" si="134"/>
        <v>2025</v>
      </c>
    </row>
    <row r="905" spans="1:24" x14ac:dyDescent="0.35">
      <c r="A905" s="3">
        <v>45915</v>
      </c>
      <c r="B905" t="s">
        <v>92</v>
      </c>
      <c r="C905" t="s">
        <v>57</v>
      </c>
      <c r="D905" t="s">
        <v>1051</v>
      </c>
      <c r="E905" t="s">
        <v>63</v>
      </c>
      <c r="F905" t="s">
        <v>48</v>
      </c>
      <c r="G905" t="s">
        <v>29</v>
      </c>
      <c r="H905">
        <v>35</v>
      </c>
      <c r="I905">
        <v>1770</v>
      </c>
      <c r="J905">
        <v>115</v>
      </c>
      <c r="K905">
        <v>13.2</v>
      </c>
      <c r="L905" t="s">
        <v>43</v>
      </c>
      <c r="M905">
        <v>16552.07</v>
      </c>
      <c r="N905">
        <v>7862</v>
      </c>
      <c r="O905" t="s">
        <v>59</v>
      </c>
      <c r="P905" t="str">
        <f t="shared" si="126"/>
        <v>Yes</v>
      </c>
      <c r="Q905">
        <f t="shared" si="127"/>
        <v>50.57</v>
      </c>
      <c r="R905">
        <f t="shared" si="128"/>
        <v>9.35</v>
      </c>
      <c r="S905">
        <f t="shared" si="129"/>
        <v>2.11</v>
      </c>
      <c r="T905" t="str">
        <f t="shared" si="130"/>
        <v>Delayed</v>
      </c>
      <c r="U905" t="str">
        <f t="shared" si="131"/>
        <v>Low</v>
      </c>
      <c r="V905" t="str">
        <f t="shared" si="132"/>
        <v>Low Risk</v>
      </c>
      <c r="W905" t="str">
        <f t="shared" si="133"/>
        <v>Sep</v>
      </c>
      <c r="X905">
        <f t="shared" si="134"/>
        <v>2025</v>
      </c>
    </row>
    <row r="906" spans="1:24" x14ac:dyDescent="0.35">
      <c r="A906" s="3">
        <v>45857</v>
      </c>
      <c r="B906" t="s">
        <v>250</v>
      </c>
      <c r="C906" t="s">
        <v>130</v>
      </c>
      <c r="D906" t="s">
        <v>1052</v>
      </c>
      <c r="E906" t="s">
        <v>66</v>
      </c>
      <c r="F906" t="s">
        <v>28</v>
      </c>
      <c r="G906" t="s">
        <v>42</v>
      </c>
      <c r="H906">
        <v>75.599999999999994</v>
      </c>
      <c r="I906">
        <v>4781</v>
      </c>
      <c r="J906">
        <v>56</v>
      </c>
      <c r="K906">
        <v>20.5</v>
      </c>
      <c r="L906" t="s">
        <v>78</v>
      </c>
      <c r="M906">
        <v>44588.62</v>
      </c>
      <c r="N906">
        <v>29048</v>
      </c>
      <c r="O906" t="s">
        <v>84</v>
      </c>
      <c r="P906" t="str">
        <f t="shared" si="126"/>
        <v>No</v>
      </c>
      <c r="Q906">
        <f t="shared" si="127"/>
        <v>63.24</v>
      </c>
      <c r="R906">
        <f t="shared" si="128"/>
        <v>9.33</v>
      </c>
      <c r="S906">
        <f t="shared" si="129"/>
        <v>1.53</v>
      </c>
      <c r="T906" t="str">
        <f t="shared" si="130"/>
        <v>On Time</v>
      </c>
      <c r="U906" t="str">
        <f t="shared" si="131"/>
        <v>High</v>
      </c>
      <c r="V906" t="str">
        <f t="shared" si="132"/>
        <v>Low Risk</v>
      </c>
      <c r="W906" t="str">
        <f t="shared" si="133"/>
        <v>Jul</v>
      </c>
      <c r="X906">
        <f t="shared" si="134"/>
        <v>2025</v>
      </c>
    </row>
    <row r="907" spans="1:24" x14ac:dyDescent="0.35">
      <c r="A907" s="3">
        <v>45667</v>
      </c>
      <c r="B907" t="s">
        <v>199</v>
      </c>
      <c r="C907" t="s">
        <v>69</v>
      </c>
      <c r="D907" t="s">
        <v>1053</v>
      </c>
      <c r="E907" t="s">
        <v>63</v>
      </c>
      <c r="F907" t="s">
        <v>27</v>
      </c>
      <c r="G907" t="s">
        <v>71</v>
      </c>
      <c r="H907">
        <v>63.8</v>
      </c>
      <c r="I907">
        <v>1371</v>
      </c>
      <c r="J907">
        <v>102</v>
      </c>
      <c r="K907">
        <v>13.9</v>
      </c>
      <c r="L907" t="s">
        <v>78</v>
      </c>
      <c r="M907">
        <v>39510.379999999997</v>
      </c>
      <c r="N907">
        <v>23500</v>
      </c>
      <c r="O907" t="s">
        <v>84</v>
      </c>
      <c r="P907" t="str">
        <f t="shared" si="126"/>
        <v>No</v>
      </c>
      <c r="Q907">
        <f t="shared" si="127"/>
        <v>21.49</v>
      </c>
      <c r="R907">
        <f t="shared" si="128"/>
        <v>28.82</v>
      </c>
      <c r="S907">
        <f t="shared" si="129"/>
        <v>1.68</v>
      </c>
      <c r="T907" t="str">
        <f t="shared" si="130"/>
        <v>On Time</v>
      </c>
      <c r="U907" t="str">
        <f t="shared" si="131"/>
        <v>High</v>
      </c>
      <c r="V907" t="str">
        <f t="shared" si="132"/>
        <v>Low Risk</v>
      </c>
      <c r="W907" t="str">
        <f t="shared" si="133"/>
        <v>Jan</v>
      </c>
      <c r="X907">
        <f t="shared" si="134"/>
        <v>2025</v>
      </c>
    </row>
    <row r="908" spans="1:24" x14ac:dyDescent="0.35">
      <c r="A908" s="3">
        <v>45820</v>
      </c>
      <c r="B908" t="s">
        <v>250</v>
      </c>
      <c r="C908" t="s">
        <v>95</v>
      </c>
      <c r="D908" t="s">
        <v>1054</v>
      </c>
      <c r="E908" t="s">
        <v>41</v>
      </c>
      <c r="F908" t="s">
        <v>55</v>
      </c>
      <c r="G908" t="s">
        <v>71</v>
      </c>
      <c r="H908">
        <v>67.2</v>
      </c>
      <c r="I908">
        <v>4932</v>
      </c>
      <c r="J908">
        <v>52</v>
      </c>
      <c r="K908">
        <v>17</v>
      </c>
      <c r="L908" t="s">
        <v>30</v>
      </c>
      <c r="M908">
        <v>35859.08</v>
      </c>
      <c r="N908">
        <v>18152</v>
      </c>
      <c r="O908" t="s">
        <v>91</v>
      </c>
      <c r="P908" t="str">
        <f t="shared" si="126"/>
        <v>Yes</v>
      </c>
      <c r="Q908">
        <f t="shared" si="127"/>
        <v>73.39</v>
      </c>
      <c r="R908">
        <f t="shared" si="128"/>
        <v>7.27</v>
      </c>
      <c r="S908">
        <f t="shared" si="129"/>
        <v>1.98</v>
      </c>
      <c r="T908" t="str">
        <f t="shared" si="130"/>
        <v>Delayed</v>
      </c>
      <c r="U908" t="str">
        <f t="shared" si="131"/>
        <v>High</v>
      </c>
      <c r="V908" t="str">
        <f t="shared" si="132"/>
        <v>Medium Risk</v>
      </c>
      <c r="W908" t="str">
        <f t="shared" si="133"/>
        <v>Jun</v>
      </c>
      <c r="X908">
        <f t="shared" si="134"/>
        <v>2025</v>
      </c>
    </row>
    <row r="909" spans="1:24" x14ac:dyDescent="0.35">
      <c r="A909" s="3">
        <v>45744</v>
      </c>
      <c r="B909" t="s">
        <v>417</v>
      </c>
      <c r="C909" t="s">
        <v>25</v>
      </c>
      <c r="D909" t="s">
        <v>1055</v>
      </c>
      <c r="E909" t="s">
        <v>66</v>
      </c>
      <c r="F909" t="s">
        <v>54</v>
      </c>
      <c r="G909" t="s">
        <v>29</v>
      </c>
      <c r="H909">
        <v>32.5</v>
      </c>
      <c r="I909">
        <v>769</v>
      </c>
      <c r="J909">
        <v>89</v>
      </c>
      <c r="K909">
        <v>16.100000000000001</v>
      </c>
      <c r="L909" t="s">
        <v>78</v>
      </c>
      <c r="M909">
        <v>17940.400000000001</v>
      </c>
      <c r="N909">
        <v>15917</v>
      </c>
      <c r="O909" t="s">
        <v>91</v>
      </c>
      <c r="P909" t="str">
        <f t="shared" si="126"/>
        <v>No</v>
      </c>
      <c r="Q909">
        <f t="shared" si="127"/>
        <v>23.66</v>
      </c>
      <c r="R909">
        <f t="shared" si="128"/>
        <v>23.33</v>
      </c>
      <c r="S909">
        <f t="shared" si="129"/>
        <v>1.1299999999999999</v>
      </c>
      <c r="T909" t="str">
        <f t="shared" si="130"/>
        <v>On Time</v>
      </c>
      <c r="U909" t="str">
        <f t="shared" si="131"/>
        <v>Low</v>
      </c>
      <c r="V909" t="str">
        <f t="shared" si="132"/>
        <v>Low Risk</v>
      </c>
      <c r="W909" t="str">
        <f t="shared" si="133"/>
        <v>Mar</v>
      </c>
      <c r="X909">
        <f t="shared" si="134"/>
        <v>2025</v>
      </c>
    </row>
    <row r="910" spans="1:24" x14ac:dyDescent="0.35">
      <c r="A910" s="3">
        <v>45960</v>
      </c>
      <c r="B910" t="s">
        <v>38</v>
      </c>
      <c r="C910" t="s">
        <v>69</v>
      </c>
      <c r="D910" t="s">
        <v>1056</v>
      </c>
      <c r="E910" t="s">
        <v>54</v>
      </c>
      <c r="F910" t="s">
        <v>28</v>
      </c>
      <c r="G910" t="s">
        <v>29</v>
      </c>
      <c r="H910">
        <v>66.2</v>
      </c>
      <c r="I910">
        <v>1430</v>
      </c>
      <c r="J910">
        <v>87</v>
      </c>
      <c r="K910">
        <v>11.5</v>
      </c>
      <c r="L910" t="s">
        <v>49</v>
      </c>
      <c r="M910">
        <v>31388.25</v>
      </c>
      <c r="N910">
        <v>8865</v>
      </c>
      <c r="O910" t="s">
        <v>44</v>
      </c>
      <c r="P910" t="str">
        <f t="shared" si="126"/>
        <v>Yes</v>
      </c>
      <c r="Q910">
        <f t="shared" si="127"/>
        <v>21.6</v>
      </c>
      <c r="R910">
        <f t="shared" si="128"/>
        <v>21.95</v>
      </c>
      <c r="S910">
        <f t="shared" si="129"/>
        <v>3.54</v>
      </c>
      <c r="T910" t="str">
        <f t="shared" si="130"/>
        <v>Delayed</v>
      </c>
      <c r="U910" t="str">
        <f t="shared" si="131"/>
        <v>High</v>
      </c>
      <c r="V910" t="str">
        <f t="shared" si="132"/>
        <v>High Risk</v>
      </c>
      <c r="W910" t="str">
        <f t="shared" si="133"/>
        <v>Oct</v>
      </c>
      <c r="X910">
        <f t="shared" si="134"/>
        <v>2025</v>
      </c>
    </row>
    <row r="911" spans="1:24" x14ac:dyDescent="0.35">
      <c r="A911" s="3">
        <v>45973</v>
      </c>
      <c r="B911" t="s">
        <v>217</v>
      </c>
      <c r="C911" t="s">
        <v>52</v>
      </c>
      <c r="D911" t="s">
        <v>1057</v>
      </c>
      <c r="E911" t="s">
        <v>27</v>
      </c>
      <c r="F911" t="s">
        <v>63</v>
      </c>
      <c r="G911" t="s">
        <v>35</v>
      </c>
      <c r="H911">
        <v>71</v>
      </c>
      <c r="I911">
        <v>766</v>
      </c>
      <c r="J911">
        <v>27</v>
      </c>
      <c r="K911">
        <v>10.5</v>
      </c>
      <c r="L911" t="s">
        <v>43</v>
      </c>
      <c r="M911">
        <v>34592.25</v>
      </c>
      <c r="N911">
        <v>21841</v>
      </c>
      <c r="O911" t="s">
        <v>31</v>
      </c>
      <c r="P911" t="str">
        <f t="shared" si="126"/>
        <v>Yes</v>
      </c>
      <c r="Q911">
        <f t="shared" si="127"/>
        <v>10.79</v>
      </c>
      <c r="R911">
        <f t="shared" si="128"/>
        <v>45.16</v>
      </c>
      <c r="S911">
        <f t="shared" si="129"/>
        <v>1.58</v>
      </c>
      <c r="T911" t="str">
        <f t="shared" si="130"/>
        <v>Delayed</v>
      </c>
      <c r="U911" t="str">
        <f t="shared" si="131"/>
        <v>High</v>
      </c>
      <c r="V911" t="str">
        <f t="shared" si="132"/>
        <v>Low Risk</v>
      </c>
      <c r="W911" t="str">
        <f t="shared" si="133"/>
        <v>Nov</v>
      </c>
      <c r="X911">
        <f t="shared" si="134"/>
        <v>2025</v>
      </c>
    </row>
    <row r="912" spans="1:24" x14ac:dyDescent="0.35">
      <c r="A912" s="3">
        <v>45790</v>
      </c>
      <c r="B912" t="s">
        <v>171</v>
      </c>
      <c r="C912" t="s">
        <v>95</v>
      </c>
      <c r="D912" t="s">
        <v>1058</v>
      </c>
      <c r="E912" t="s">
        <v>27</v>
      </c>
      <c r="F912" t="s">
        <v>48</v>
      </c>
      <c r="G912" t="s">
        <v>29</v>
      </c>
      <c r="H912">
        <v>63.2</v>
      </c>
      <c r="I912">
        <v>4201</v>
      </c>
      <c r="J912">
        <v>58</v>
      </c>
      <c r="K912">
        <v>20.8</v>
      </c>
      <c r="L912" t="s">
        <v>30</v>
      </c>
      <c r="M912">
        <v>42805.67</v>
      </c>
      <c r="N912">
        <v>17897</v>
      </c>
      <c r="O912" t="s">
        <v>91</v>
      </c>
      <c r="P912" t="str">
        <f t="shared" si="126"/>
        <v>Yes</v>
      </c>
      <c r="Q912">
        <f t="shared" si="127"/>
        <v>66.47</v>
      </c>
      <c r="R912">
        <f t="shared" si="128"/>
        <v>10.19</v>
      </c>
      <c r="S912">
        <f t="shared" si="129"/>
        <v>2.39</v>
      </c>
      <c r="T912" t="str">
        <f t="shared" si="130"/>
        <v>Delayed</v>
      </c>
      <c r="U912" t="str">
        <f t="shared" si="131"/>
        <v>High</v>
      </c>
      <c r="V912" t="str">
        <f t="shared" si="132"/>
        <v>Medium Risk</v>
      </c>
      <c r="W912" t="str">
        <f t="shared" si="133"/>
        <v>May</v>
      </c>
      <c r="X912">
        <f t="shared" si="134"/>
        <v>2025</v>
      </c>
    </row>
    <row r="913" spans="1:24" x14ac:dyDescent="0.35">
      <c r="A913" s="3">
        <v>45859</v>
      </c>
      <c r="B913" t="s">
        <v>250</v>
      </c>
      <c r="C913" t="s">
        <v>39</v>
      </c>
      <c r="D913" t="s">
        <v>1059</v>
      </c>
      <c r="E913" t="s">
        <v>55</v>
      </c>
      <c r="F913" t="s">
        <v>28</v>
      </c>
      <c r="G913" t="s">
        <v>29</v>
      </c>
      <c r="H913">
        <v>43.9</v>
      </c>
      <c r="I913">
        <v>3393</v>
      </c>
      <c r="J913">
        <v>55</v>
      </c>
      <c r="K913">
        <v>22</v>
      </c>
      <c r="L913" t="s">
        <v>43</v>
      </c>
      <c r="M913">
        <v>21280.41</v>
      </c>
      <c r="N913">
        <v>21453</v>
      </c>
      <c r="O913" t="s">
        <v>84</v>
      </c>
      <c r="P913" t="str">
        <f t="shared" si="126"/>
        <v>Yes</v>
      </c>
      <c r="Q913">
        <f t="shared" si="127"/>
        <v>77.290000000000006</v>
      </c>
      <c r="R913">
        <f t="shared" si="128"/>
        <v>6.27</v>
      </c>
      <c r="S913">
        <f t="shared" si="129"/>
        <v>0.99</v>
      </c>
      <c r="T913" t="str">
        <f t="shared" si="130"/>
        <v>Delayed</v>
      </c>
      <c r="U913" t="str">
        <f t="shared" si="131"/>
        <v>Medium</v>
      </c>
      <c r="V913" t="str">
        <f t="shared" si="132"/>
        <v>Low Risk</v>
      </c>
      <c r="W913" t="str">
        <f t="shared" si="133"/>
        <v>Jul</v>
      </c>
      <c r="X913">
        <f t="shared" si="134"/>
        <v>2025</v>
      </c>
    </row>
    <row r="914" spans="1:24" x14ac:dyDescent="0.35">
      <c r="A914" s="3">
        <v>45771</v>
      </c>
      <c r="B914" t="s">
        <v>24</v>
      </c>
      <c r="C914" t="s">
        <v>52</v>
      </c>
      <c r="D914" t="s">
        <v>1060</v>
      </c>
      <c r="E914" t="s">
        <v>27</v>
      </c>
      <c r="F914" t="s">
        <v>41</v>
      </c>
      <c r="G914" t="s">
        <v>29</v>
      </c>
      <c r="H914">
        <v>43.3</v>
      </c>
      <c r="I914">
        <v>1010</v>
      </c>
      <c r="J914">
        <v>29</v>
      </c>
      <c r="K914">
        <v>11.4</v>
      </c>
      <c r="L914" t="s">
        <v>49</v>
      </c>
      <c r="M914">
        <v>25373.29</v>
      </c>
      <c r="N914">
        <v>26125</v>
      </c>
      <c r="O914" t="s">
        <v>59</v>
      </c>
      <c r="P914" t="str">
        <f t="shared" si="126"/>
        <v>Yes</v>
      </c>
      <c r="Q914">
        <f t="shared" si="127"/>
        <v>23.33</v>
      </c>
      <c r="R914">
        <f t="shared" si="128"/>
        <v>25.12</v>
      </c>
      <c r="S914">
        <f t="shared" si="129"/>
        <v>0.97</v>
      </c>
      <c r="T914" t="str">
        <f t="shared" si="130"/>
        <v>Delayed</v>
      </c>
      <c r="U914" t="str">
        <f t="shared" si="131"/>
        <v>Medium</v>
      </c>
      <c r="V914" t="str">
        <f t="shared" si="132"/>
        <v>High Risk</v>
      </c>
      <c r="W914" t="str">
        <f t="shared" si="133"/>
        <v>Apr</v>
      </c>
      <c r="X914">
        <f t="shared" si="134"/>
        <v>2025</v>
      </c>
    </row>
    <row r="915" spans="1:24" x14ac:dyDescent="0.35">
      <c r="A915" s="3">
        <v>46010</v>
      </c>
      <c r="B915" t="s">
        <v>120</v>
      </c>
      <c r="C915" t="s">
        <v>130</v>
      </c>
      <c r="D915" t="s">
        <v>1061</v>
      </c>
      <c r="E915" t="s">
        <v>66</v>
      </c>
      <c r="F915" t="s">
        <v>41</v>
      </c>
      <c r="G915" t="s">
        <v>35</v>
      </c>
      <c r="H915">
        <v>79.5</v>
      </c>
      <c r="I915">
        <v>1942</v>
      </c>
      <c r="J915">
        <v>99</v>
      </c>
      <c r="K915">
        <v>14.6</v>
      </c>
      <c r="L915" t="s">
        <v>78</v>
      </c>
      <c r="M915">
        <v>40450.629999999997</v>
      </c>
      <c r="N915">
        <v>28264</v>
      </c>
      <c r="O915" t="s">
        <v>31</v>
      </c>
      <c r="P915" t="str">
        <f t="shared" si="126"/>
        <v>No</v>
      </c>
      <c r="Q915">
        <f t="shared" si="127"/>
        <v>24.43</v>
      </c>
      <c r="R915">
        <f t="shared" si="128"/>
        <v>20.83</v>
      </c>
      <c r="S915">
        <f t="shared" si="129"/>
        <v>1.43</v>
      </c>
      <c r="T915" t="str">
        <f t="shared" si="130"/>
        <v>On Time</v>
      </c>
      <c r="U915" t="str">
        <f t="shared" si="131"/>
        <v>High</v>
      </c>
      <c r="V915" t="str">
        <f t="shared" si="132"/>
        <v>Low Risk</v>
      </c>
      <c r="W915" t="str">
        <f t="shared" si="133"/>
        <v>Dec</v>
      </c>
      <c r="X915">
        <f t="shared" si="134"/>
        <v>2025</v>
      </c>
    </row>
    <row r="916" spans="1:24" x14ac:dyDescent="0.35">
      <c r="A916" s="3">
        <v>45706</v>
      </c>
      <c r="B916" t="s">
        <v>125</v>
      </c>
      <c r="C916" t="s">
        <v>95</v>
      </c>
      <c r="D916" t="s">
        <v>1062</v>
      </c>
      <c r="E916" t="s">
        <v>41</v>
      </c>
      <c r="F916" t="s">
        <v>54</v>
      </c>
      <c r="G916" t="s">
        <v>42</v>
      </c>
      <c r="H916">
        <v>54.9</v>
      </c>
      <c r="I916">
        <v>1158</v>
      </c>
      <c r="J916">
        <v>78</v>
      </c>
      <c r="K916">
        <v>15</v>
      </c>
      <c r="L916" t="s">
        <v>30</v>
      </c>
      <c r="M916">
        <v>29855.35</v>
      </c>
      <c r="N916">
        <v>6340</v>
      </c>
      <c r="O916" t="s">
        <v>50</v>
      </c>
      <c r="P916" t="str">
        <f t="shared" si="126"/>
        <v>Yes</v>
      </c>
      <c r="Q916">
        <f t="shared" si="127"/>
        <v>21.09</v>
      </c>
      <c r="R916">
        <f t="shared" si="128"/>
        <v>25.78</v>
      </c>
      <c r="S916">
        <f t="shared" si="129"/>
        <v>4.71</v>
      </c>
      <c r="T916" t="str">
        <f t="shared" si="130"/>
        <v>Delayed</v>
      </c>
      <c r="U916" t="str">
        <f t="shared" si="131"/>
        <v>Medium</v>
      </c>
      <c r="V916" t="str">
        <f t="shared" si="132"/>
        <v>Medium Risk</v>
      </c>
      <c r="W916" t="str">
        <f t="shared" si="133"/>
        <v>Feb</v>
      </c>
      <c r="X916">
        <f t="shared" si="134"/>
        <v>2025</v>
      </c>
    </row>
    <row r="917" spans="1:24" x14ac:dyDescent="0.35">
      <c r="A917" s="3">
        <v>45768</v>
      </c>
      <c r="B917" t="s">
        <v>256</v>
      </c>
      <c r="C917" t="s">
        <v>39</v>
      </c>
      <c r="D917" t="s">
        <v>1063</v>
      </c>
      <c r="E917" t="s">
        <v>66</v>
      </c>
      <c r="F917" t="s">
        <v>48</v>
      </c>
      <c r="G917" t="s">
        <v>42</v>
      </c>
      <c r="H917">
        <v>59.1</v>
      </c>
      <c r="I917">
        <v>3480</v>
      </c>
      <c r="J917">
        <v>86</v>
      </c>
      <c r="K917">
        <v>13.5</v>
      </c>
      <c r="L917" t="s">
        <v>49</v>
      </c>
      <c r="M917">
        <v>28455.9</v>
      </c>
      <c r="N917">
        <v>13765</v>
      </c>
      <c r="O917" t="s">
        <v>91</v>
      </c>
      <c r="P917" t="str">
        <f t="shared" si="126"/>
        <v>Yes</v>
      </c>
      <c r="Q917">
        <f t="shared" si="127"/>
        <v>58.88</v>
      </c>
      <c r="R917">
        <f t="shared" si="128"/>
        <v>8.18</v>
      </c>
      <c r="S917">
        <f t="shared" si="129"/>
        <v>2.0699999999999998</v>
      </c>
      <c r="T917" t="str">
        <f t="shared" si="130"/>
        <v>Delayed</v>
      </c>
      <c r="U917" t="str">
        <f t="shared" si="131"/>
        <v>Medium</v>
      </c>
      <c r="V917" t="str">
        <f t="shared" si="132"/>
        <v>High Risk</v>
      </c>
      <c r="W917" t="str">
        <f t="shared" si="133"/>
        <v>Apr</v>
      </c>
      <c r="X917">
        <f t="shared" si="134"/>
        <v>2025</v>
      </c>
    </row>
    <row r="918" spans="1:24" x14ac:dyDescent="0.35">
      <c r="A918" s="3">
        <v>45663</v>
      </c>
      <c r="B918" t="s">
        <v>195</v>
      </c>
      <c r="C918" t="s">
        <v>25</v>
      </c>
      <c r="D918" t="s">
        <v>1064</v>
      </c>
      <c r="E918" t="s">
        <v>63</v>
      </c>
      <c r="F918" t="s">
        <v>55</v>
      </c>
      <c r="G918" t="s">
        <v>35</v>
      </c>
      <c r="H918">
        <v>75</v>
      </c>
      <c r="I918">
        <v>2743</v>
      </c>
      <c r="J918">
        <v>37</v>
      </c>
      <c r="K918">
        <v>19.100000000000001</v>
      </c>
      <c r="L918" t="s">
        <v>78</v>
      </c>
      <c r="M918">
        <v>38659.370000000003</v>
      </c>
      <c r="N918">
        <v>20323</v>
      </c>
      <c r="O918" t="s">
        <v>91</v>
      </c>
      <c r="P918" t="str">
        <f t="shared" si="126"/>
        <v>No</v>
      </c>
      <c r="Q918">
        <f t="shared" si="127"/>
        <v>36.57</v>
      </c>
      <c r="R918">
        <f t="shared" si="128"/>
        <v>14.09</v>
      </c>
      <c r="S918">
        <f t="shared" si="129"/>
        <v>1.9</v>
      </c>
      <c r="T918" t="str">
        <f t="shared" si="130"/>
        <v>On Time</v>
      </c>
      <c r="U918" t="str">
        <f t="shared" si="131"/>
        <v>High</v>
      </c>
      <c r="V918" t="str">
        <f t="shared" si="132"/>
        <v>Low Risk</v>
      </c>
      <c r="W918" t="str">
        <f t="shared" si="133"/>
        <v>Jan</v>
      </c>
      <c r="X918">
        <f t="shared" si="134"/>
        <v>2025</v>
      </c>
    </row>
    <row r="919" spans="1:24" x14ac:dyDescent="0.35">
      <c r="A919" s="3">
        <v>45864</v>
      </c>
      <c r="B919" t="s">
        <v>92</v>
      </c>
      <c r="C919" t="s">
        <v>57</v>
      </c>
      <c r="D919" t="s">
        <v>1065</v>
      </c>
      <c r="E919" t="s">
        <v>63</v>
      </c>
      <c r="F919" t="s">
        <v>54</v>
      </c>
      <c r="G919" t="s">
        <v>35</v>
      </c>
      <c r="H919">
        <v>28</v>
      </c>
      <c r="I919">
        <v>3510</v>
      </c>
      <c r="J919">
        <v>62</v>
      </c>
      <c r="K919">
        <v>12.9</v>
      </c>
      <c r="L919" t="s">
        <v>49</v>
      </c>
      <c r="M919">
        <v>14850.56</v>
      </c>
      <c r="N919">
        <v>28517</v>
      </c>
      <c r="O919" t="s">
        <v>59</v>
      </c>
      <c r="P919" t="str">
        <f t="shared" si="126"/>
        <v>Yes</v>
      </c>
      <c r="Q919">
        <f t="shared" si="127"/>
        <v>125.36</v>
      </c>
      <c r="R919">
        <f t="shared" si="128"/>
        <v>4.2300000000000004</v>
      </c>
      <c r="S919">
        <f t="shared" si="129"/>
        <v>0.52</v>
      </c>
      <c r="T919" t="str">
        <f t="shared" si="130"/>
        <v>Delayed</v>
      </c>
      <c r="U919" t="str">
        <f t="shared" si="131"/>
        <v>Low</v>
      </c>
      <c r="V919" t="str">
        <f t="shared" si="132"/>
        <v>High Risk</v>
      </c>
      <c r="W919" t="str">
        <f t="shared" si="133"/>
        <v>Jul</v>
      </c>
      <c r="X919">
        <f t="shared" si="134"/>
        <v>2025</v>
      </c>
    </row>
    <row r="920" spans="1:24" x14ac:dyDescent="0.35">
      <c r="A920" s="3">
        <v>45728</v>
      </c>
      <c r="B920" t="s">
        <v>120</v>
      </c>
      <c r="C920" t="s">
        <v>39</v>
      </c>
      <c r="D920" t="s">
        <v>1066</v>
      </c>
      <c r="E920" t="s">
        <v>41</v>
      </c>
      <c r="F920" t="s">
        <v>27</v>
      </c>
      <c r="G920" t="s">
        <v>29</v>
      </c>
      <c r="H920">
        <v>32.200000000000003</v>
      </c>
      <c r="I920">
        <v>3076</v>
      </c>
      <c r="J920">
        <v>48</v>
      </c>
      <c r="K920">
        <v>16.899999999999999</v>
      </c>
      <c r="L920" t="s">
        <v>30</v>
      </c>
      <c r="M920">
        <v>18581.169999999998</v>
      </c>
      <c r="N920">
        <v>7628</v>
      </c>
      <c r="O920" t="s">
        <v>84</v>
      </c>
      <c r="P920" t="str">
        <f t="shared" si="126"/>
        <v>Yes</v>
      </c>
      <c r="Q920">
        <f t="shared" si="127"/>
        <v>95.53</v>
      </c>
      <c r="R920">
        <f t="shared" si="128"/>
        <v>6.04</v>
      </c>
      <c r="S920">
        <f t="shared" si="129"/>
        <v>2.44</v>
      </c>
      <c r="T920" t="str">
        <f t="shared" si="130"/>
        <v>Delayed</v>
      </c>
      <c r="U920" t="str">
        <f t="shared" si="131"/>
        <v>Low</v>
      </c>
      <c r="V920" t="str">
        <f t="shared" si="132"/>
        <v>Medium Risk</v>
      </c>
      <c r="W920" t="str">
        <f t="shared" si="133"/>
        <v>Mar</v>
      </c>
      <c r="X920">
        <f t="shared" si="134"/>
        <v>2025</v>
      </c>
    </row>
    <row r="921" spans="1:24" x14ac:dyDescent="0.35">
      <c r="A921" s="3">
        <v>45930</v>
      </c>
      <c r="B921" t="s">
        <v>61</v>
      </c>
      <c r="C921" t="s">
        <v>52</v>
      </c>
      <c r="D921" t="s">
        <v>1067</v>
      </c>
      <c r="E921" t="s">
        <v>27</v>
      </c>
      <c r="F921" t="s">
        <v>41</v>
      </c>
      <c r="G921" t="s">
        <v>42</v>
      </c>
      <c r="H921">
        <v>46.4</v>
      </c>
      <c r="I921">
        <v>4767</v>
      </c>
      <c r="J921">
        <v>96</v>
      </c>
      <c r="K921">
        <v>18.600000000000001</v>
      </c>
      <c r="L921" t="s">
        <v>78</v>
      </c>
      <c r="M921">
        <v>27391.51</v>
      </c>
      <c r="N921">
        <v>24101</v>
      </c>
      <c r="O921" t="s">
        <v>84</v>
      </c>
      <c r="P921" t="str">
        <f t="shared" si="126"/>
        <v>No</v>
      </c>
      <c r="Q921">
        <f t="shared" si="127"/>
        <v>102.74</v>
      </c>
      <c r="R921">
        <f t="shared" si="128"/>
        <v>5.75</v>
      </c>
      <c r="S921">
        <f t="shared" si="129"/>
        <v>1.1399999999999999</v>
      </c>
      <c r="T921" t="str">
        <f t="shared" si="130"/>
        <v>On Time</v>
      </c>
      <c r="U921" t="str">
        <f t="shared" si="131"/>
        <v>Medium</v>
      </c>
      <c r="V921" t="str">
        <f t="shared" si="132"/>
        <v>Low Risk</v>
      </c>
      <c r="W921" t="str">
        <f t="shared" si="133"/>
        <v>Sep</v>
      </c>
      <c r="X921">
        <f t="shared" si="134"/>
        <v>2025</v>
      </c>
    </row>
    <row r="922" spans="1:24" x14ac:dyDescent="0.35">
      <c r="A922" s="3">
        <v>45779</v>
      </c>
      <c r="B922" t="s">
        <v>193</v>
      </c>
      <c r="C922" t="s">
        <v>69</v>
      </c>
      <c r="D922" t="s">
        <v>1068</v>
      </c>
      <c r="E922" t="s">
        <v>27</v>
      </c>
      <c r="F922" t="s">
        <v>48</v>
      </c>
      <c r="G922" t="s">
        <v>71</v>
      </c>
      <c r="H922">
        <v>30.7</v>
      </c>
      <c r="I922">
        <v>1823</v>
      </c>
      <c r="J922">
        <v>111</v>
      </c>
      <c r="K922">
        <v>11</v>
      </c>
      <c r="L922" t="s">
        <v>49</v>
      </c>
      <c r="M922">
        <v>13864.53</v>
      </c>
      <c r="N922">
        <v>14952</v>
      </c>
      <c r="O922" t="s">
        <v>44</v>
      </c>
      <c r="P922" t="str">
        <f t="shared" si="126"/>
        <v>Yes</v>
      </c>
      <c r="Q922">
        <f t="shared" si="127"/>
        <v>59.38</v>
      </c>
      <c r="R922">
        <f t="shared" si="128"/>
        <v>7.61</v>
      </c>
      <c r="S922">
        <f t="shared" si="129"/>
        <v>0.93</v>
      </c>
      <c r="T922" t="str">
        <f t="shared" si="130"/>
        <v>Delayed</v>
      </c>
      <c r="U922" t="str">
        <f t="shared" si="131"/>
        <v>Low</v>
      </c>
      <c r="V922" t="str">
        <f t="shared" si="132"/>
        <v>High Risk</v>
      </c>
      <c r="W922" t="str">
        <f t="shared" si="133"/>
        <v>May</v>
      </c>
      <c r="X922">
        <f t="shared" si="134"/>
        <v>2025</v>
      </c>
    </row>
    <row r="923" spans="1:24" x14ac:dyDescent="0.35">
      <c r="A923" s="3">
        <v>45760</v>
      </c>
      <c r="B923" t="s">
        <v>76</v>
      </c>
      <c r="C923" t="s">
        <v>39</v>
      </c>
      <c r="D923" t="s">
        <v>1069</v>
      </c>
      <c r="E923" t="s">
        <v>28</v>
      </c>
      <c r="F923" t="s">
        <v>66</v>
      </c>
      <c r="G923" t="s">
        <v>71</v>
      </c>
      <c r="H923">
        <v>79.3</v>
      </c>
      <c r="I923">
        <v>4366</v>
      </c>
      <c r="J923">
        <v>54</v>
      </c>
      <c r="K923">
        <v>10.1</v>
      </c>
      <c r="L923" t="s">
        <v>43</v>
      </c>
      <c r="M923">
        <v>55026.400000000001</v>
      </c>
      <c r="N923">
        <v>7461</v>
      </c>
      <c r="O923" t="s">
        <v>44</v>
      </c>
      <c r="P923" t="str">
        <f t="shared" si="126"/>
        <v>Yes</v>
      </c>
      <c r="Q923">
        <f t="shared" si="127"/>
        <v>55.06</v>
      </c>
      <c r="R923">
        <f t="shared" si="128"/>
        <v>12.6</v>
      </c>
      <c r="S923">
        <f t="shared" si="129"/>
        <v>7.38</v>
      </c>
      <c r="T923" t="str">
        <f t="shared" si="130"/>
        <v>Delayed</v>
      </c>
      <c r="U923" t="str">
        <f t="shared" si="131"/>
        <v>High</v>
      </c>
      <c r="V923" t="str">
        <f t="shared" si="132"/>
        <v>Low Risk</v>
      </c>
      <c r="W923" t="str">
        <f t="shared" si="133"/>
        <v>Apr</v>
      </c>
      <c r="X923">
        <f t="shared" si="134"/>
        <v>2025</v>
      </c>
    </row>
    <row r="924" spans="1:24" x14ac:dyDescent="0.35">
      <c r="A924" s="3">
        <v>45778</v>
      </c>
      <c r="B924" t="s">
        <v>46</v>
      </c>
      <c r="C924" t="s">
        <v>109</v>
      </c>
      <c r="D924" t="s">
        <v>1070</v>
      </c>
      <c r="E924" t="s">
        <v>48</v>
      </c>
      <c r="F924" t="s">
        <v>66</v>
      </c>
      <c r="G924" t="s">
        <v>35</v>
      </c>
      <c r="H924">
        <v>62.7</v>
      </c>
      <c r="I924">
        <v>4906</v>
      </c>
      <c r="J924">
        <v>21</v>
      </c>
      <c r="K924">
        <v>15.3</v>
      </c>
      <c r="L924" t="s">
        <v>49</v>
      </c>
      <c r="M924">
        <v>33758.49</v>
      </c>
      <c r="N924">
        <v>26452</v>
      </c>
      <c r="O924" t="s">
        <v>84</v>
      </c>
      <c r="P924" t="str">
        <f t="shared" si="126"/>
        <v>Yes</v>
      </c>
      <c r="Q924">
        <f t="shared" si="127"/>
        <v>78.25</v>
      </c>
      <c r="R924">
        <f t="shared" si="128"/>
        <v>6.88</v>
      </c>
      <c r="S924">
        <f t="shared" si="129"/>
        <v>1.28</v>
      </c>
      <c r="T924" t="str">
        <f t="shared" si="130"/>
        <v>Delayed</v>
      </c>
      <c r="U924" t="str">
        <f t="shared" si="131"/>
        <v>High</v>
      </c>
      <c r="V924" t="str">
        <f t="shared" si="132"/>
        <v>High Risk</v>
      </c>
      <c r="W924" t="str">
        <f t="shared" si="133"/>
        <v>May</v>
      </c>
      <c r="X924">
        <f t="shared" si="134"/>
        <v>2025</v>
      </c>
    </row>
    <row r="925" spans="1:24" x14ac:dyDescent="0.35">
      <c r="A925" s="3">
        <v>45866</v>
      </c>
      <c r="B925" t="s">
        <v>92</v>
      </c>
      <c r="C925" t="s">
        <v>69</v>
      </c>
      <c r="D925" t="s">
        <v>1071</v>
      </c>
      <c r="E925" t="s">
        <v>55</v>
      </c>
      <c r="F925" t="s">
        <v>54</v>
      </c>
      <c r="G925" t="s">
        <v>71</v>
      </c>
      <c r="H925">
        <v>54.1</v>
      </c>
      <c r="I925">
        <v>1086</v>
      </c>
      <c r="J925">
        <v>60</v>
      </c>
      <c r="K925">
        <v>18.600000000000001</v>
      </c>
      <c r="L925" t="s">
        <v>78</v>
      </c>
      <c r="M925">
        <v>35629.08</v>
      </c>
      <c r="N925">
        <v>9684</v>
      </c>
      <c r="O925" t="s">
        <v>44</v>
      </c>
      <c r="P925" t="str">
        <f t="shared" si="126"/>
        <v>No</v>
      </c>
      <c r="Q925">
        <f t="shared" si="127"/>
        <v>20.07</v>
      </c>
      <c r="R925">
        <f t="shared" si="128"/>
        <v>32.81</v>
      </c>
      <c r="S925">
        <f t="shared" si="129"/>
        <v>3.68</v>
      </c>
      <c r="T925" t="str">
        <f t="shared" si="130"/>
        <v>On Time</v>
      </c>
      <c r="U925" t="str">
        <f t="shared" si="131"/>
        <v>Medium</v>
      </c>
      <c r="V925" t="str">
        <f t="shared" si="132"/>
        <v>Low Risk</v>
      </c>
      <c r="W925" t="str">
        <f t="shared" si="133"/>
        <v>Jul</v>
      </c>
      <c r="X925">
        <f t="shared" si="134"/>
        <v>2025</v>
      </c>
    </row>
    <row r="926" spans="1:24" x14ac:dyDescent="0.35">
      <c r="A926" s="3">
        <v>45867</v>
      </c>
      <c r="B926" t="s">
        <v>68</v>
      </c>
      <c r="C926" t="s">
        <v>109</v>
      </c>
      <c r="D926" t="s">
        <v>1072</v>
      </c>
      <c r="E926" t="s">
        <v>55</v>
      </c>
      <c r="F926" t="s">
        <v>41</v>
      </c>
      <c r="G926" t="s">
        <v>42</v>
      </c>
      <c r="H926">
        <v>73.3</v>
      </c>
      <c r="I926">
        <v>955</v>
      </c>
      <c r="J926">
        <v>83</v>
      </c>
      <c r="K926">
        <v>17.5</v>
      </c>
      <c r="L926" t="s">
        <v>49</v>
      </c>
      <c r="M926">
        <v>42928.7</v>
      </c>
      <c r="N926">
        <v>27233</v>
      </c>
      <c r="O926" t="s">
        <v>44</v>
      </c>
      <c r="P926" t="str">
        <f t="shared" si="126"/>
        <v>Yes</v>
      </c>
      <c r="Q926">
        <f t="shared" si="127"/>
        <v>13.03</v>
      </c>
      <c r="R926">
        <f t="shared" si="128"/>
        <v>44.95</v>
      </c>
      <c r="S926">
        <f t="shared" si="129"/>
        <v>1.58</v>
      </c>
      <c r="T926" t="str">
        <f t="shared" si="130"/>
        <v>Delayed</v>
      </c>
      <c r="U926" t="str">
        <f t="shared" si="131"/>
        <v>High</v>
      </c>
      <c r="V926" t="str">
        <f t="shared" si="132"/>
        <v>High Risk</v>
      </c>
      <c r="W926" t="str">
        <f t="shared" si="133"/>
        <v>Jul</v>
      </c>
      <c r="X926">
        <f t="shared" si="134"/>
        <v>2025</v>
      </c>
    </row>
    <row r="927" spans="1:24" x14ac:dyDescent="0.35">
      <c r="A927" s="3">
        <v>45921</v>
      </c>
      <c r="B927" t="s">
        <v>118</v>
      </c>
      <c r="C927" t="s">
        <v>39</v>
      </c>
      <c r="D927" t="s">
        <v>1073</v>
      </c>
      <c r="E927" t="s">
        <v>27</v>
      </c>
      <c r="F927" t="s">
        <v>41</v>
      </c>
      <c r="G927" t="s">
        <v>42</v>
      </c>
      <c r="H927">
        <v>72.400000000000006</v>
      </c>
      <c r="I927">
        <v>2003</v>
      </c>
      <c r="J927">
        <v>50</v>
      </c>
      <c r="K927">
        <v>11.5</v>
      </c>
      <c r="L927" t="s">
        <v>49</v>
      </c>
      <c r="M927">
        <v>46376.14</v>
      </c>
      <c r="N927">
        <v>26471</v>
      </c>
      <c r="O927" t="s">
        <v>31</v>
      </c>
      <c r="P927" t="str">
        <f t="shared" si="126"/>
        <v>Yes</v>
      </c>
      <c r="Q927">
        <f t="shared" si="127"/>
        <v>27.67</v>
      </c>
      <c r="R927">
        <f t="shared" si="128"/>
        <v>23.15</v>
      </c>
      <c r="S927">
        <f t="shared" si="129"/>
        <v>1.75</v>
      </c>
      <c r="T927" t="str">
        <f t="shared" si="130"/>
        <v>Delayed</v>
      </c>
      <c r="U927" t="str">
        <f t="shared" si="131"/>
        <v>High</v>
      </c>
      <c r="V927" t="str">
        <f t="shared" si="132"/>
        <v>High Risk</v>
      </c>
      <c r="W927" t="str">
        <f t="shared" si="133"/>
        <v>Sep</v>
      </c>
      <c r="X927">
        <f t="shared" si="134"/>
        <v>2025</v>
      </c>
    </row>
    <row r="928" spans="1:24" x14ac:dyDescent="0.35">
      <c r="A928" s="3">
        <v>45747</v>
      </c>
      <c r="B928" t="s">
        <v>24</v>
      </c>
      <c r="C928" t="s">
        <v>69</v>
      </c>
      <c r="D928" t="s">
        <v>1074</v>
      </c>
      <c r="E928" t="s">
        <v>63</v>
      </c>
      <c r="F928" t="s">
        <v>41</v>
      </c>
      <c r="G928" t="s">
        <v>35</v>
      </c>
      <c r="H928">
        <v>45.4</v>
      </c>
      <c r="I928">
        <v>4449</v>
      </c>
      <c r="J928">
        <v>120</v>
      </c>
      <c r="K928">
        <v>15.6</v>
      </c>
      <c r="L928" t="s">
        <v>43</v>
      </c>
      <c r="M928">
        <v>27849.86</v>
      </c>
      <c r="N928">
        <v>6745</v>
      </c>
      <c r="O928" t="s">
        <v>59</v>
      </c>
      <c r="P928" t="str">
        <f t="shared" si="126"/>
        <v>Yes</v>
      </c>
      <c r="Q928">
        <f t="shared" si="127"/>
        <v>98</v>
      </c>
      <c r="R928">
        <f t="shared" si="128"/>
        <v>6.26</v>
      </c>
      <c r="S928">
        <f t="shared" si="129"/>
        <v>4.13</v>
      </c>
      <c r="T928" t="str">
        <f t="shared" si="130"/>
        <v>Delayed</v>
      </c>
      <c r="U928" t="str">
        <f t="shared" si="131"/>
        <v>Medium</v>
      </c>
      <c r="V928" t="str">
        <f t="shared" si="132"/>
        <v>Low Risk</v>
      </c>
      <c r="W928" t="str">
        <f t="shared" si="133"/>
        <v>Mar</v>
      </c>
      <c r="X928">
        <f t="shared" si="134"/>
        <v>2025</v>
      </c>
    </row>
    <row r="929" spans="1:24" x14ac:dyDescent="0.35">
      <c r="A929" s="3">
        <v>45705</v>
      </c>
      <c r="B929" t="s">
        <v>127</v>
      </c>
      <c r="C929" t="s">
        <v>95</v>
      </c>
      <c r="D929" t="s">
        <v>1075</v>
      </c>
      <c r="E929" t="s">
        <v>28</v>
      </c>
      <c r="F929" t="s">
        <v>63</v>
      </c>
      <c r="G929" t="s">
        <v>71</v>
      </c>
      <c r="H929">
        <v>56.1</v>
      </c>
      <c r="I929">
        <v>1014</v>
      </c>
      <c r="J929">
        <v>94</v>
      </c>
      <c r="K929">
        <v>12</v>
      </c>
      <c r="L929" t="s">
        <v>43</v>
      </c>
      <c r="M929">
        <v>27894.85</v>
      </c>
      <c r="N929">
        <v>15120</v>
      </c>
      <c r="O929" t="s">
        <v>31</v>
      </c>
      <c r="P929" t="str">
        <f t="shared" si="126"/>
        <v>Yes</v>
      </c>
      <c r="Q929">
        <f t="shared" si="127"/>
        <v>18.07</v>
      </c>
      <c r="R929">
        <f t="shared" si="128"/>
        <v>27.51</v>
      </c>
      <c r="S929">
        <f t="shared" si="129"/>
        <v>1.84</v>
      </c>
      <c r="T929" t="str">
        <f t="shared" si="130"/>
        <v>Delayed</v>
      </c>
      <c r="U929" t="str">
        <f t="shared" si="131"/>
        <v>Medium</v>
      </c>
      <c r="V929" t="str">
        <f t="shared" si="132"/>
        <v>Low Risk</v>
      </c>
      <c r="W929" t="str">
        <f t="shared" si="133"/>
        <v>Feb</v>
      </c>
      <c r="X929">
        <f t="shared" si="134"/>
        <v>2025</v>
      </c>
    </row>
    <row r="930" spans="1:24" x14ac:dyDescent="0.35">
      <c r="A930" s="3">
        <v>45796</v>
      </c>
      <c r="B930" t="s">
        <v>87</v>
      </c>
      <c r="C930" t="s">
        <v>109</v>
      </c>
      <c r="D930" t="s">
        <v>1076</v>
      </c>
      <c r="E930" t="s">
        <v>28</v>
      </c>
      <c r="F930" t="s">
        <v>27</v>
      </c>
      <c r="G930" t="s">
        <v>29</v>
      </c>
      <c r="H930">
        <v>59.6</v>
      </c>
      <c r="I930">
        <v>3401</v>
      </c>
      <c r="J930">
        <v>72</v>
      </c>
      <c r="K930">
        <v>11.1</v>
      </c>
      <c r="L930" t="s">
        <v>49</v>
      </c>
      <c r="M930">
        <v>32966.81</v>
      </c>
      <c r="N930">
        <v>14202</v>
      </c>
      <c r="O930" t="s">
        <v>31</v>
      </c>
      <c r="P930" t="str">
        <f t="shared" si="126"/>
        <v>Yes</v>
      </c>
      <c r="Q930">
        <f t="shared" si="127"/>
        <v>57.06</v>
      </c>
      <c r="R930">
        <f t="shared" si="128"/>
        <v>9.69</v>
      </c>
      <c r="S930">
        <f t="shared" si="129"/>
        <v>2.3199999999999998</v>
      </c>
      <c r="T930" t="str">
        <f t="shared" si="130"/>
        <v>Delayed</v>
      </c>
      <c r="U930" t="str">
        <f t="shared" si="131"/>
        <v>Medium</v>
      </c>
      <c r="V930" t="str">
        <f t="shared" si="132"/>
        <v>High Risk</v>
      </c>
      <c r="W930" t="str">
        <f t="shared" si="133"/>
        <v>May</v>
      </c>
      <c r="X930">
        <f t="shared" si="134"/>
        <v>2025</v>
      </c>
    </row>
    <row r="931" spans="1:24" x14ac:dyDescent="0.35">
      <c r="A931" s="3">
        <v>45784</v>
      </c>
      <c r="B931" t="s">
        <v>125</v>
      </c>
      <c r="C931" t="s">
        <v>109</v>
      </c>
      <c r="D931" t="s">
        <v>1077</v>
      </c>
      <c r="E931" t="s">
        <v>28</v>
      </c>
      <c r="F931" t="s">
        <v>63</v>
      </c>
      <c r="G931" t="s">
        <v>42</v>
      </c>
      <c r="H931">
        <v>64.599999999999994</v>
      </c>
      <c r="I931">
        <v>911</v>
      </c>
      <c r="J931">
        <v>49</v>
      </c>
      <c r="K931">
        <v>20.7</v>
      </c>
      <c r="L931" t="s">
        <v>49</v>
      </c>
      <c r="M931">
        <v>34366.65</v>
      </c>
      <c r="N931">
        <v>10370</v>
      </c>
      <c r="O931" t="s">
        <v>91</v>
      </c>
      <c r="P931" t="str">
        <f t="shared" si="126"/>
        <v>Yes</v>
      </c>
      <c r="Q931">
        <f t="shared" si="127"/>
        <v>14.1</v>
      </c>
      <c r="R931">
        <f t="shared" si="128"/>
        <v>37.72</v>
      </c>
      <c r="S931">
        <f t="shared" si="129"/>
        <v>3.31</v>
      </c>
      <c r="T931" t="str">
        <f t="shared" si="130"/>
        <v>Delayed</v>
      </c>
      <c r="U931" t="str">
        <f t="shared" si="131"/>
        <v>High</v>
      </c>
      <c r="V931" t="str">
        <f t="shared" si="132"/>
        <v>High Risk</v>
      </c>
      <c r="W931" t="str">
        <f t="shared" si="133"/>
        <v>May</v>
      </c>
      <c r="X931">
        <f t="shared" si="134"/>
        <v>2025</v>
      </c>
    </row>
    <row r="932" spans="1:24" x14ac:dyDescent="0.35">
      <c r="A932" s="3">
        <v>45836</v>
      </c>
      <c r="B932" t="s">
        <v>56</v>
      </c>
      <c r="C932" t="s">
        <v>52</v>
      </c>
      <c r="D932" t="s">
        <v>1078</v>
      </c>
      <c r="E932" t="s">
        <v>27</v>
      </c>
      <c r="F932" t="s">
        <v>66</v>
      </c>
      <c r="G932" t="s">
        <v>42</v>
      </c>
      <c r="H932">
        <v>20.5</v>
      </c>
      <c r="I932">
        <v>2197</v>
      </c>
      <c r="J932">
        <v>69</v>
      </c>
      <c r="K932">
        <v>11.1</v>
      </c>
      <c r="L932" t="s">
        <v>30</v>
      </c>
      <c r="M932">
        <v>10770.22</v>
      </c>
      <c r="N932">
        <v>8487</v>
      </c>
      <c r="O932" t="s">
        <v>31</v>
      </c>
      <c r="P932" t="str">
        <f t="shared" si="126"/>
        <v>Yes</v>
      </c>
      <c r="Q932">
        <f t="shared" si="127"/>
        <v>107.17</v>
      </c>
      <c r="R932">
        <f t="shared" si="128"/>
        <v>4.9000000000000004</v>
      </c>
      <c r="S932">
        <f t="shared" si="129"/>
        <v>1.27</v>
      </c>
      <c r="T932" t="str">
        <f t="shared" si="130"/>
        <v>Delayed</v>
      </c>
      <c r="U932" t="str">
        <f t="shared" si="131"/>
        <v>Low</v>
      </c>
      <c r="V932" t="str">
        <f t="shared" si="132"/>
        <v>Medium Risk</v>
      </c>
      <c r="W932" t="str">
        <f t="shared" si="133"/>
        <v>Jun</v>
      </c>
      <c r="X932">
        <f t="shared" si="134"/>
        <v>2025</v>
      </c>
    </row>
    <row r="933" spans="1:24" x14ac:dyDescent="0.35">
      <c r="A933" s="3">
        <v>45752</v>
      </c>
      <c r="B933" t="s">
        <v>76</v>
      </c>
      <c r="C933" t="s">
        <v>69</v>
      </c>
      <c r="D933" t="s">
        <v>1079</v>
      </c>
      <c r="E933" t="s">
        <v>28</v>
      </c>
      <c r="F933" t="s">
        <v>55</v>
      </c>
      <c r="G933" t="s">
        <v>35</v>
      </c>
      <c r="H933">
        <v>40</v>
      </c>
      <c r="I933">
        <v>1278</v>
      </c>
      <c r="J933">
        <v>78</v>
      </c>
      <c r="K933">
        <v>16.399999999999999</v>
      </c>
      <c r="L933" t="s">
        <v>78</v>
      </c>
      <c r="M933">
        <v>20857.75</v>
      </c>
      <c r="N933">
        <v>11733</v>
      </c>
      <c r="O933" t="s">
        <v>84</v>
      </c>
      <c r="P933" t="str">
        <f t="shared" si="126"/>
        <v>No</v>
      </c>
      <c r="Q933">
        <f t="shared" si="127"/>
        <v>31.95</v>
      </c>
      <c r="R933">
        <f t="shared" si="128"/>
        <v>16.32</v>
      </c>
      <c r="S933">
        <f t="shared" si="129"/>
        <v>1.78</v>
      </c>
      <c r="T933" t="str">
        <f t="shared" si="130"/>
        <v>On Time</v>
      </c>
      <c r="U933" t="str">
        <f t="shared" si="131"/>
        <v>Medium</v>
      </c>
      <c r="V933" t="str">
        <f t="shared" si="132"/>
        <v>Low Risk</v>
      </c>
      <c r="W933" t="str">
        <f t="shared" si="133"/>
        <v>Apr</v>
      </c>
      <c r="X933">
        <f t="shared" si="134"/>
        <v>2025</v>
      </c>
    </row>
    <row r="934" spans="1:24" x14ac:dyDescent="0.35">
      <c r="A934" s="3">
        <v>45705</v>
      </c>
      <c r="B934" t="s">
        <v>171</v>
      </c>
      <c r="C934" t="s">
        <v>95</v>
      </c>
      <c r="D934" t="s">
        <v>1080</v>
      </c>
      <c r="E934" t="s">
        <v>28</v>
      </c>
      <c r="F934" t="s">
        <v>63</v>
      </c>
      <c r="G934" t="s">
        <v>71</v>
      </c>
      <c r="H934">
        <v>37.799999999999997</v>
      </c>
      <c r="I934">
        <v>4799</v>
      </c>
      <c r="J934">
        <v>73</v>
      </c>
      <c r="K934">
        <v>18.600000000000001</v>
      </c>
      <c r="L934" t="s">
        <v>30</v>
      </c>
      <c r="M934">
        <v>21949.52</v>
      </c>
      <c r="N934">
        <v>24897</v>
      </c>
      <c r="O934" t="s">
        <v>44</v>
      </c>
      <c r="P934" t="str">
        <f t="shared" si="126"/>
        <v>Yes</v>
      </c>
      <c r="Q934">
        <f t="shared" si="127"/>
        <v>126.96</v>
      </c>
      <c r="R934">
        <f t="shared" si="128"/>
        <v>4.57</v>
      </c>
      <c r="S934">
        <f t="shared" si="129"/>
        <v>0.88</v>
      </c>
      <c r="T934" t="str">
        <f t="shared" si="130"/>
        <v>Delayed</v>
      </c>
      <c r="U934" t="str">
        <f t="shared" si="131"/>
        <v>Low</v>
      </c>
      <c r="V934" t="str">
        <f t="shared" si="132"/>
        <v>Medium Risk</v>
      </c>
      <c r="W934" t="str">
        <f t="shared" si="133"/>
        <v>Feb</v>
      </c>
      <c r="X934">
        <f t="shared" si="134"/>
        <v>2025</v>
      </c>
    </row>
    <row r="935" spans="1:24" x14ac:dyDescent="0.35">
      <c r="A935" s="3">
        <v>45702</v>
      </c>
      <c r="B935" t="s">
        <v>366</v>
      </c>
      <c r="C935" t="s">
        <v>130</v>
      </c>
      <c r="D935" t="s">
        <v>1081</v>
      </c>
      <c r="E935" t="s">
        <v>27</v>
      </c>
      <c r="F935" t="s">
        <v>41</v>
      </c>
      <c r="G935" t="s">
        <v>71</v>
      </c>
      <c r="H935">
        <v>39.200000000000003</v>
      </c>
      <c r="I935">
        <v>4107</v>
      </c>
      <c r="J935">
        <v>115</v>
      </c>
      <c r="K935">
        <v>15.6</v>
      </c>
      <c r="L935" t="s">
        <v>78</v>
      </c>
      <c r="M935">
        <v>27092.639999999999</v>
      </c>
      <c r="N935">
        <v>15872</v>
      </c>
      <c r="O935" t="s">
        <v>31</v>
      </c>
      <c r="P935" t="str">
        <f t="shared" si="126"/>
        <v>No</v>
      </c>
      <c r="Q935">
        <f t="shared" si="127"/>
        <v>104.77</v>
      </c>
      <c r="R935">
        <f t="shared" si="128"/>
        <v>6.6</v>
      </c>
      <c r="S935">
        <f t="shared" si="129"/>
        <v>1.71</v>
      </c>
      <c r="T935" t="str">
        <f t="shared" si="130"/>
        <v>On Time</v>
      </c>
      <c r="U935" t="str">
        <f t="shared" si="131"/>
        <v>Low</v>
      </c>
      <c r="V935" t="str">
        <f t="shared" si="132"/>
        <v>Low Risk</v>
      </c>
      <c r="W935" t="str">
        <f t="shared" si="133"/>
        <v>Feb</v>
      </c>
      <c r="X935">
        <f t="shared" si="134"/>
        <v>2025</v>
      </c>
    </row>
    <row r="936" spans="1:24" x14ac:dyDescent="0.35">
      <c r="A936" s="3">
        <v>45853</v>
      </c>
      <c r="B936" t="s">
        <v>203</v>
      </c>
      <c r="C936" t="s">
        <v>39</v>
      </c>
      <c r="D936" t="s">
        <v>1082</v>
      </c>
      <c r="E936" t="s">
        <v>27</v>
      </c>
      <c r="F936" t="s">
        <v>41</v>
      </c>
      <c r="G936" t="s">
        <v>29</v>
      </c>
      <c r="H936">
        <v>73.3</v>
      </c>
      <c r="I936">
        <v>3936</v>
      </c>
      <c r="J936">
        <v>78</v>
      </c>
      <c r="K936">
        <v>11.6</v>
      </c>
      <c r="L936" t="s">
        <v>43</v>
      </c>
      <c r="M936">
        <v>41988.07</v>
      </c>
      <c r="N936">
        <v>20611</v>
      </c>
      <c r="O936" t="s">
        <v>31</v>
      </c>
      <c r="P936" t="str">
        <f t="shared" si="126"/>
        <v>Yes</v>
      </c>
      <c r="Q936">
        <f t="shared" si="127"/>
        <v>53.7</v>
      </c>
      <c r="R936">
        <f t="shared" si="128"/>
        <v>10.67</v>
      </c>
      <c r="S936">
        <f t="shared" si="129"/>
        <v>2.04</v>
      </c>
      <c r="T936" t="str">
        <f t="shared" si="130"/>
        <v>Delayed</v>
      </c>
      <c r="U936" t="str">
        <f t="shared" si="131"/>
        <v>High</v>
      </c>
      <c r="V936" t="str">
        <f t="shared" si="132"/>
        <v>Low Risk</v>
      </c>
      <c r="W936" t="str">
        <f t="shared" si="133"/>
        <v>Jul</v>
      </c>
      <c r="X936">
        <f t="shared" si="134"/>
        <v>2025</v>
      </c>
    </row>
    <row r="937" spans="1:24" x14ac:dyDescent="0.35">
      <c r="A937" s="3">
        <v>45772</v>
      </c>
      <c r="B937" t="s">
        <v>139</v>
      </c>
      <c r="C937" t="s">
        <v>52</v>
      </c>
      <c r="D937" t="s">
        <v>1083</v>
      </c>
      <c r="E937" t="s">
        <v>55</v>
      </c>
      <c r="F937" t="s">
        <v>28</v>
      </c>
      <c r="G937" t="s">
        <v>35</v>
      </c>
      <c r="H937">
        <v>78.599999999999994</v>
      </c>
      <c r="I937">
        <v>4665</v>
      </c>
      <c r="J937">
        <v>72</v>
      </c>
      <c r="K937">
        <v>16.3</v>
      </c>
      <c r="L937" t="s">
        <v>43</v>
      </c>
      <c r="M937">
        <v>39300.870000000003</v>
      </c>
      <c r="N937">
        <v>26651</v>
      </c>
      <c r="O937" t="s">
        <v>67</v>
      </c>
      <c r="P937" t="str">
        <f t="shared" si="126"/>
        <v>Yes</v>
      </c>
      <c r="Q937">
        <f t="shared" si="127"/>
        <v>59.35</v>
      </c>
      <c r="R937">
        <f t="shared" si="128"/>
        <v>8.42</v>
      </c>
      <c r="S937">
        <f t="shared" si="129"/>
        <v>1.47</v>
      </c>
      <c r="T937" t="str">
        <f t="shared" si="130"/>
        <v>Delayed</v>
      </c>
      <c r="U937" t="str">
        <f t="shared" si="131"/>
        <v>High</v>
      </c>
      <c r="V937" t="str">
        <f t="shared" si="132"/>
        <v>Low Risk</v>
      </c>
      <c r="W937" t="str">
        <f t="shared" si="133"/>
        <v>Apr</v>
      </c>
      <c r="X937">
        <f t="shared" si="134"/>
        <v>2025</v>
      </c>
    </row>
    <row r="938" spans="1:24" x14ac:dyDescent="0.35">
      <c r="A938" s="3">
        <v>45747</v>
      </c>
      <c r="B938" t="s">
        <v>221</v>
      </c>
      <c r="C938" t="s">
        <v>25</v>
      </c>
      <c r="D938" t="s">
        <v>1084</v>
      </c>
      <c r="E938" t="s">
        <v>54</v>
      </c>
      <c r="F938" t="s">
        <v>48</v>
      </c>
      <c r="G938" t="s">
        <v>35</v>
      </c>
      <c r="H938">
        <v>68.400000000000006</v>
      </c>
      <c r="I938">
        <v>3994</v>
      </c>
      <c r="J938">
        <v>75</v>
      </c>
      <c r="K938">
        <v>18.899999999999999</v>
      </c>
      <c r="L938" t="s">
        <v>43</v>
      </c>
      <c r="M938">
        <v>47493.71</v>
      </c>
      <c r="N938">
        <v>27819</v>
      </c>
      <c r="O938" t="s">
        <v>84</v>
      </c>
      <c r="P938" t="str">
        <f t="shared" si="126"/>
        <v>Yes</v>
      </c>
      <c r="Q938">
        <f t="shared" si="127"/>
        <v>58.39</v>
      </c>
      <c r="R938">
        <f t="shared" si="128"/>
        <v>11.89</v>
      </c>
      <c r="S938">
        <f t="shared" si="129"/>
        <v>1.71</v>
      </c>
      <c r="T938" t="str">
        <f t="shared" si="130"/>
        <v>Delayed</v>
      </c>
      <c r="U938" t="str">
        <f t="shared" si="131"/>
        <v>High</v>
      </c>
      <c r="V938" t="str">
        <f t="shared" si="132"/>
        <v>Low Risk</v>
      </c>
      <c r="W938" t="str">
        <f t="shared" si="133"/>
        <v>Mar</v>
      </c>
      <c r="X938">
        <f t="shared" si="134"/>
        <v>2025</v>
      </c>
    </row>
    <row r="939" spans="1:24" x14ac:dyDescent="0.35">
      <c r="A939" s="3">
        <v>45664</v>
      </c>
      <c r="B939" t="s">
        <v>80</v>
      </c>
      <c r="C939" t="s">
        <v>69</v>
      </c>
      <c r="D939" t="s">
        <v>1085</v>
      </c>
      <c r="E939" t="s">
        <v>55</v>
      </c>
      <c r="F939" t="s">
        <v>28</v>
      </c>
      <c r="G939" t="s">
        <v>42</v>
      </c>
      <c r="H939">
        <v>37.6</v>
      </c>
      <c r="I939">
        <v>897</v>
      </c>
      <c r="J939">
        <v>66</v>
      </c>
      <c r="K939">
        <v>20.6</v>
      </c>
      <c r="L939" t="s">
        <v>78</v>
      </c>
      <c r="M939">
        <v>25375.84</v>
      </c>
      <c r="N939">
        <v>5138</v>
      </c>
      <c r="O939" t="s">
        <v>67</v>
      </c>
      <c r="P939" t="str">
        <f t="shared" si="126"/>
        <v>No</v>
      </c>
      <c r="Q939">
        <f t="shared" si="127"/>
        <v>23.86</v>
      </c>
      <c r="R939">
        <f t="shared" si="128"/>
        <v>28.29</v>
      </c>
      <c r="S939">
        <f t="shared" si="129"/>
        <v>4.9400000000000004</v>
      </c>
      <c r="T939" t="str">
        <f t="shared" si="130"/>
        <v>On Time</v>
      </c>
      <c r="U939" t="str">
        <f t="shared" si="131"/>
        <v>Low</v>
      </c>
      <c r="V939" t="str">
        <f t="shared" si="132"/>
        <v>Low Risk</v>
      </c>
      <c r="W939" t="str">
        <f t="shared" si="133"/>
        <v>Jan</v>
      </c>
      <c r="X939">
        <f t="shared" si="134"/>
        <v>2025</v>
      </c>
    </row>
    <row r="940" spans="1:24" x14ac:dyDescent="0.35">
      <c r="A940" s="3">
        <v>45841</v>
      </c>
      <c r="B940" t="s">
        <v>33</v>
      </c>
      <c r="C940" t="s">
        <v>95</v>
      </c>
      <c r="D940" t="s">
        <v>1086</v>
      </c>
      <c r="E940" t="s">
        <v>66</v>
      </c>
      <c r="F940" t="s">
        <v>27</v>
      </c>
      <c r="G940" t="s">
        <v>35</v>
      </c>
      <c r="H940">
        <v>73.099999999999994</v>
      </c>
      <c r="I940">
        <v>5000</v>
      </c>
      <c r="J940">
        <v>80</v>
      </c>
      <c r="K940">
        <v>10.7</v>
      </c>
      <c r="L940" t="s">
        <v>30</v>
      </c>
      <c r="M940">
        <v>49608.04</v>
      </c>
      <c r="N940">
        <v>11590</v>
      </c>
      <c r="O940" t="s">
        <v>59</v>
      </c>
      <c r="P940" t="str">
        <f t="shared" si="126"/>
        <v>Yes</v>
      </c>
      <c r="Q940">
        <f t="shared" si="127"/>
        <v>68.400000000000006</v>
      </c>
      <c r="R940">
        <f t="shared" si="128"/>
        <v>9.92</v>
      </c>
      <c r="S940">
        <f t="shared" si="129"/>
        <v>4.28</v>
      </c>
      <c r="T940" t="str">
        <f t="shared" si="130"/>
        <v>Delayed</v>
      </c>
      <c r="U940" t="str">
        <f t="shared" si="131"/>
        <v>High</v>
      </c>
      <c r="V940" t="str">
        <f t="shared" si="132"/>
        <v>Medium Risk</v>
      </c>
      <c r="W940" t="str">
        <f t="shared" si="133"/>
        <v>Jul</v>
      </c>
      <c r="X940">
        <f t="shared" si="134"/>
        <v>2025</v>
      </c>
    </row>
    <row r="941" spans="1:24" x14ac:dyDescent="0.35">
      <c r="A941" s="3">
        <v>45696</v>
      </c>
      <c r="B941" t="s">
        <v>61</v>
      </c>
      <c r="C941" t="s">
        <v>25</v>
      </c>
      <c r="D941" t="s">
        <v>1087</v>
      </c>
      <c r="E941" t="s">
        <v>28</v>
      </c>
      <c r="F941" t="s">
        <v>66</v>
      </c>
      <c r="G941" t="s">
        <v>71</v>
      </c>
      <c r="H941">
        <v>27.1</v>
      </c>
      <c r="I941">
        <v>4303</v>
      </c>
      <c r="J941">
        <v>75</v>
      </c>
      <c r="K941">
        <v>17.7</v>
      </c>
      <c r="L941" t="s">
        <v>43</v>
      </c>
      <c r="M941">
        <v>12197.34</v>
      </c>
      <c r="N941">
        <v>8221</v>
      </c>
      <c r="O941" t="s">
        <v>84</v>
      </c>
      <c r="P941" t="str">
        <f t="shared" si="126"/>
        <v>Yes</v>
      </c>
      <c r="Q941">
        <f t="shared" si="127"/>
        <v>158.78</v>
      </c>
      <c r="R941">
        <f t="shared" si="128"/>
        <v>2.83</v>
      </c>
      <c r="S941">
        <f t="shared" si="129"/>
        <v>1.48</v>
      </c>
      <c r="T941" t="str">
        <f t="shared" si="130"/>
        <v>Delayed</v>
      </c>
      <c r="U941" t="str">
        <f t="shared" si="131"/>
        <v>Low</v>
      </c>
      <c r="V941" t="str">
        <f t="shared" si="132"/>
        <v>Low Risk</v>
      </c>
      <c r="W941" t="str">
        <f t="shared" si="133"/>
        <v>Feb</v>
      </c>
      <c r="X941">
        <f t="shared" si="134"/>
        <v>2025</v>
      </c>
    </row>
    <row r="942" spans="1:24" x14ac:dyDescent="0.35">
      <c r="A942" s="3">
        <v>45685</v>
      </c>
      <c r="B942" t="s">
        <v>368</v>
      </c>
      <c r="C942" t="s">
        <v>95</v>
      </c>
      <c r="D942" t="s">
        <v>1088</v>
      </c>
      <c r="E942" t="s">
        <v>54</v>
      </c>
      <c r="F942" t="s">
        <v>48</v>
      </c>
      <c r="G942" t="s">
        <v>42</v>
      </c>
      <c r="H942">
        <v>72.599999999999994</v>
      </c>
      <c r="I942">
        <v>3210</v>
      </c>
      <c r="J942">
        <v>31</v>
      </c>
      <c r="K942">
        <v>10.1</v>
      </c>
      <c r="L942" t="s">
        <v>78</v>
      </c>
      <c r="M942">
        <v>39499.300000000003</v>
      </c>
      <c r="N942">
        <v>18764</v>
      </c>
      <c r="O942" t="s">
        <v>36</v>
      </c>
      <c r="P942" t="str">
        <f t="shared" si="126"/>
        <v>No</v>
      </c>
      <c r="Q942">
        <f t="shared" si="127"/>
        <v>44.21</v>
      </c>
      <c r="R942">
        <f t="shared" si="128"/>
        <v>12.31</v>
      </c>
      <c r="S942">
        <f t="shared" si="129"/>
        <v>2.11</v>
      </c>
      <c r="T942" t="str">
        <f t="shared" si="130"/>
        <v>On Time</v>
      </c>
      <c r="U942" t="str">
        <f t="shared" si="131"/>
        <v>High</v>
      </c>
      <c r="V942" t="str">
        <f t="shared" si="132"/>
        <v>Low Risk</v>
      </c>
      <c r="W942" t="str">
        <f t="shared" si="133"/>
        <v>Jan</v>
      </c>
      <c r="X942">
        <f t="shared" si="134"/>
        <v>2025</v>
      </c>
    </row>
    <row r="943" spans="1:24" x14ac:dyDescent="0.35">
      <c r="A943" s="3">
        <v>45722</v>
      </c>
      <c r="B943" t="s">
        <v>317</v>
      </c>
      <c r="C943" t="s">
        <v>109</v>
      </c>
      <c r="D943" t="s">
        <v>1089</v>
      </c>
      <c r="E943" t="s">
        <v>28</v>
      </c>
      <c r="F943" t="s">
        <v>66</v>
      </c>
      <c r="G943" t="s">
        <v>29</v>
      </c>
      <c r="H943">
        <v>22.2</v>
      </c>
      <c r="I943">
        <v>1689</v>
      </c>
      <c r="J943">
        <v>31</v>
      </c>
      <c r="K943">
        <v>11.1</v>
      </c>
      <c r="L943" t="s">
        <v>30</v>
      </c>
      <c r="M943">
        <v>12172.15</v>
      </c>
      <c r="N943">
        <v>23440</v>
      </c>
      <c r="O943" t="s">
        <v>44</v>
      </c>
      <c r="P943" t="str">
        <f t="shared" si="126"/>
        <v>Yes</v>
      </c>
      <c r="Q943">
        <f t="shared" si="127"/>
        <v>76.08</v>
      </c>
      <c r="R943">
        <f t="shared" si="128"/>
        <v>7.21</v>
      </c>
      <c r="S943">
        <f t="shared" si="129"/>
        <v>0.52</v>
      </c>
      <c r="T943" t="str">
        <f t="shared" si="130"/>
        <v>Delayed</v>
      </c>
      <c r="U943" t="str">
        <f t="shared" si="131"/>
        <v>Low</v>
      </c>
      <c r="V943" t="str">
        <f t="shared" si="132"/>
        <v>Medium Risk</v>
      </c>
      <c r="W943" t="str">
        <f t="shared" si="133"/>
        <v>Mar</v>
      </c>
      <c r="X943">
        <f t="shared" si="134"/>
        <v>2025</v>
      </c>
    </row>
    <row r="944" spans="1:24" x14ac:dyDescent="0.35">
      <c r="A944" s="3">
        <v>45886</v>
      </c>
      <c r="B944" t="s">
        <v>94</v>
      </c>
      <c r="C944" t="s">
        <v>57</v>
      </c>
      <c r="D944" t="s">
        <v>1090</v>
      </c>
      <c r="E944" t="s">
        <v>27</v>
      </c>
      <c r="F944" t="s">
        <v>54</v>
      </c>
      <c r="G944" t="s">
        <v>29</v>
      </c>
      <c r="H944">
        <v>23.4</v>
      </c>
      <c r="I944">
        <v>832</v>
      </c>
      <c r="J944">
        <v>60</v>
      </c>
      <c r="K944">
        <v>17.100000000000001</v>
      </c>
      <c r="L944" t="s">
        <v>49</v>
      </c>
      <c r="M944">
        <v>11644.92</v>
      </c>
      <c r="N944">
        <v>14295</v>
      </c>
      <c r="O944" t="s">
        <v>59</v>
      </c>
      <c r="P944" t="str">
        <f t="shared" si="126"/>
        <v>Yes</v>
      </c>
      <c r="Q944">
        <f t="shared" si="127"/>
        <v>35.56</v>
      </c>
      <c r="R944">
        <f t="shared" si="128"/>
        <v>14</v>
      </c>
      <c r="S944">
        <f t="shared" si="129"/>
        <v>0.81</v>
      </c>
      <c r="T944" t="str">
        <f t="shared" si="130"/>
        <v>Delayed</v>
      </c>
      <c r="U944" t="str">
        <f t="shared" si="131"/>
        <v>Low</v>
      </c>
      <c r="V944" t="str">
        <f t="shared" si="132"/>
        <v>High Risk</v>
      </c>
      <c r="W944" t="str">
        <f t="shared" si="133"/>
        <v>Aug</v>
      </c>
      <c r="X944">
        <f t="shared" si="134"/>
        <v>2025</v>
      </c>
    </row>
    <row r="945" spans="1:24" x14ac:dyDescent="0.35">
      <c r="A945" s="3">
        <v>45864</v>
      </c>
      <c r="B945" t="s">
        <v>76</v>
      </c>
      <c r="C945" t="s">
        <v>57</v>
      </c>
      <c r="D945" t="s">
        <v>1091</v>
      </c>
      <c r="E945" t="s">
        <v>55</v>
      </c>
      <c r="F945" t="s">
        <v>28</v>
      </c>
      <c r="G945" t="s">
        <v>42</v>
      </c>
      <c r="H945">
        <v>31.1</v>
      </c>
      <c r="I945">
        <v>665</v>
      </c>
      <c r="J945">
        <v>89</v>
      </c>
      <c r="K945">
        <v>11.5</v>
      </c>
      <c r="L945" t="s">
        <v>49</v>
      </c>
      <c r="M945">
        <v>15728.01</v>
      </c>
      <c r="N945">
        <v>26751</v>
      </c>
      <c r="O945" t="s">
        <v>50</v>
      </c>
      <c r="P945" t="str">
        <f t="shared" si="126"/>
        <v>Yes</v>
      </c>
      <c r="Q945">
        <f t="shared" si="127"/>
        <v>21.38</v>
      </c>
      <c r="R945">
        <f t="shared" si="128"/>
        <v>23.65</v>
      </c>
      <c r="S945">
        <f t="shared" si="129"/>
        <v>0.59</v>
      </c>
      <c r="T945" t="str">
        <f t="shared" si="130"/>
        <v>Delayed</v>
      </c>
      <c r="U945" t="str">
        <f t="shared" si="131"/>
        <v>Low</v>
      </c>
      <c r="V945" t="str">
        <f t="shared" si="132"/>
        <v>High Risk</v>
      </c>
      <c r="W945" t="str">
        <f t="shared" si="133"/>
        <v>Jul</v>
      </c>
      <c r="X945">
        <f t="shared" si="134"/>
        <v>2025</v>
      </c>
    </row>
    <row r="946" spans="1:24" x14ac:dyDescent="0.35">
      <c r="A946" s="3">
        <v>45706</v>
      </c>
      <c r="B946" t="s">
        <v>217</v>
      </c>
      <c r="C946" t="s">
        <v>25</v>
      </c>
      <c r="D946" t="s">
        <v>1092</v>
      </c>
      <c r="E946" t="s">
        <v>41</v>
      </c>
      <c r="F946" t="s">
        <v>28</v>
      </c>
      <c r="G946" t="s">
        <v>71</v>
      </c>
      <c r="H946">
        <v>72.599999999999994</v>
      </c>
      <c r="I946">
        <v>3556</v>
      </c>
      <c r="J946">
        <v>41</v>
      </c>
      <c r="K946">
        <v>15.8</v>
      </c>
      <c r="L946" t="s">
        <v>30</v>
      </c>
      <c r="M946">
        <v>38030.35</v>
      </c>
      <c r="N946">
        <v>27452</v>
      </c>
      <c r="O946" t="s">
        <v>44</v>
      </c>
      <c r="P946" t="str">
        <f t="shared" si="126"/>
        <v>Yes</v>
      </c>
      <c r="Q946">
        <f t="shared" si="127"/>
        <v>48.98</v>
      </c>
      <c r="R946">
        <f t="shared" si="128"/>
        <v>10.69</v>
      </c>
      <c r="S946">
        <f t="shared" si="129"/>
        <v>1.39</v>
      </c>
      <c r="T946" t="str">
        <f t="shared" si="130"/>
        <v>Delayed</v>
      </c>
      <c r="U946" t="str">
        <f t="shared" si="131"/>
        <v>High</v>
      </c>
      <c r="V946" t="str">
        <f t="shared" si="132"/>
        <v>Medium Risk</v>
      </c>
      <c r="W946" t="str">
        <f t="shared" si="133"/>
        <v>Feb</v>
      </c>
      <c r="X946">
        <f t="shared" si="134"/>
        <v>2025</v>
      </c>
    </row>
    <row r="947" spans="1:24" x14ac:dyDescent="0.35">
      <c r="A947" s="3">
        <v>46015</v>
      </c>
      <c r="B947" t="s">
        <v>150</v>
      </c>
      <c r="C947" t="s">
        <v>109</v>
      </c>
      <c r="D947" t="s">
        <v>1093</v>
      </c>
      <c r="E947" t="s">
        <v>48</v>
      </c>
      <c r="F947" t="s">
        <v>55</v>
      </c>
      <c r="G947" t="s">
        <v>42</v>
      </c>
      <c r="H947">
        <v>34.6</v>
      </c>
      <c r="I947">
        <v>4523</v>
      </c>
      <c r="J947">
        <v>84</v>
      </c>
      <c r="K947">
        <v>19.5</v>
      </c>
      <c r="L947" t="s">
        <v>78</v>
      </c>
      <c r="M947">
        <v>20098.23</v>
      </c>
      <c r="N947">
        <v>10560</v>
      </c>
      <c r="O947" t="s">
        <v>91</v>
      </c>
      <c r="P947" t="str">
        <f t="shared" si="126"/>
        <v>No</v>
      </c>
      <c r="Q947">
        <f t="shared" si="127"/>
        <v>130.72</v>
      </c>
      <c r="R947">
        <f t="shared" si="128"/>
        <v>4.4400000000000004</v>
      </c>
      <c r="S947">
        <f t="shared" si="129"/>
        <v>1.9</v>
      </c>
      <c r="T947" t="str">
        <f t="shared" si="130"/>
        <v>On Time</v>
      </c>
      <c r="U947" t="str">
        <f t="shared" si="131"/>
        <v>Low</v>
      </c>
      <c r="V947" t="str">
        <f t="shared" si="132"/>
        <v>Low Risk</v>
      </c>
      <c r="W947" t="str">
        <f t="shared" si="133"/>
        <v>Dec</v>
      </c>
      <c r="X947">
        <f t="shared" si="134"/>
        <v>2025</v>
      </c>
    </row>
    <row r="948" spans="1:24" x14ac:dyDescent="0.35">
      <c r="A948" s="3">
        <v>45955</v>
      </c>
      <c r="B948" t="s">
        <v>89</v>
      </c>
      <c r="C948" t="s">
        <v>95</v>
      </c>
      <c r="D948" t="s">
        <v>1094</v>
      </c>
      <c r="E948" t="s">
        <v>55</v>
      </c>
      <c r="F948" t="s">
        <v>41</v>
      </c>
      <c r="G948" t="s">
        <v>71</v>
      </c>
      <c r="H948">
        <v>26</v>
      </c>
      <c r="I948">
        <v>1529</v>
      </c>
      <c r="J948">
        <v>115</v>
      </c>
      <c r="K948">
        <v>11.7</v>
      </c>
      <c r="L948" t="s">
        <v>78</v>
      </c>
      <c r="M948">
        <v>15991.12</v>
      </c>
      <c r="N948">
        <v>29777</v>
      </c>
      <c r="O948" t="s">
        <v>44</v>
      </c>
      <c r="P948" t="str">
        <f t="shared" si="126"/>
        <v>No</v>
      </c>
      <c r="Q948">
        <f t="shared" si="127"/>
        <v>58.81</v>
      </c>
      <c r="R948">
        <f t="shared" si="128"/>
        <v>10.46</v>
      </c>
      <c r="S948">
        <f t="shared" si="129"/>
        <v>0.54</v>
      </c>
      <c r="T948" t="str">
        <f t="shared" si="130"/>
        <v>On Time</v>
      </c>
      <c r="U948" t="str">
        <f t="shared" si="131"/>
        <v>Low</v>
      </c>
      <c r="V948" t="str">
        <f t="shared" si="132"/>
        <v>Low Risk</v>
      </c>
      <c r="W948" t="str">
        <f t="shared" si="133"/>
        <v>Oct</v>
      </c>
      <c r="X948">
        <f t="shared" si="134"/>
        <v>2025</v>
      </c>
    </row>
    <row r="949" spans="1:24" x14ac:dyDescent="0.35">
      <c r="A949" s="3">
        <v>45984</v>
      </c>
      <c r="B949" t="s">
        <v>108</v>
      </c>
      <c r="C949" t="s">
        <v>25</v>
      </c>
      <c r="D949" t="s">
        <v>1095</v>
      </c>
      <c r="E949" t="s">
        <v>55</v>
      </c>
      <c r="F949" t="s">
        <v>66</v>
      </c>
      <c r="G949" t="s">
        <v>29</v>
      </c>
      <c r="H949">
        <v>58.3</v>
      </c>
      <c r="I949">
        <v>4067</v>
      </c>
      <c r="J949">
        <v>75</v>
      </c>
      <c r="K949">
        <v>12</v>
      </c>
      <c r="L949" t="s">
        <v>49</v>
      </c>
      <c r="M949">
        <v>26349.11</v>
      </c>
      <c r="N949">
        <v>10608</v>
      </c>
      <c r="O949" t="s">
        <v>84</v>
      </c>
      <c r="P949" t="str">
        <f t="shared" si="126"/>
        <v>Yes</v>
      </c>
      <c r="Q949">
        <f t="shared" si="127"/>
        <v>69.760000000000005</v>
      </c>
      <c r="R949">
        <f t="shared" si="128"/>
        <v>6.48</v>
      </c>
      <c r="S949">
        <f t="shared" si="129"/>
        <v>2.48</v>
      </c>
      <c r="T949" t="str">
        <f t="shared" si="130"/>
        <v>Delayed</v>
      </c>
      <c r="U949" t="str">
        <f t="shared" si="131"/>
        <v>Medium</v>
      </c>
      <c r="V949" t="str">
        <f t="shared" si="132"/>
        <v>High Risk</v>
      </c>
      <c r="W949" t="str">
        <f t="shared" si="133"/>
        <v>Nov</v>
      </c>
      <c r="X949">
        <f t="shared" si="134"/>
        <v>2025</v>
      </c>
    </row>
    <row r="950" spans="1:24" x14ac:dyDescent="0.35">
      <c r="A950" s="3">
        <v>45795</v>
      </c>
      <c r="B950" t="s">
        <v>275</v>
      </c>
      <c r="C950" t="s">
        <v>57</v>
      </c>
      <c r="D950" t="s">
        <v>1096</v>
      </c>
      <c r="E950" t="s">
        <v>55</v>
      </c>
      <c r="F950" t="s">
        <v>27</v>
      </c>
      <c r="G950" t="s">
        <v>71</v>
      </c>
      <c r="H950">
        <v>32.1</v>
      </c>
      <c r="I950">
        <v>4461</v>
      </c>
      <c r="J950">
        <v>82</v>
      </c>
      <c r="K950">
        <v>12</v>
      </c>
      <c r="L950" t="s">
        <v>49</v>
      </c>
      <c r="M950">
        <v>20649.52</v>
      </c>
      <c r="N950">
        <v>26146</v>
      </c>
      <c r="O950" t="s">
        <v>91</v>
      </c>
      <c r="P950" t="str">
        <f t="shared" si="126"/>
        <v>Yes</v>
      </c>
      <c r="Q950">
        <f t="shared" si="127"/>
        <v>138.97</v>
      </c>
      <c r="R950">
        <f t="shared" si="128"/>
        <v>4.63</v>
      </c>
      <c r="S950">
        <f t="shared" si="129"/>
        <v>0.79</v>
      </c>
      <c r="T950" t="str">
        <f t="shared" si="130"/>
        <v>Delayed</v>
      </c>
      <c r="U950" t="str">
        <f t="shared" si="131"/>
        <v>Low</v>
      </c>
      <c r="V950" t="str">
        <f t="shared" si="132"/>
        <v>High Risk</v>
      </c>
      <c r="W950" t="str">
        <f t="shared" si="133"/>
        <v>May</v>
      </c>
      <c r="X950">
        <f t="shared" si="134"/>
        <v>2025</v>
      </c>
    </row>
    <row r="951" spans="1:24" x14ac:dyDescent="0.35">
      <c r="A951" s="3">
        <v>45997</v>
      </c>
      <c r="B951" t="s">
        <v>111</v>
      </c>
      <c r="C951" t="s">
        <v>25</v>
      </c>
      <c r="D951" t="s">
        <v>1097</v>
      </c>
      <c r="E951" t="s">
        <v>28</v>
      </c>
      <c r="F951" t="s">
        <v>55</v>
      </c>
      <c r="G951" t="s">
        <v>35</v>
      </c>
      <c r="H951">
        <v>77.099999999999994</v>
      </c>
      <c r="I951">
        <v>3529</v>
      </c>
      <c r="J951">
        <v>102</v>
      </c>
      <c r="K951">
        <v>17.5</v>
      </c>
      <c r="L951" t="s">
        <v>49</v>
      </c>
      <c r="M951">
        <v>35620.25</v>
      </c>
      <c r="N951">
        <v>10228</v>
      </c>
      <c r="O951" t="s">
        <v>50</v>
      </c>
      <c r="P951" t="str">
        <f t="shared" si="126"/>
        <v>Yes</v>
      </c>
      <c r="Q951">
        <f t="shared" si="127"/>
        <v>45.77</v>
      </c>
      <c r="R951">
        <f t="shared" si="128"/>
        <v>10.09</v>
      </c>
      <c r="S951">
        <f t="shared" si="129"/>
        <v>3.48</v>
      </c>
      <c r="T951" t="str">
        <f t="shared" si="130"/>
        <v>Delayed</v>
      </c>
      <c r="U951" t="str">
        <f t="shared" si="131"/>
        <v>High</v>
      </c>
      <c r="V951" t="str">
        <f t="shared" si="132"/>
        <v>High Risk</v>
      </c>
      <c r="W951" t="str">
        <f t="shared" si="133"/>
        <v>Dec</v>
      </c>
      <c r="X951">
        <f t="shared" si="134"/>
        <v>2025</v>
      </c>
    </row>
    <row r="952" spans="1:24" x14ac:dyDescent="0.35">
      <c r="A952" s="3">
        <v>45705</v>
      </c>
      <c r="B952" t="s">
        <v>217</v>
      </c>
      <c r="C952" t="s">
        <v>69</v>
      </c>
      <c r="D952" t="s">
        <v>1098</v>
      </c>
      <c r="E952" t="s">
        <v>48</v>
      </c>
      <c r="F952" t="s">
        <v>55</v>
      </c>
      <c r="G952" t="s">
        <v>35</v>
      </c>
      <c r="H952">
        <v>28.7</v>
      </c>
      <c r="I952">
        <v>2148</v>
      </c>
      <c r="J952">
        <v>95</v>
      </c>
      <c r="K952">
        <v>18.100000000000001</v>
      </c>
      <c r="L952" t="s">
        <v>43</v>
      </c>
      <c r="M952">
        <v>14233.26</v>
      </c>
      <c r="N952">
        <v>26837</v>
      </c>
      <c r="O952" t="s">
        <v>84</v>
      </c>
      <c r="P952" t="str">
        <f t="shared" si="126"/>
        <v>Yes</v>
      </c>
      <c r="Q952">
        <f t="shared" si="127"/>
        <v>74.84</v>
      </c>
      <c r="R952">
        <f t="shared" si="128"/>
        <v>6.63</v>
      </c>
      <c r="S952">
        <f t="shared" si="129"/>
        <v>0.53</v>
      </c>
      <c r="T952" t="str">
        <f t="shared" si="130"/>
        <v>Delayed</v>
      </c>
      <c r="U952" t="str">
        <f t="shared" si="131"/>
        <v>Low</v>
      </c>
      <c r="V952" t="str">
        <f t="shared" si="132"/>
        <v>Low Risk</v>
      </c>
      <c r="W952" t="str">
        <f t="shared" si="133"/>
        <v>Feb</v>
      </c>
      <c r="X952">
        <f t="shared" si="134"/>
        <v>2025</v>
      </c>
    </row>
    <row r="953" spans="1:24" x14ac:dyDescent="0.35">
      <c r="A953" s="3">
        <v>45956</v>
      </c>
      <c r="B953" t="s">
        <v>150</v>
      </c>
      <c r="C953" t="s">
        <v>57</v>
      </c>
      <c r="D953" t="s">
        <v>1099</v>
      </c>
      <c r="E953" t="s">
        <v>55</v>
      </c>
      <c r="F953" t="s">
        <v>41</v>
      </c>
      <c r="G953" t="s">
        <v>29</v>
      </c>
      <c r="H953">
        <v>47.9</v>
      </c>
      <c r="I953">
        <v>3812</v>
      </c>
      <c r="J953">
        <v>66</v>
      </c>
      <c r="K953">
        <v>15.6</v>
      </c>
      <c r="L953" t="s">
        <v>43</v>
      </c>
      <c r="M953">
        <v>32287.09</v>
      </c>
      <c r="N953">
        <v>23301</v>
      </c>
      <c r="O953" t="s">
        <v>50</v>
      </c>
      <c r="P953" t="str">
        <f t="shared" si="126"/>
        <v>Yes</v>
      </c>
      <c r="Q953">
        <f t="shared" si="127"/>
        <v>79.58</v>
      </c>
      <c r="R953">
        <f t="shared" si="128"/>
        <v>8.4700000000000006</v>
      </c>
      <c r="S953">
        <f t="shared" si="129"/>
        <v>1.39</v>
      </c>
      <c r="T953" t="str">
        <f t="shared" si="130"/>
        <v>Delayed</v>
      </c>
      <c r="U953" t="str">
        <f t="shared" si="131"/>
        <v>Medium</v>
      </c>
      <c r="V953" t="str">
        <f t="shared" si="132"/>
        <v>Low Risk</v>
      </c>
      <c r="W953" t="str">
        <f t="shared" si="133"/>
        <v>Oct</v>
      </c>
      <c r="X953">
        <f t="shared" si="134"/>
        <v>2025</v>
      </c>
    </row>
    <row r="954" spans="1:24" x14ac:dyDescent="0.35">
      <c r="A954" s="3">
        <v>45807</v>
      </c>
      <c r="B954" t="s">
        <v>233</v>
      </c>
      <c r="C954" t="s">
        <v>69</v>
      </c>
      <c r="D954" t="s">
        <v>1100</v>
      </c>
      <c r="E954" t="s">
        <v>54</v>
      </c>
      <c r="F954" t="s">
        <v>48</v>
      </c>
      <c r="G954" t="s">
        <v>29</v>
      </c>
      <c r="H954">
        <v>60.5</v>
      </c>
      <c r="I954">
        <v>1337</v>
      </c>
      <c r="J954">
        <v>73</v>
      </c>
      <c r="K954">
        <v>17.100000000000001</v>
      </c>
      <c r="L954" t="s">
        <v>49</v>
      </c>
      <c r="M954">
        <v>34936.46</v>
      </c>
      <c r="N954">
        <v>8981</v>
      </c>
      <c r="O954" t="s">
        <v>91</v>
      </c>
      <c r="P954" t="str">
        <f t="shared" si="126"/>
        <v>Yes</v>
      </c>
      <c r="Q954">
        <f t="shared" si="127"/>
        <v>22.1</v>
      </c>
      <c r="R954">
        <f t="shared" si="128"/>
        <v>26.13</v>
      </c>
      <c r="S954">
        <f t="shared" si="129"/>
        <v>3.89</v>
      </c>
      <c r="T954" t="str">
        <f t="shared" si="130"/>
        <v>Delayed</v>
      </c>
      <c r="U954" t="str">
        <f t="shared" si="131"/>
        <v>High</v>
      </c>
      <c r="V954" t="str">
        <f t="shared" si="132"/>
        <v>High Risk</v>
      </c>
      <c r="W954" t="str">
        <f t="shared" si="133"/>
        <v>May</v>
      </c>
      <c r="X954">
        <f t="shared" si="134"/>
        <v>2025</v>
      </c>
    </row>
    <row r="955" spans="1:24" x14ac:dyDescent="0.35">
      <c r="A955" s="3">
        <v>45722</v>
      </c>
      <c r="B955" t="s">
        <v>244</v>
      </c>
      <c r="C955" t="s">
        <v>109</v>
      </c>
      <c r="D955" t="s">
        <v>1101</v>
      </c>
      <c r="E955" t="s">
        <v>63</v>
      </c>
      <c r="F955" t="s">
        <v>48</v>
      </c>
      <c r="G955" t="s">
        <v>42</v>
      </c>
      <c r="H955">
        <v>34.6</v>
      </c>
      <c r="I955">
        <v>4668</v>
      </c>
      <c r="J955">
        <v>39</v>
      </c>
      <c r="K955">
        <v>10.9</v>
      </c>
      <c r="L955" t="s">
        <v>30</v>
      </c>
      <c r="M955">
        <v>17667.61</v>
      </c>
      <c r="N955">
        <v>29487</v>
      </c>
      <c r="O955" t="s">
        <v>50</v>
      </c>
      <c r="P955" t="str">
        <f t="shared" si="126"/>
        <v>Yes</v>
      </c>
      <c r="Q955">
        <f t="shared" si="127"/>
        <v>134.91</v>
      </c>
      <c r="R955">
        <f t="shared" si="128"/>
        <v>3.78</v>
      </c>
      <c r="S955">
        <f t="shared" si="129"/>
        <v>0.6</v>
      </c>
      <c r="T955" t="str">
        <f t="shared" si="130"/>
        <v>Delayed</v>
      </c>
      <c r="U955" t="str">
        <f t="shared" si="131"/>
        <v>Low</v>
      </c>
      <c r="V955" t="str">
        <f t="shared" si="132"/>
        <v>Medium Risk</v>
      </c>
      <c r="W955" t="str">
        <f t="shared" si="133"/>
        <v>Mar</v>
      </c>
      <c r="X955">
        <f t="shared" si="134"/>
        <v>2025</v>
      </c>
    </row>
    <row r="956" spans="1:24" x14ac:dyDescent="0.35">
      <c r="A956" s="3">
        <v>45983</v>
      </c>
      <c r="B956" t="s">
        <v>157</v>
      </c>
      <c r="C956" t="s">
        <v>25</v>
      </c>
      <c r="D956" t="s">
        <v>1102</v>
      </c>
      <c r="E956" t="s">
        <v>28</v>
      </c>
      <c r="F956" t="s">
        <v>54</v>
      </c>
      <c r="G956" t="s">
        <v>29</v>
      </c>
      <c r="H956">
        <v>60.9</v>
      </c>
      <c r="I956">
        <v>3564</v>
      </c>
      <c r="J956">
        <v>99</v>
      </c>
      <c r="K956">
        <v>13.2</v>
      </c>
      <c r="L956" t="s">
        <v>49</v>
      </c>
      <c r="M956">
        <v>41501.26</v>
      </c>
      <c r="N956">
        <v>6768</v>
      </c>
      <c r="O956" t="s">
        <v>44</v>
      </c>
      <c r="P956" t="str">
        <f t="shared" si="126"/>
        <v>Yes</v>
      </c>
      <c r="Q956">
        <f t="shared" si="127"/>
        <v>58.52</v>
      </c>
      <c r="R956">
        <f t="shared" si="128"/>
        <v>11.64</v>
      </c>
      <c r="S956">
        <f t="shared" si="129"/>
        <v>6.13</v>
      </c>
      <c r="T956" t="str">
        <f t="shared" si="130"/>
        <v>Delayed</v>
      </c>
      <c r="U956" t="str">
        <f t="shared" si="131"/>
        <v>High</v>
      </c>
      <c r="V956" t="str">
        <f t="shared" si="132"/>
        <v>High Risk</v>
      </c>
      <c r="W956" t="str">
        <f t="shared" si="133"/>
        <v>Nov</v>
      </c>
      <c r="X956">
        <f t="shared" si="134"/>
        <v>2025</v>
      </c>
    </row>
    <row r="957" spans="1:24" x14ac:dyDescent="0.35">
      <c r="A957" s="3">
        <v>45703</v>
      </c>
      <c r="B957" t="s">
        <v>167</v>
      </c>
      <c r="C957" t="s">
        <v>130</v>
      </c>
      <c r="D957" t="s">
        <v>1103</v>
      </c>
      <c r="E957" t="s">
        <v>28</v>
      </c>
      <c r="F957" t="s">
        <v>41</v>
      </c>
      <c r="G957" t="s">
        <v>29</v>
      </c>
      <c r="H957">
        <v>72.3</v>
      </c>
      <c r="I957">
        <v>3563</v>
      </c>
      <c r="J957">
        <v>97</v>
      </c>
      <c r="K957">
        <v>11.3</v>
      </c>
      <c r="L957" t="s">
        <v>43</v>
      </c>
      <c r="M957">
        <v>43758.36</v>
      </c>
      <c r="N957">
        <v>29110</v>
      </c>
      <c r="O957" t="s">
        <v>59</v>
      </c>
      <c r="P957" t="str">
        <f t="shared" si="126"/>
        <v>Yes</v>
      </c>
      <c r="Q957">
        <f t="shared" si="127"/>
        <v>49.28</v>
      </c>
      <c r="R957">
        <f t="shared" si="128"/>
        <v>12.28</v>
      </c>
      <c r="S957">
        <f t="shared" si="129"/>
        <v>1.5</v>
      </c>
      <c r="T957" t="str">
        <f t="shared" si="130"/>
        <v>Delayed</v>
      </c>
      <c r="U957" t="str">
        <f t="shared" si="131"/>
        <v>High</v>
      </c>
      <c r="V957" t="str">
        <f t="shared" si="132"/>
        <v>Low Risk</v>
      </c>
      <c r="W957" t="str">
        <f t="shared" si="133"/>
        <v>Feb</v>
      </c>
      <c r="X957">
        <f t="shared" si="134"/>
        <v>2025</v>
      </c>
    </row>
    <row r="958" spans="1:24" x14ac:dyDescent="0.35">
      <c r="A958" s="3">
        <v>45803</v>
      </c>
      <c r="B958" t="s">
        <v>154</v>
      </c>
      <c r="C958" t="s">
        <v>25</v>
      </c>
      <c r="D958" t="s">
        <v>1104</v>
      </c>
      <c r="E958" t="s">
        <v>41</v>
      </c>
      <c r="F958" t="s">
        <v>55</v>
      </c>
      <c r="G958" t="s">
        <v>29</v>
      </c>
      <c r="H958">
        <v>43.7</v>
      </c>
      <c r="I958">
        <v>3335</v>
      </c>
      <c r="J958">
        <v>46</v>
      </c>
      <c r="K958">
        <v>18.899999999999999</v>
      </c>
      <c r="L958" t="s">
        <v>49</v>
      </c>
      <c r="M958">
        <v>23516.799999999999</v>
      </c>
      <c r="N958">
        <v>21954</v>
      </c>
      <c r="O958" t="s">
        <v>31</v>
      </c>
      <c r="P958" t="str">
        <f t="shared" si="126"/>
        <v>Yes</v>
      </c>
      <c r="Q958">
        <f t="shared" si="127"/>
        <v>76.319999999999993</v>
      </c>
      <c r="R958">
        <f t="shared" si="128"/>
        <v>7.05</v>
      </c>
      <c r="S958">
        <f t="shared" si="129"/>
        <v>1.07</v>
      </c>
      <c r="T958" t="str">
        <f t="shared" si="130"/>
        <v>Delayed</v>
      </c>
      <c r="U958" t="str">
        <f t="shared" si="131"/>
        <v>Medium</v>
      </c>
      <c r="V958" t="str">
        <f t="shared" si="132"/>
        <v>High Risk</v>
      </c>
      <c r="W958" t="str">
        <f t="shared" si="133"/>
        <v>May</v>
      </c>
      <c r="X958">
        <f t="shared" si="134"/>
        <v>2025</v>
      </c>
    </row>
    <row r="959" spans="1:24" x14ac:dyDescent="0.35">
      <c r="A959" s="3">
        <v>45735</v>
      </c>
      <c r="B959" t="s">
        <v>430</v>
      </c>
      <c r="C959" t="s">
        <v>109</v>
      </c>
      <c r="D959" t="s">
        <v>1105</v>
      </c>
      <c r="E959" t="s">
        <v>66</v>
      </c>
      <c r="F959" t="s">
        <v>27</v>
      </c>
      <c r="G959" t="s">
        <v>42</v>
      </c>
      <c r="H959">
        <v>49.3</v>
      </c>
      <c r="I959">
        <v>3279</v>
      </c>
      <c r="J959">
        <v>82</v>
      </c>
      <c r="K959">
        <v>10.3</v>
      </c>
      <c r="L959" t="s">
        <v>30</v>
      </c>
      <c r="M959">
        <v>29592.639999999999</v>
      </c>
      <c r="N959">
        <v>9073</v>
      </c>
      <c r="O959" t="s">
        <v>67</v>
      </c>
      <c r="P959" t="str">
        <f t="shared" si="126"/>
        <v>Yes</v>
      </c>
      <c r="Q959">
        <f t="shared" si="127"/>
        <v>66.510000000000005</v>
      </c>
      <c r="R959">
        <f t="shared" si="128"/>
        <v>9.02</v>
      </c>
      <c r="S959">
        <f t="shared" si="129"/>
        <v>3.26</v>
      </c>
      <c r="T959" t="str">
        <f t="shared" si="130"/>
        <v>Delayed</v>
      </c>
      <c r="U959" t="str">
        <f t="shared" si="131"/>
        <v>Medium</v>
      </c>
      <c r="V959" t="str">
        <f t="shared" si="132"/>
        <v>Medium Risk</v>
      </c>
      <c r="W959" t="str">
        <f t="shared" si="133"/>
        <v>Mar</v>
      </c>
      <c r="X959">
        <f t="shared" si="134"/>
        <v>2025</v>
      </c>
    </row>
    <row r="960" spans="1:24" x14ac:dyDescent="0.35">
      <c r="A960" s="3">
        <v>45973</v>
      </c>
      <c r="B960" t="s">
        <v>317</v>
      </c>
      <c r="C960" t="s">
        <v>130</v>
      </c>
      <c r="D960" t="s">
        <v>1106</v>
      </c>
      <c r="E960" t="s">
        <v>55</v>
      </c>
      <c r="F960" t="s">
        <v>63</v>
      </c>
      <c r="G960" t="s">
        <v>71</v>
      </c>
      <c r="H960">
        <v>74.7</v>
      </c>
      <c r="I960">
        <v>717</v>
      </c>
      <c r="J960">
        <v>116</v>
      </c>
      <c r="K960">
        <v>21.5</v>
      </c>
      <c r="L960" t="s">
        <v>43</v>
      </c>
      <c r="M960">
        <v>40634.19</v>
      </c>
      <c r="N960">
        <v>13981</v>
      </c>
      <c r="O960" t="s">
        <v>67</v>
      </c>
      <c r="P960" t="str">
        <f t="shared" si="126"/>
        <v>Yes</v>
      </c>
      <c r="Q960">
        <f t="shared" si="127"/>
        <v>9.6</v>
      </c>
      <c r="R960">
        <f t="shared" si="128"/>
        <v>56.67</v>
      </c>
      <c r="S960">
        <f t="shared" si="129"/>
        <v>2.91</v>
      </c>
      <c r="T960" t="str">
        <f t="shared" si="130"/>
        <v>Delayed</v>
      </c>
      <c r="U960" t="str">
        <f t="shared" si="131"/>
        <v>High</v>
      </c>
      <c r="V960" t="str">
        <f t="shared" si="132"/>
        <v>Low Risk</v>
      </c>
      <c r="W960" t="str">
        <f t="shared" si="133"/>
        <v>Nov</v>
      </c>
      <c r="X960">
        <f t="shared" si="134"/>
        <v>2025</v>
      </c>
    </row>
    <row r="961" spans="1:24" x14ac:dyDescent="0.35">
      <c r="A961" s="3">
        <v>45979</v>
      </c>
      <c r="B961" t="s">
        <v>46</v>
      </c>
      <c r="C961" t="s">
        <v>95</v>
      </c>
      <c r="D961" t="s">
        <v>1107</v>
      </c>
      <c r="E961" t="s">
        <v>27</v>
      </c>
      <c r="F961" t="s">
        <v>66</v>
      </c>
      <c r="G961" t="s">
        <v>71</v>
      </c>
      <c r="H961">
        <v>45.9</v>
      </c>
      <c r="I961">
        <v>1575</v>
      </c>
      <c r="J961">
        <v>66</v>
      </c>
      <c r="K961">
        <v>20.8</v>
      </c>
      <c r="L961" t="s">
        <v>49</v>
      </c>
      <c r="M961">
        <v>26181.66</v>
      </c>
      <c r="N961">
        <v>9740</v>
      </c>
      <c r="O961" t="s">
        <v>31</v>
      </c>
      <c r="P961" t="str">
        <f t="shared" si="126"/>
        <v>Yes</v>
      </c>
      <c r="Q961">
        <f t="shared" si="127"/>
        <v>34.31</v>
      </c>
      <c r="R961">
        <f t="shared" si="128"/>
        <v>16.62</v>
      </c>
      <c r="S961">
        <f t="shared" si="129"/>
        <v>2.69</v>
      </c>
      <c r="T961" t="str">
        <f t="shared" si="130"/>
        <v>Delayed</v>
      </c>
      <c r="U961" t="str">
        <f t="shared" si="131"/>
        <v>Medium</v>
      </c>
      <c r="V961" t="str">
        <f t="shared" si="132"/>
        <v>High Risk</v>
      </c>
      <c r="W961" t="str">
        <f t="shared" si="133"/>
        <v>Nov</v>
      </c>
      <c r="X961">
        <f t="shared" si="134"/>
        <v>2025</v>
      </c>
    </row>
    <row r="962" spans="1:24" x14ac:dyDescent="0.35">
      <c r="A962" s="3">
        <v>45912</v>
      </c>
      <c r="B962" t="s">
        <v>217</v>
      </c>
      <c r="C962" t="s">
        <v>109</v>
      </c>
      <c r="D962" t="s">
        <v>1108</v>
      </c>
      <c r="E962" t="s">
        <v>48</v>
      </c>
      <c r="F962" t="s">
        <v>63</v>
      </c>
      <c r="G962" t="s">
        <v>35</v>
      </c>
      <c r="H962">
        <v>67.900000000000006</v>
      </c>
      <c r="I962">
        <v>3764</v>
      </c>
      <c r="J962">
        <v>89</v>
      </c>
      <c r="K962">
        <v>15.3</v>
      </c>
      <c r="L962" t="s">
        <v>43</v>
      </c>
      <c r="M962">
        <v>38063.93</v>
      </c>
      <c r="N962">
        <v>21278</v>
      </c>
      <c r="O962" t="s">
        <v>44</v>
      </c>
      <c r="P962" t="str">
        <f t="shared" ref="P962:P1001" si="135">IF(OR(L962="Rain",L962="Fog",L962="Storm"),"Yes","No")</f>
        <v>Yes</v>
      </c>
      <c r="Q962">
        <f t="shared" ref="Q962:Q1001" si="136">ROUND(I962/H962,2)</f>
        <v>55.43</v>
      </c>
      <c r="R962">
        <f t="shared" ref="R962:R1001" si="137">ROUND(M962/I962,2)</f>
        <v>10.11</v>
      </c>
      <c r="S962">
        <f t="shared" ref="S962:S1001" si="138">ROUND(M962/N962,2)</f>
        <v>1.79</v>
      </c>
      <c r="T962" t="str">
        <f t="shared" ref="T962:T1001" si="139">IF(P962="Yes","Delayed","On Time")</f>
        <v>Delayed</v>
      </c>
      <c r="U962" t="str">
        <f t="shared" ref="U962:U1001" si="140">IF(H962&gt;=60,"High",IF(H962&gt;=40,"Medium","Low"))</f>
        <v>High</v>
      </c>
      <c r="V962" t="str">
        <f t="shared" ref="V962:V1001" si="141">IF(L962="Storm","High Risk",IF(L962="Rain","Medium Risk","Low Risk"))</f>
        <v>Low Risk</v>
      </c>
      <c r="W962" t="str">
        <f t="shared" ref="W962:W1001" si="142">TEXT(A962,"mmm")</f>
        <v>Sep</v>
      </c>
      <c r="X962">
        <f t="shared" si="134"/>
        <v>2025</v>
      </c>
    </row>
    <row r="963" spans="1:24" x14ac:dyDescent="0.35">
      <c r="A963" s="3">
        <v>45667</v>
      </c>
      <c r="B963" t="s">
        <v>125</v>
      </c>
      <c r="C963" t="s">
        <v>39</v>
      </c>
      <c r="D963" t="s">
        <v>1109</v>
      </c>
      <c r="E963" t="s">
        <v>54</v>
      </c>
      <c r="F963" t="s">
        <v>66</v>
      </c>
      <c r="G963" t="s">
        <v>35</v>
      </c>
      <c r="H963">
        <v>24.8</v>
      </c>
      <c r="I963">
        <v>893</v>
      </c>
      <c r="J963">
        <v>118</v>
      </c>
      <c r="K963">
        <v>19.5</v>
      </c>
      <c r="L963" t="s">
        <v>49</v>
      </c>
      <c r="M963">
        <v>12144.07</v>
      </c>
      <c r="N963">
        <v>28840</v>
      </c>
      <c r="O963" t="s">
        <v>91</v>
      </c>
      <c r="P963" t="str">
        <f t="shared" si="135"/>
        <v>Yes</v>
      </c>
      <c r="Q963">
        <f t="shared" si="136"/>
        <v>36.01</v>
      </c>
      <c r="R963">
        <f t="shared" si="137"/>
        <v>13.6</v>
      </c>
      <c r="S963">
        <f t="shared" si="138"/>
        <v>0.42</v>
      </c>
      <c r="T963" t="str">
        <f t="shared" si="139"/>
        <v>Delayed</v>
      </c>
      <c r="U963" t="str">
        <f t="shared" si="140"/>
        <v>Low</v>
      </c>
      <c r="V963" t="str">
        <f t="shared" si="141"/>
        <v>High Risk</v>
      </c>
      <c r="W963" t="str">
        <f t="shared" si="142"/>
        <v>Jan</v>
      </c>
      <c r="X963">
        <f t="shared" ref="X963:X1001" si="143">YEAR(A963)</f>
        <v>2025</v>
      </c>
    </row>
    <row r="964" spans="1:24" x14ac:dyDescent="0.35">
      <c r="A964" s="3">
        <v>46015</v>
      </c>
      <c r="B964" t="s">
        <v>430</v>
      </c>
      <c r="C964" t="s">
        <v>25</v>
      </c>
      <c r="D964" t="s">
        <v>1110</v>
      </c>
      <c r="E964" t="s">
        <v>27</v>
      </c>
      <c r="F964" t="s">
        <v>66</v>
      </c>
      <c r="G964" t="s">
        <v>35</v>
      </c>
      <c r="H964">
        <v>50.9</v>
      </c>
      <c r="I964">
        <v>4090</v>
      </c>
      <c r="J964">
        <v>54</v>
      </c>
      <c r="K964">
        <v>17.8</v>
      </c>
      <c r="L964" t="s">
        <v>49</v>
      </c>
      <c r="M964">
        <v>34580.06</v>
      </c>
      <c r="N964">
        <v>12371</v>
      </c>
      <c r="O964" t="s">
        <v>91</v>
      </c>
      <c r="P964" t="str">
        <f t="shared" si="135"/>
        <v>Yes</v>
      </c>
      <c r="Q964">
        <f t="shared" si="136"/>
        <v>80.349999999999994</v>
      </c>
      <c r="R964">
        <f t="shared" si="137"/>
        <v>8.4499999999999993</v>
      </c>
      <c r="S964">
        <f t="shared" si="138"/>
        <v>2.8</v>
      </c>
      <c r="T964" t="str">
        <f t="shared" si="139"/>
        <v>Delayed</v>
      </c>
      <c r="U964" t="str">
        <f t="shared" si="140"/>
        <v>Medium</v>
      </c>
      <c r="V964" t="str">
        <f t="shared" si="141"/>
        <v>High Risk</v>
      </c>
      <c r="W964" t="str">
        <f t="shared" si="142"/>
        <v>Dec</v>
      </c>
      <c r="X964">
        <f t="shared" si="143"/>
        <v>2025</v>
      </c>
    </row>
    <row r="965" spans="1:24" x14ac:dyDescent="0.35">
      <c r="A965" s="3">
        <v>45947</v>
      </c>
      <c r="B965" t="s">
        <v>129</v>
      </c>
      <c r="C965" t="s">
        <v>95</v>
      </c>
      <c r="D965" t="s">
        <v>1111</v>
      </c>
      <c r="E965" t="s">
        <v>54</v>
      </c>
      <c r="F965" t="s">
        <v>48</v>
      </c>
      <c r="G965" t="s">
        <v>42</v>
      </c>
      <c r="H965">
        <v>75.3</v>
      </c>
      <c r="I965">
        <v>4523</v>
      </c>
      <c r="J965">
        <v>77</v>
      </c>
      <c r="K965">
        <v>14.2</v>
      </c>
      <c r="L965" t="s">
        <v>49</v>
      </c>
      <c r="M965">
        <v>35085.68</v>
      </c>
      <c r="N965">
        <v>17582</v>
      </c>
      <c r="O965" t="s">
        <v>36</v>
      </c>
      <c r="P965" t="str">
        <f t="shared" si="135"/>
        <v>Yes</v>
      </c>
      <c r="Q965">
        <f t="shared" si="136"/>
        <v>60.07</v>
      </c>
      <c r="R965">
        <f t="shared" si="137"/>
        <v>7.76</v>
      </c>
      <c r="S965">
        <f t="shared" si="138"/>
        <v>2</v>
      </c>
      <c r="T965" t="str">
        <f t="shared" si="139"/>
        <v>Delayed</v>
      </c>
      <c r="U965" t="str">
        <f t="shared" si="140"/>
        <v>High</v>
      </c>
      <c r="V965" t="str">
        <f t="shared" si="141"/>
        <v>High Risk</v>
      </c>
      <c r="W965" t="str">
        <f t="shared" si="142"/>
        <v>Oct</v>
      </c>
      <c r="X965">
        <f t="shared" si="143"/>
        <v>2025</v>
      </c>
    </row>
    <row r="966" spans="1:24" x14ac:dyDescent="0.35">
      <c r="A966" s="3">
        <v>45728</v>
      </c>
      <c r="B966" t="s">
        <v>188</v>
      </c>
      <c r="C966" t="s">
        <v>25</v>
      </c>
      <c r="D966" t="s">
        <v>1112</v>
      </c>
      <c r="E966" t="s">
        <v>66</v>
      </c>
      <c r="F966" t="s">
        <v>41</v>
      </c>
      <c r="G966" t="s">
        <v>35</v>
      </c>
      <c r="H966">
        <v>37.6</v>
      </c>
      <c r="I966">
        <v>3325</v>
      </c>
      <c r="J966">
        <v>57</v>
      </c>
      <c r="K966">
        <v>11.7</v>
      </c>
      <c r="L966" t="s">
        <v>49</v>
      </c>
      <c r="M966">
        <v>22734.85</v>
      </c>
      <c r="N966">
        <v>21427</v>
      </c>
      <c r="O966" t="s">
        <v>91</v>
      </c>
      <c r="P966" t="str">
        <f t="shared" si="135"/>
        <v>Yes</v>
      </c>
      <c r="Q966">
        <f t="shared" si="136"/>
        <v>88.43</v>
      </c>
      <c r="R966">
        <f t="shared" si="137"/>
        <v>6.84</v>
      </c>
      <c r="S966">
        <f t="shared" si="138"/>
        <v>1.06</v>
      </c>
      <c r="T966" t="str">
        <f t="shared" si="139"/>
        <v>Delayed</v>
      </c>
      <c r="U966" t="str">
        <f t="shared" si="140"/>
        <v>Low</v>
      </c>
      <c r="V966" t="str">
        <f t="shared" si="141"/>
        <v>High Risk</v>
      </c>
      <c r="W966" t="str">
        <f t="shared" si="142"/>
        <v>Mar</v>
      </c>
      <c r="X966">
        <f t="shared" si="143"/>
        <v>2025</v>
      </c>
    </row>
    <row r="967" spans="1:24" x14ac:dyDescent="0.35">
      <c r="A967" s="3">
        <v>45883</v>
      </c>
      <c r="B967" t="s">
        <v>120</v>
      </c>
      <c r="C967" t="s">
        <v>95</v>
      </c>
      <c r="D967" t="s">
        <v>1113</v>
      </c>
      <c r="E967" t="s">
        <v>28</v>
      </c>
      <c r="F967" t="s">
        <v>54</v>
      </c>
      <c r="G967" t="s">
        <v>35</v>
      </c>
      <c r="H967">
        <v>62.9</v>
      </c>
      <c r="I967">
        <v>4500</v>
      </c>
      <c r="J967">
        <v>100</v>
      </c>
      <c r="K967">
        <v>20.2</v>
      </c>
      <c r="L967" t="s">
        <v>49</v>
      </c>
      <c r="M967">
        <v>33020.51</v>
      </c>
      <c r="N967">
        <v>20441</v>
      </c>
      <c r="O967" t="s">
        <v>67</v>
      </c>
      <c r="P967" t="str">
        <f t="shared" si="135"/>
        <v>Yes</v>
      </c>
      <c r="Q967">
        <f t="shared" si="136"/>
        <v>71.540000000000006</v>
      </c>
      <c r="R967">
        <f t="shared" si="137"/>
        <v>7.34</v>
      </c>
      <c r="S967">
        <f t="shared" si="138"/>
        <v>1.62</v>
      </c>
      <c r="T967" t="str">
        <f t="shared" si="139"/>
        <v>Delayed</v>
      </c>
      <c r="U967" t="str">
        <f t="shared" si="140"/>
        <v>High</v>
      </c>
      <c r="V967" t="str">
        <f t="shared" si="141"/>
        <v>High Risk</v>
      </c>
      <c r="W967" t="str">
        <f t="shared" si="142"/>
        <v>Aug</v>
      </c>
      <c r="X967">
        <f t="shared" si="143"/>
        <v>2025</v>
      </c>
    </row>
    <row r="968" spans="1:24" x14ac:dyDescent="0.35">
      <c r="A968" s="3">
        <v>45816</v>
      </c>
      <c r="B968" t="s">
        <v>246</v>
      </c>
      <c r="C968" t="s">
        <v>109</v>
      </c>
      <c r="D968" t="s">
        <v>1114</v>
      </c>
      <c r="E968" t="s">
        <v>27</v>
      </c>
      <c r="F968" t="s">
        <v>63</v>
      </c>
      <c r="G968" t="s">
        <v>42</v>
      </c>
      <c r="H968">
        <v>71.7</v>
      </c>
      <c r="I968">
        <v>3304</v>
      </c>
      <c r="J968">
        <v>39</v>
      </c>
      <c r="K968">
        <v>20.2</v>
      </c>
      <c r="L968" t="s">
        <v>43</v>
      </c>
      <c r="M968">
        <v>36666.080000000002</v>
      </c>
      <c r="N968">
        <v>16713</v>
      </c>
      <c r="O968" t="s">
        <v>84</v>
      </c>
      <c r="P968" t="str">
        <f t="shared" si="135"/>
        <v>Yes</v>
      </c>
      <c r="Q968">
        <f t="shared" si="136"/>
        <v>46.08</v>
      </c>
      <c r="R968">
        <f t="shared" si="137"/>
        <v>11.1</v>
      </c>
      <c r="S968">
        <f t="shared" si="138"/>
        <v>2.19</v>
      </c>
      <c r="T968" t="str">
        <f t="shared" si="139"/>
        <v>Delayed</v>
      </c>
      <c r="U968" t="str">
        <f t="shared" si="140"/>
        <v>High</v>
      </c>
      <c r="V968" t="str">
        <f t="shared" si="141"/>
        <v>Low Risk</v>
      </c>
      <c r="W968" t="str">
        <f t="shared" si="142"/>
        <v>Jun</v>
      </c>
      <c r="X968">
        <f t="shared" si="143"/>
        <v>2025</v>
      </c>
    </row>
    <row r="969" spans="1:24" x14ac:dyDescent="0.35">
      <c r="A969" s="3">
        <v>45845</v>
      </c>
      <c r="B969" t="s">
        <v>92</v>
      </c>
      <c r="C969" t="s">
        <v>25</v>
      </c>
      <c r="D969" t="s">
        <v>1115</v>
      </c>
      <c r="E969" t="s">
        <v>28</v>
      </c>
      <c r="F969" t="s">
        <v>63</v>
      </c>
      <c r="G969" t="s">
        <v>29</v>
      </c>
      <c r="H969">
        <v>49.6</v>
      </c>
      <c r="I969">
        <v>2708</v>
      </c>
      <c r="J969">
        <v>20</v>
      </c>
      <c r="K969">
        <v>11.4</v>
      </c>
      <c r="L969" t="s">
        <v>49</v>
      </c>
      <c r="M969">
        <v>25541.599999999999</v>
      </c>
      <c r="N969">
        <v>7537</v>
      </c>
      <c r="O969" t="s">
        <v>59</v>
      </c>
      <c r="P969" t="str">
        <f t="shared" si="135"/>
        <v>Yes</v>
      </c>
      <c r="Q969">
        <f t="shared" si="136"/>
        <v>54.6</v>
      </c>
      <c r="R969">
        <f t="shared" si="137"/>
        <v>9.43</v>
      </c>
      <c r="S969">
        <f t="shared" si="138"/>
        <v>3.39</v>
      </c>
      <c r="T969" t="str">
        <f t="shared" si="139"/>
        <v>Delayed</v>
      </c>
      <c r="U969" t="str">
        <f t="shared" si="140"/>
        <v>Medium</v>
      </c>
      <c r="V969" t="str">
        <f t="shared" si="141"/>
        <v>High Risk</v>
      </c>
      <c r="W969" t="str">
        <f t="shared" si="142"/>
        <v>Jul</v>
      </c>
      <c r="X969">
        <f t="shared" si="143"/>
        <v>2025</v>
      </c>
    </row>
    <row r="970" spans="1:24" x14ac:dyDescent="0.35">
      <c r="A970" s="3">
        <v>46007</v>
      </c>
      <c r="B970" t="s">
        <v>256</v>
      </c>
      <c r="C970" t="s">
        <v>109</v>
      </c>
      <c r="D970" t="s">
        <v>1116</v>
      </c>
      <c r="E970" t="s">
        <v>55</v>
      </c>
      <c r="F970" t="s">
        <v>63</v>
      </c>
      <c r="G970" t="s">
        <v>29</v>
      </c>
      <c r="H970">
        <v>22.4</v>
      </c>
      <c r="I970">
        <v>806</v>
      </c>
      <c r="J970">
        <v>34</v>
      </c>
      <c r="K970">
        <v>18.600000000000001</v>
      </c>
      <c r="L970" t="s">
        <v>78</v>
      </c>
      <c r="M970">
        <v>13880.41</v>
      </c>
      <c r="N970">
        <v>22165</v>
      </c>
      <c r="O970" t="s">
        <v>50</v>
      </c>
      <c r="P970" t="str">
        <f t="shared" si="135"/>
        <v>No</v>
      </c>
      <c r="Q970">
        <f t="shared" si="136"/>
        <v>35.979999999999997</v>
      </c>
      <c r="R970">
        <f t="shared" si="137"/>
        <v>17.22</v>
      </c>
      <c r="S970">
        <f t="shared" si="138"/>
        <v>0.63</v>
      </c>
      <c r="T970" t="str">
        <f t="shared" si="139"/>
        <v>On Time</v>
      </c>
      <c r="U970" t="str">
        <f t="shared" si="140"/>
        <v>Low</v>
      </c>
      <c r="V970" t="str">
        <f t="shared" si="141"/>
        <v>Low Risk</v>
      </c>
      <c r="W970" t="str">
        <f t="shared" si="142"/>
        <v>Dec</v>
      </c>
      <c r="X970">
        <f t="shared" si="143"/>
        <v>2025</v>
      </c>
    </row>
    <row r="971" spans="1:24" x14ac:dyDescent="0.35">
      <c r="A971" s="3">
        <v>45824</v>
      </c>
      <c r="B971" t="s">
        <v>157</v>
      </c>
      <c r="C971" t="s">
        <v>130</v>
      </c>
      <c r="D971" t="s">
        <v>1117</v>
      </c>
      <c r="E971" t="s">
        <v>55</v>
      </c>
      <c r="F971" t="s">
        <v>66</v>
      </c>
      <c r="G971" t="s">
        <v>71</v>
      </c>
      <c r="H971">
        <v>76.599999999999994</v>
      </c>
      <c r="I971">
        <v>4736</v>
      </c>
      <c r="J971">
        <v>96</v>
      </c>
      <c r="K971">
        <v>18</v>
      </c>
      <c r="L971" t="s">
        <v>43</v>
      </c>
      <c r="M971">
        <v>53413</v>
      </c>
      <c r="N971">
        <v>12181</v>
      </c>
      <c r="O971" t="s">
        <v>31</v>
      </c>
      <c r="P971" t="str">
        <f t="shared" si="135"/>
        <v>Yes</v>
      </c>
      <c r="Q971">
        <f t="shared" si="136"/>
        <v>61.83</v>
      </c>
      <c r="R971">
        <f t="shared" si="137"/>
        <v>11.28</v>
      </c>
      <c r="S971">
        <f t="shared" si="138"/>
        <v>4.38</v>
      </c>
      <c r="T971" t="str">
        <f t="shared" si="139"/>
        <v>Delayed</v>
      </c>
      <c r="U971" t="str">
        <f t="shared" si="140"/>
        <v>High</v>
      </c>
      <c r="V971" t="str">
        <f t="shared" si="141"/>
        <v>Low Risk</v>
      </c>
      <c r="W971" t="str">
        <f t="shared" si="142"/>
        <v>Jun</v>
      </c>
      <c r="X971">
        <f t="shared" si="143"/>
        <v>2025</v>
      </c>
    </row>
    <row r="972" spans="1:24" x14ac:dyDescent="0.35">
      <c r="A972" s="3">
        <v>45897</v>
      </c>
      <c r="B972" t="s">
        <v>113</v>
      </c>
      <c r="C972" t="s">
        <v>130</v>
      </c>
      <c r="D972" t="s">
        <v>1118</v>
      </c>
      <c r="E972" t="s">
        <v>28</v>
      </c>
      <c r="F972" t="s">
        <v>66</v>
      </c>
      <c r="G972" t="s">
        <v>35</v>
      </c>
      <c r="H972">
        <v>66.5</v>
      </c>
      <c r="I972">
        <v>2215</v>
      </c>
      <c r="J972">
        <v>120</v>
      </c>
      <c r="K972">
        <v>17</v>
      </c>
      <c r="L972" t="s">
        <v>43</v>
      </c>
      <c r="M972">
        <v>36433.379999999997</v>
      </c>
      <c r="N972">
        <v>18683</v>
      </c>
      <c r="O972" t="s">
        <v>59</v>
      </c>
      <c r="P972" t="str">
        <f t="shared" si="135"/>
        <v>Yes</v>
      </c>
      <c r="Q972">
        <f t="shared" si="136"/>
        <v>33.31</v>
      </c>
      <c r="R972">
        <f t="shared" si="137"/>
        <v>16.45</v>
      </c>
      <c r="S972">
        <f t="shared" si="138"/>
        <v>1.95</v>
      </c>
      <c r="T972" t="str">
        <f t="shared" si="139"/>
        <v>Delayed</v>
      </c>
      <c r="U972" t="str">
        <f t="shared" si="140"/>
        <v>High</v>
      </c>
      <c r="V972" t="str">
        <f t="shared" si="141"/>
        <v>Low Risk</v>
      </c>
      <c r="W972" t="str">
        <f t="shared" si="142"/>
        <v>Aug</v>
      </c>
      <c r="X972">
        <f t="shared" si="143"/>
        <v>2025</v>
      </c>
    </row>
    <row r="973" spans="1:24" x14ac:dyDescent="0.35">
      <c r="A973" s="3">
        <v>45693</v>
      </c>
      <c r="B973" t="s">
        <v>300</v>
      </c>
      <c r="C973" t="s">
        <v>57</v>
      </c>
      <c r="D973" t="s">
        <v>1119</v>
      </c>
      <c r="E973" t="s">
        <v>55</v>
      </c>
      <c r="F973" t="s">
        <v>41</v>
      </c>
      <c r="G973" t="s">
        <v>42</v>
      </c>
      <c r="H973">
        <v>50.3</v>
      </c>
      <c r="I973">
        <v>4047</v>
      </c>
      <c r="J973">
        <v>48</v>
      </c>
      <c r="K973">
        <v>14</v>
      </c>
      <c r="L973" t="s">
        <v>49</v>
      </c>
      <c r="M973">
        <v>30154.48</v>
      </c>
      <c r="N973">
        <v>17871</v>
      </c>
      <c r="O973" t="s">
        <v>36</v>
      </c>
      <c r="P973" t="str">
        <f t="shared" si="135"/>
        <v>Yes</v>
      </c>
      <c r="Q973">
        <f t="shared" si="136"/>
        <v>80.459999999999994</v>
      </c>
      <c r="R973">
        <f t="shared" si="137"/>
        <v>7.45</v>
      </c>
      <c r="S973">
        <f t="shared" si="138"/>
        <v>1.69</v>
      </c>
      <c r="T973" t="str">
        <f t="shared" si="139"/>
        <v>Delayed</v>
      </c>
      <c r="U973" t="str">
        <f t="shared" si="140"/>
        <v>Medium</v>
      </c>
      <c r="V973" t="str">
        <f t="shared" si="141"/>
        <v>High Risk</v>
      </c>
      <c r="W973" t="str">
        <f t="shared" si="142"/>
        <v>Feb</v>
      </c>
      <c r="X973">
        <f t="shared" si="143"/>
        <v>2025</v>
      </c>
    </row>
    <row r="974" spans="1:24" x14ac:dyDescent="0.35">
      <c r="A974" s="3">
        <v>45909</v>
      </c>
      <c r="B974" t="s">
        <v>82</v>
      </c>
      <c r="C974" t="s">
        <v>25</v>
      </c>
      <c r="D974" t="s">
        <v>1120</v>
      </c>
      <c r="E974" t="s">
        <v>63</v>
      </c>
      <c r="F974" t="s">
        <v>54</v>
      </c>
      <c r="G974" t="s">
        <v>29</v>
      </c>
      <c r="H974">
        <v>53.7</v>
      </c>
      <c r="I974">
        <v>4398</v>
      </c>
      <c r="J974">
        <v>42</v>
      </c>
      <c r="K974">
        <v>11.1</v>
      </c>
      <c r="L974" t="s">
        <v>43</v>
      </c>
      <c r="M974">
        <v>37024.639999999999</v>
      </c>
      <c r="N974">
        <v>27540</v>
      </c>
      <c r="O974" t="s">
        <v>50</v>
      </c>
      <c r="P974" t="str">
        <f t="shared" si="135"/>
        <v>Yes</v>
      </c>
      <c r="Q974">
        <f t="shared" si="136"/>
        <v>81.900000000000006</v>
      </c>
      <c r="R974">
        <f t="shared" si="137"/>
        <v>8.42</v>
      </c>
      <c r="S974">
        <f t="shared" si="138"/>
        <v>1.34</v>
      </c>
      <c r="T974" t="str">
        <f t="shared" si="139"/>
        <v>Delayed</v>
      </c>
      <c r="U974" t="str">
        <f t="shared" si="140"/>
        <v>Medium</v>
      </c>
      <c r="V974" t="str">
        <f t="shared" si="141"/>
        <v>Low Risk</v>
      </c>
      <c r="W974" t="str">
        <f t="shared" si="142"/>
        <v>Sep</v>
      </c>
      <c r="X974">
        <f t="shared" si="143"/>
        <v>2025</v>
      </c>
    </row>
    <row r="975" spans="1:24" x14ac:dyDescent="0.35">
      <c r="A975" s="3">
        <v>45686</v>
      </c>
      <c r="B975" t="s">
        <v>193</v>
      </c>
      <c r="C975" t="s">
        <v>52</v>
      </c>
      <c r="D975" t="s">
        <v>1121</v>
      </c>
      <c r="E975" t="s">
        <v>55</v>
      </c>
      <c r="F975" t="s">
        <v>54</v>
      </c>
      <c r="G975" t="s">
        <v>35</v>
      </c>
      <c r="H975">
        <v>52</v>
      </c>
      <c r="I975">
        <v>1520</v>
      </c>
      <c r="J975">
        <v>94</v>
      </c>
      <c r="K975">
        <v>21.6</v>
      </c>
      <c r="L975" t="s">
        <v>78</v>
      </c>
      <c r="M975">
        <v>23406.67</v>
      </c>
      <c r="N975">
        <v>13018</v>
      </c>
      <c r="O975" t="s">
        <v>59</v>
      </c>
      <c r="P975" t="str">
        <f t="shared" si="135"/>
        <v>No</v>
      </c>
      <c r="Q975">
        <f t="shared" si="136"/>
        <v>29.23</v>
      </c>
      <c r="R975">
        <f t="shared" si="137"/>
        <v>15.4</v>
      </c>
      <c r="S975">
        <f t="shared" si="138"/>
        <v>1.8</v>
      </c>
      <c r="T975" t="str">
        <f t="shared" si="139"/>
        <v>On Time</v>
      </c>
      <c r="U975" t="str">
        <f t="shared" si="140"/>
        <v>Medium</v>
      </c>
      <c r="V975" t="str">
        <f t="shared" si="141"/>
        <v>Low Risk</v>
      </c>
      <c r="W975" t="str">
        <f t="shared" si="142"/>
        <v>Jan</v>
      </c>
      <c r="X975">
        <f t="shared" si="143"/>
        <v>2025</v>
      </c>
    </row>
    <row r="976" spans="1:24" x14ac:dyDescent="0.35">
      <c r="A976" s="3">
        <v>45808</v>
      </c>
      <c r="B976" t="s">
        <v>61</v>
      </c>
      <c r="C976" t="s">
        <v>57</v>
      </c>
      <c r="D976" t="s">
        <v>1122</v>
      </c>
      <c r="E976" t="s">
        <v>63</v>
      </c>
      <c r="F976" t="s">
        <v>54</v>
      </c>
      <c r="G976" t="s">
        <v>71</v>
      </c>
      <c r="H976">
        <v>23.7</v>
      </c>
      <c r="I976">
        <v>4022</v>
      </c>
      <c r="J976">
        <v>68</v>
      </c>
      <c r="K976">
        <v>15.2</v>
      </c>
      <c r="L976" t="s">
        <v>30</v>
      </c>
      <c r="M976">
        <v>15444.28</v>
      </c>
      <c r="N976">
        <v>14502</v>
      </c>
      <c r="O976" t="s">
        <v>84</v>
      </c>
      <c r="P976" t="str">
        <f t="shared" si="135"/>
        <v>Yes</v>
      </c>
      <c r="Q976">
        <f t="shared" si="136"/>
        <v>169.7</v>
      </c>
      <c r="R976">
        <f t="shared" si="137"/>
        <v>3.84</v>
      </c>
      <c r="S976">
        <f t="shared" si="138"/>
        <v>1.06</v>
      </c>
      <c r="T976" t="str">
        <f t="shared" si="139"/>
        <v>Delayed</v>
      </c>
      <c r="U976" t="str">
        <f t="shared" si="140"/>
        <v>Low</v>
      </c>
      <c r="V976" t="str">
        <f t="shared" si="141"/>
        <v>Medium Risk</v>
      </c>
      <c r="W976" t="str">
        <f t="shared" si="142"/>
        <v>May</v>
      </c>
      <c r="X976">
        <f t="shared" si="143"/>
        <v>2025</v>
      </c>
    </row>
    <row r="977" spans="1:24" x14ac:dyDescent="0.35">
      <c r="A977" s="3">
        <v>45820</v>
      </c>
      <c r="B977" t="s">
        <v>152</v>
      </c>
      <c r="C977" t="s">
        <v>109</v>
      </c>
      <c r="D977" t="s">
        <v>1123</v>
      </c>
      <c r="E977" t="s">
        <v>27</v>
      </c>
      <c r="F977" t="s">
        <v>28</v>
      </c>
      <c r="G977" t="s">
        <v>71</v>
      </c>
      <c r="H977">
        <v>76.099999999999994</v>
      </c>
      <c r="I977">
        <v>2855</v>
      </c>
      <c r="J977">
        <v>24</v>
      </c>
      <c r="K977">
        <v>20.9</v>
      </c>
      <c r="L977" t="s">
        <v>30</v>
      </c>
      <c r="M977">
        <v>45814.09</v>
      </c>
      <c r="N977">
        <v>18714</v>
      </c>
      <c r="O977" t="s">
        <v>36</v>
      </c>
      <c r="P977" t="str">
        <f t="shared" si="135"/>
        <v>Yes</v>
      </c>
      <c r="Q977">
        <f t="shared" si="136"/>
        <v>37.520000000000003</v>
      </c>
      <c r="R977">
        <f t="shared" si="137"/>
        <v>16.05</v>
      </c>
      <c r="S977">
        <f t="shared" si="138"/>
        <v>2.4500000000000002</v>
      </c>
      <c r="T977" t="str">
        <f t="shared" si="139"/>
        <v>Delayed</v>
      </c>
      <c r="U977" t="str">
        <f t="shared" si="140"/>
        <v>High</v>
      </c>
      <c r="V977" t="str">
        <f t="shared" si="141"/>
        <v>Medium Risk</v>
      </c>
      <c r="W977" t="str">
        <f t="shared" si="142"/>
        <v>Jun</v>
      </c>
      <c r="X977">
        <f t="shared" si="143"/>
        <v>2025</v>
      </c>
    </row>
    <row r="978" spans="1:24" x14ac:dyDescent="0.35">
      <c r="A978" s="3">
        <v>45735</v>
      </c>
      <c r="B978" t="s">
        <v>193</v>
      </c>
      <c r="C978" t="s">
        <v>57</v>
      </c>
      <c r="D978" t="s">
        <v>1124</v>
      </c>
      <c r="E978" t="s">
        <v>66</v>
      </c>
      <c r="F978" t="s">
        <v>48</v>
      </c>
      <c r="G978" t="s">
        <v>29</v>
      </c>
      <c r="H978">
        <v>63.7</v>
      </c>
      <c r="I978">
        <v>1430</v>
      </c>
      <c r="J978">
        <v>51</v>
      </c>
      <c r="K978">
        <v>11.6</v>
      </c>
      <c r="L978" t="s">
        <v>30</v>
      </c>
      <c r="M978">
        <v>43704.71</v>
      </c>
      <c r="N978">
        <v>19839</v>
      </c>
      <c r="O978" t="s">
        <v>31</v>
      </c>
      <c r="P978" t="str">
        <f t="shared" si="135"/>
        <v>Yes</v>
      </c>
      <c r="Q978">
        <f t="shared" si="136"/>
        <v>22.45</v>
      </c>
      <c r="R978">
        <f t="shared" si="137"/>
        <v>30.56</v>
      </c>
      <c r="S978">
        <f t="shared" si="138"/>
        <v>2.2000000000000002</v>
      </c>
      <c r="T978" t="str">
        <f t="shared" si="139"/>
        <v>Delayed</v>
      </c>
      <c r="U978" t="str">
        <f t="shared" si="140"/>
        <v>High</v>
      </c>
      <c r="V978" t="str">
        <f t="shared" si="141"/>
        <v>Medium Risk</v>
      </c>
      <c r="W978" t="str">
        <f t="shared" si="142"/>
        <v>Mar</v>
      </c>
      <c r="X978">
        <f t="shared" si="143"/>
        <v>2025</v>
      </c>
    </row>
    <row r="979" spans="1:24" x14ac:dyDescent="0.35">
      <c r="A979" s="3">
        <v>45960</v>
      </c>
      <c r="B979" t="s">
        <v>108</v>
      </c>
      <c r="C979" t="s">
        <v>130</v>
      </c>
      <c r="D979" t="s">
        <v>1125</v>
      </c>
      <c r="E979" t="s">
        <v>63</v>
      </c>
      <c r="F979" t="s">
        <v>41</v>
      </c>
      <c r="G979" t="s">
        <v>29</v>
      </c>
      <c r="H979">
        <v>46.6</v>
      </c>
      <c r="I979">
        <v>2199</v>
      </c>
      <c r="J979">
        <v>85</v>
      </c>
      <c r="K979">
        <v>11.6</v>
      </c>
      <c r="L979" t="s">
        <v>43</v>
      </c>
      <c r="M979">
        <v>23518.28</v>
      </c>
      <c r="N979">
        <v>19592</v>
      </c>
      <c r="O979" t="s">
        <v>84</v>
      </c>
      <c r="P979" t="str">
        <f t="shared" si="135"/>
        <v>Yes</v>
      </c>
      <c r="Q979">
        <f t="shared" si="136"/>
        <v>47.19</v>
      </c>
      <c r="R979">
        <f t="shared" si="137"/>
        <v>10.69</v>
      </c>
      <c r="S979">
        <f t="shared" si="138"/>
        <v>1.2</v>
      </c>
      <c r="T979" t="str">
        <f t="shared" si="139"/>
        <v>Delayed</v>
      </c>
      <c r="U979" t="str">
        <f t="shared" si="140"/>
        <v>Medium</v>
      </c>
      <c r="V979" t="str">
        <f t="shared" si="141"/>
        <v>Low Risk</v>
      </c>
      <c r="W979" t="str">
        <f t="shared" si="142"/>
        <v>Oct</v>
      </c>
      <c r="X979">
        <f t="shared" si="143"/>
        <v>2025</v>
      </c>
    </row>
    <row r="980" spans="1:24" x14ac:dyDescent="0.35">
      <c r="A980" s="3">
        <v>45915</v>
      </c>
      <c r="B980" t="s">
        <v>291</v>
      </c>
      <c r="C980" t="s">
        <v>130</v>
      </c>
      <c r="D980" t="s">
        <v>1126</v>
      </c>
      <c r="E980" t="s">
        <v>41</v>
      </c>
      <c r="F980" t="s">
        <v>63</v>
      </c>
      <c r="G980" t="s">
        <v>35</v>
      </c>
      <c r="H980">
        <v>69.099999999999994</v>
      </c>
      <c r="I980">
        <v>1063</v>
      </c>
      <c r="J980">
        <v>82</v>
      </c>
      <c r="K980">
        <v>10.199999999999999</v>
      </c>
      <c r="L980" t="s">
        <v>43</v>
      </c>
      <c r="M980">
        <v>36948.9</v>
      </c>
      <c r="N980">
        <v>26748</v>
      </c>
      <c r="O980" t="s">
        <v>44</v>
      </c>
      <c r="P980" t="str">
        <f t="shared" si="135"/>
        <v>Yes</v>
      </c>
      <c r="Q980">
        <f t="shared" si="136"/>
        <v>15.38</v>
      </c>
      <c r="R980">
        <f t="shared" si="137"/>
        <v>34.76</v>
      </c>
      <c r="S980">
        <f t="shared" si="138"/>
        <v>1.38</v>
      </c>
      <c r="T980" t="str">
        <f t="shared" si="139"/>
        <v>Delayed</v>
      </c>
      <c r="U980" t="str">
        <f t="shared" si="140"/>
        <v>High</v>
      </c>
      <c r="V980" t="str">
        <f t="shared" si="141"/>
        <v>Low Risk</v>
      </c>
      <c r="W980" t="str">
        <f t="shared" si="142"/>
        <v>Sep</v>
      </c>
      <c r="X980">
        <f t="shared" si="143"/>
        <v>2025</v>
      </c>
    </row>
    <row r="981" spans="1:24" x14ac:dyDescent="0.35">
      <c r="A981" s="3">
        <v>45761</v>
      </c>
      <c r="B981" t="s">
        <v>250</v>
      </c>
      <c r="C981" t="s">
        <v>57</v>
      </c>
      <c r="D981" t="s">
        <v>1127</v>
      </c>
      <c r="E981" t="s">
        <v>63</v>
      </c>
      <c r="F981" t="s">
        <v>55</v>
      </c>
      <c r="G981" t="s">
        <v>29</v>
      </c>
      <c r="H981">
        <v>60.1</v>
      </c>
      <c r="I981">
        <v>603</v>
      </c>
      <c r="J981">
        <v>96</v>
      </c>
      <c r="K981">
        <v>11.9</v>
      </c>
      <c r="L981" t="s">
        <v>30</v>
      </c>
      <c r="M981">
        <v>41704.839999999997</v>
      </c>
      <c r="N981">
        <v>15235</v>
      </c>
      <c r="O981" t="s">
        <v>50</v>
      </c>
      <c r="P981" t="str">
        <f t="shared" si="135"/>
        <v>Yes</v>
      </c>
      <c r="Q981">
        <f t="shared" si="136"/>
        <v>10.029999999999999</v>
      </c>
      <c r="R981">
        <f t="shared" si="137"/>
        <v>69.16</v>
      </c>
      <c r="S981">
        <f t="shared" si="138"/>
        <v>2.74</v>
      </c>
      <c r="T981" t="str">
        <f t="shared" si="139"/>
        <v>Delayed</v>
      </c>
      <c r="U981" t="str">
        <f t="shared" si="140"/>
        <v>High</v>
      </c>
      <c r="V981" t="str">
        <f t="shared" si="141"/>
        <v>Medium Risk</v>
      </c>
      <c r="W981" t="str">
        <f t="shared" si="142"/>
        <v>Apr</v>
      </c>
      <c r="X981">
        <f t="shared" si="143"/>
        <v>2025</v>
      </c>
    </row>
    <row r="982" spans="1:24" x14ac:dyDescent="0.35">
      <c r="A982" s="3">
        <v>45831</v>
      </c>
      <c r="B982" t="s">
        <v>46</v>
      </c>
      <c r="C982" t="s">
        <v>25</v>
      </c>
      <c r="D982" t="s">
        <v>1128</v>
      </c>
      <c r="E982" t="s">
        <v>66</v>
      </c>
      <c r="F982" t="s">
        <v>48</v>
      </c>
      <c r="G982" t="s">
        <v>29</v>
      </c>
      <c r="H982">
        <v>26.4</v>
      </c>
      <c r="I982">
        <v>1360</v>
      </c>
      <c r="J982">
        <v>72</v>
      </c>
      <c r="K982">
        <v>11.6</v>
      </c>
      <c r="L982" t="s">
        <v>43</v>
      </c>
      <c r="M982">
        <v>16052.58</v>
      </c>
      <c r="N982">
        <v>20335</v>
      </c>
      <c r="O982" t="s">
        <v>31</v>
      </c>
      <c r="P982" t="str">
        <f t="shared" si="135"/>
        <v>Yes</v>
      </c>
      <c r="Q982">
        <f t="shared" si="136"/>
        <v>51.52</v>
      </c>
      <c r="R982">
        <f t="shared" si="137"/>
        <v>11.8</v>
      </c>
      <c r="S982">
        <f t="shared" si="138"/>
        <v>0.79</v>
      </c>
      <c r="T982" t="str">
        <f t="shared" si="139"/>
        <v>Delayed</v>
      </c>
      <c r="U982" t="str">
        <f t="shared" si="140"/>
        <v>Low</v>
      </c>
      <c r="V982" t="str">
        <f t="shared" si="141"/>
        <v>Low Risk</v>
      </c>
      <c r="W982" t="str">
        <f t="shared" si="142"/>
        <v>Jun</v>
      </c>
      <c r="X982">
        <f t="shared" si="143"/>
        <v>2025</v>
      </c>
    </row>
    <row r="983" spans="1:24" x14ac:dyDescent="0.35">
      <c r="A983" s="3">
        <v>45761</v>
      </c>
      <c r="B983" t="s">
        <v>136</v>
      </c>
      <c r="C983" t="s">
        <v>52</v>
      </c>
      <c r="D983" t="s">
        <v>1129</v>
      </c>
      <c r="E983" t="s">
        <v>55</v>
      </c>
      <c r="F983" t="s">
        <v>54</v>
      </c>
      <c r="G983" t="s">
        <v>35</v>
      </c>
      <c r="H983">
        <v>50.4</v>
      </c>
      <c r="I983">
        <v>4594</v>
      </c>
      <c r="J983">
        <v>85</v>
      </c>
      <c r="K983">
        <v>16.2</v>
      </c>
      <c r="L983" t="s">
        <v>30</v>
      </c>
      <c r="M983">
        <v>34648.5</v>
      </c>
      <c r="N983">
        <v>17086</v>
      </c>
      <c r="O983" t="s">
        <v>59</v>
      </c>
      <c r="P983" t="str">
        <f t="shared" si="135"/>
        <v>Yes</v>
      </c>
      <c r="Q983">
        <f t="shared" si="136"/>
        <v>91.15</v>
      </c>
      <c r="R983">
        <f t="shared" si="137"/>
        <v>7.54</v>
      </c>
      <c r="S983">
        <f t="shared" si="138"/>
        <v>2.0299999999999998</v>
      </c>
      <c r="T983" t="str">
        <f t="shared" si="139"/>
        <v>Delayed</v>
      </c>
      <c r="U983" t="str">
        <f t="shared" si="140"/>
        <v>Medium</v>
      </c>
      <c r="V983" t="str">
        <f t="shared" si="141"/>
        <v>Medium Risk</v>
      </c>
      <c r="W983" t="str">
        <f t="shared" si="142"/>
        <v>Apr</v>
      </c>
      <c r="X983">
        <f t="shared" si="143"/>
        <v>2025</v>
      </c>
    </row>
    <row r="984" spans="1:24" x14ac:dyDescent="0.35">
      <c r="A984" s="3">
        <v>45930</v>
      </c>
      <c r="B984" t="s">
        <v>309</v>
      </c>
      <c r="C984" t="s">
        <v>25</v>
      </c>
      <c r="D984" t="s">
        <v>1130</v>
      </c>
      <c r="E984" t="s">
        <v>41</v>
      </c>
      <c r="F984" t="s">
        <v>55</v>
      </c>
      <c r="G984" t="s">
        <v>29</v>
      </c>
      <c r="H984">
        <v>33.299999999999997</v>
      </c>
      <c r="I984">
        <v>2369</v>
      </c>
      <c r="J984">
        <v>83</v>
      </c>
      <c r="K984">
        <v>15.6</v>
      </c>
      <c r="L984" t="s">
        <v>49</v>
      </c>
      <c r="M984">
        <v>22829.69</v>
      </c>
      <c r="N984">
        <v>22398</v>
      </c>
      <c r="O984" t="s">
        <v>36</v>
      </c>
      <c r="P984" t="str">
        <f t="shared" si="135"/>
        <v>Yes</v>
      </c>
      <c r="Q984">
        <f t="shared" si="136"/>
        <v>71.14</v>
      </c>
      <c r="R984">
        <f t="shared" si="137"/>
        <v>9.64</v>
      </c>
      <c r="S984">
        <f t="shared" si="138"/>
        <v>1.02</v>
      </c>
      <c r="T984" t="str">
        <f t="shared" si="139"/>
        <v>Delayed</v>
      </c>
      <c r="U984" t="str">
        <f t="shared" si="140"/>
        <v>Low</v>
      </c>
      <c r="V984" t="str">
        <f t="shared" si="141"/>
        <v>High Risk</v>
      </c>
      <c r="W984" t="str">
        <f t="shared" si="142"/>
        <v>Sep</v>
      </c>
      <c r="X984">
        <f t="shared" si="143"/>
        <v>2025</v>
      </c>
    </row>
    <row r="985" spans="1:24" x14ac:dyDescent="0.35">
      <c r="A985" s="3">
        <v>45729</v>
      </c>
      <c r="B985" t="s">
        <v>56</v>
      </c>
      <c r="C985" t="s">
        <v>57</v>
      </c>
      <c r="D985" t="s">
        <v>1131</v>
      </c>
      <c r="E985" t="s">
        <v>55</v>
      </c>
      <c r="F985" t="s">
        <v>54</v>
      </c>
      <c r="G985" t="s">
        <v>29</v>
      </c>
      <c r="H985">
        <v>65.3</v>
      </c>
      <c r="I985">
        <v>2103</v>
      </c>
      <c r="J985">
        <v>57</v>
      </c>
      <c r="K985">
        <v>21.2</v>
      </c>
      <c r="L985" t="s">
        <v>78</v>
      </c>
      <c r="M985">
        <v>29958.23</v>
      </c>
      <c r="N985">
        <v>17442</v>
      </c>
      <c r="O985" t="s">
        <v>67</v>
      </c>
      <c r="P985" t="str">
        <f t="shared" si="135"/>
        <v>No</v>
      </c>
      <c r="Q985">
        <f t="shared" si="136"/>
        <v>32.21</v>
      </c>
      <c r="R985">
        <f t="shared" si="137"/>
        <v>14.25</v>
      </c>
      <c r="S985">
        <f t="shared" si="138"/>
        <v>1.72</v>
      </c>
      <c r="T985" t="str">
        <f t="shared" si="139"/>
        <v>On Time</v>
      </c>
      <c r="U985" t="str">
        <f t="shared" si="140"/>
        <v>High</v>
      </c>
      <c r="V985" t="str">
        <f t="shared" si="141"/>
        <v>Low Risk</v>
      </c>
      <c r="W985" t="str">
        <f t="shared" si="142"/>
        <v>Mar</v>
      </c>
      <c r="X985">
        <f t="shared" si="143"/>
        <v>2025</v>
      </c>
    </row>
    <row r="986" spans="1:24" x14ac:dyDescent="0.35">
      <c r="A986" s="3">
        <v>45716</v>
      </c>
      <c r="B986" t="s">
        <v>300</v>
      </c>
      <c r="C986" t="s">
        <v>109</v>
      </c>
      <c r="D986" t="s">
        <v>1132</v>
      </c>
      <c r="E986" t="s">
        <v>28</v>
      </c>
      <c r="F986" t="s">
        <v>54</v>
      </c>
      <c r="G986" t="s">
        <v>71</v>
      </c>
      <c r="H986">
        <v>59.4</v>
      </c>
      <c r="I986">
        <v>1045</v>
      </c>
      <c r="J986">
        <v>53</v>
      </c>
      <c r="K986">
        <v>16</v>
      </c>
      <c r="L986" t="s">
        <v>78</v>
      </c>
      <c r="M986">
        <v>35710.43</v>
      </c>
      <c r="N986">
        <v>11268</v>
      </c>
      <c r="O986" t="s">
        <v>36</v>
      </c>
      <c r="P986" t="str">
        <f t="shared" si="135"/>
        <v>No</v>
      </c>
      <c r="Q986">
        <f t="shared" si="136"/>
        <v>17.59</v>
      </c>
      <c r="R986">
        <f t="shared" si="137"/>
        <v>34.17</v>
      </c>
      <c r="S986">
        <f t="shared" si="138"/>
        <v>3.17</v>
      </c>
      <c r="T986" t="str">
        <f t="shared" si="139"/>
        <v>On Time</v>
      </c>
      <c r="U986" t="str">
        <f t="shared" si="140"/>
        <v>Medium</v>
      </c>
      <c r="V986" t="str">
        <f t="shared" si="141"/>
        <v>Low Risk</v>
      </c>
      <c r="W986" t="str">
        <f t="shared" si="142"/>
        <v>Feb</v>
      </c>
      <c r="X986">
        <f t="shared" si="143"/>
        <v>2025</v>
      </c>
    </row>
    <row r="987" spans="1:24" x14ac:dyDescent="0.35">
      <c r="A987" s="3">
        <v>45759</v>
      </c>
      <c r="B987" t="s">
        <v>76</v>
      </c>
      <c r="C987" t="s">
        <v>109</v>
      </c>
      <c r="D987" t="s">
        <v>1133</v>
      </c>
      <c r="E987" t="s">
        <v>28</v>
      </c>
      <c r="F987" t="s">
        <v>41</v>
      </c>
      <c r="G987" t="s">
        <v>71</v>
      </c>
      <c r="H987">
        <v>46.7</v>
      </c>
      <c r="I987">
        <v>3756</v>
      </c>
      <c r="J987">
        <v>66</v>
      </c>
      <c r="K987">
        <v>17.3</v>
      </c>
      <c r="L987" t="s">
        <v>49</v>
      </c>
      <c r="M987">
        <v>27554.19</v>
      </c>
      <c r="N987">
        <v>16413</v>
      </c>
      <c r="O987" t="s">
        <v>59</v>
      </c>
      <c r="P987" t="str">
        <f t="shared" si="135"/>
        <v>Yes</v>
      </c>
      <c r="Q987">
        <f t="shared" si="136"/>
        <v>80.430000000000007</v>
      </c>
      <c r="R987">
        <f t="shared" si="137"/>
        <v>7.34</v>
      </c>
      <c r="S987">
        <f t="shared" si="138"/>
        <v>1.68</v>
      </c>
      <c r="T987" t="str">
        <f t="shared" si="139"/>
        <v>Delayed</v>
      </c>
      <c r="U987" t="str">
        <f t="shared" si="140"/>
        <v>Medium</v>
      </c>
      <c r="V987" t="str">
        <f t="shared" si="141"/>
        <v>High Risk</v>
      </c>
      <c r="W987" t="str">
        <f t="shared" si="142"/>
        <v>Apr</v>
      </c>
      <c r="X987">
        <f t="shared" si="143"/>
        <v>2025</v>
      </c>
    </row>
    <row r="988" spans="1:24" x14ac:dyDescent="0.35">
      <c r="A988" s="3">
        <v>45680</v>
      </c>
      <c r="B988" t="s">
        <v>102</v>
      </c>
      <c r="C988" t="s">
        <v>109</v>
      </c>
      <c r="D988" t="s">
        <v>1134</v>
      </c>
      <c r="E988" t="s">
        <v>54</v>
      </c>
      <c r="F988" t="s">
        <v>66</v>
      </c>
      <c r="G988" t="s">
        <v>42</v>
      </c>
      <c r="H988">
        <v>37.799999999999997</v>
      </c>
      <c r="I988">
        <v>3592</v>
      </c>
      <c r="J988">
        <v>85</v>
      </c>
      <c r="K988">
        <v>21.9</v>
      </c>
      <c r="L988" t="s">
        <v>43</v>
      </c>
      <c r="M988">
        <v>18333.46</v>
      </c>
      <c r="N988">
        <v>29970</v>
      </c>
      <c r="O988" t="s">
        <v>50</v>
      </c>
      <c r="P988" t="str">
        <f t="shared" si="135"/>
        <v>Yes</v>
      </c>
      <c r="Q988">
        <f t="shared" si="136"/>
        <v>95.03</v>
      </c>
      <c r="R988">
        <f t="shared" si="137"/>
        <v>5.0999999999999996</v>
      </c>
      <c r="S988">
        <f t="shared" si="138"/>
        <v>0.61</v>
      </c>
      <c r="T988" t="str">
        <f t="shared" si="139"/>
        <v>Delayed</v>
      </c>
      <c r="U988" t="str">
        <f t="shared" si="140"/>
        <v>Low</v>
      </c>
      <c r="V988" t="str">
        <f t="shared" si="141"/>
        <v>Low Risk</v>
      </c>
      <c r="W988" t="str">
        <f t="shared" si="142"/>
        <v>Jan</v>
      </c>
      <c r="X988">
        <f t="shared" si="143"/>
        <v>2025</v>
      </c>
    </row>
    <row r="989" spans="1:24" x14ac:dyDescent="0.35">
      <c r="A989" s="3">
        <v>45810</v>
      </c>
      <c r="B989" t="s">
        <v>159</v>
      </c>
      <c r="C989" t="s">
        <v>130</v>
      </c>
      <c r="D989" t="s">
        <v>1135</v>
      </c>
      <c r="E989" t="s">
        <v>48</v>
      </c>
      <c r="F989" t="s">
        <v>66</v>
      </c>
      <c r="G989" t="s">
        <v>35</v>
      </c>
      <c r="H989">
        <v>30.8</v>
      </c>
      <c r="I989">
        <v>4458</v>
      </c>
      <c r="J989">
        <v>43</v>
      </c>
      <c r="K989">
        <v>16.8</v>
      </c>
      <c r="L989" t="s">
        <v>78</v>
      </c>
      <c r="M989">
        <v>16929.759999999998</v>
      </c>
      <c r="N989">
        <v>9007</v>
      </c>
      <c r="O989" t="s">
        <v>31</v>
      </c>
      <c r="P989" t="str">
        <f t="shared" si="135"/>
        <v>No</v>
      </c>
      <c r="Q989">
        <f t="shared" si="136"/>
        <v>144.74</v>
      </c>
      <c r="R989">
        <f t="shared" si="137"/>
        <v>3.8</v>
      </c>
      <c r="S989">
        <f t="shared" si="138"/>
        <v>1.88</v>
      </c>
      <c r="T989" t="str">
        <f t="shared" si="139"/>
        <v>On Time</v>
      </c>
      <c r="U989" t="str">
        <f t="shared" si="140"/>
        <v>Low</v>
      </c>
      <c r="V989" t="str">
        <f t="shared" si="141"/>
        <v>Low Risk</v>
      </c>
      <c r="W989" t="str">
        <f t="shared" si="142"/>
        <v>Jun</v>
      </c>
      <c r="X989">
        <f t="shared" si="143"/>
        <v>2025</v>
      </c>
    </row>
    <row r="990" spans="1:24" x14ac:dyDescent="0.35">
      <c r="A990" s="3">
        <v>45711</v>
      </c>
      <c r="B990" t="s">
        <v>108</v>
      </c>
      <c r="C990" t="s">
        <v>130</v>
      </c>
      <c r="D990" t="s">
        <v>1136</v>
      </c>
      <c r="E990" t="s">
        <v>54</v>
      </c>
      <c r="F990" t="s">
        <v>28</v>
      </c>
      <c r="G990" t="s">
        <v>29</v>
      </c>
      <c r="H990">
        <v>54.7</v>
      </c>
      <c r="I990">
        <v>2571</v>
      </c>
      <c r="J990">
        <v>54</v>
      </c>
      <c r="K990">
        <v>14.8</v>
      </c>
      <c r="L990" t="s">
        <v>78</v>
      </c>
      <c r="M990">
        <v>33434.36</v>
      </c>
      <c r="N990">
        <v>9096</v>
      </c>
      <c r="O990" t="s">
        <v>84</v>
      </c>
      <c r="P990" t="str">
        <f t="shared" si="135"/>
        <v>No</v>
      </c>
      <c r="Q990">
        <f t="shared" si="136"/>
        <v>47</v>
      </c>
      <c r="R990">
        <f t="shared" si="137"/>
        <v>13</v>
      </c>
      <c r="S990">
        <f t="shared" si="138"/>
        <v>3.68</v>
      </c>
      <c r="T990" t="str">
        <f t="shared" si="139"/>
        <v>On Time</v>
      </c>
      <c r="U990" t="str">
        <f t="shared" si="140"/>
        <v>Medium</v>
      </c>
      <c r="V990" t="str">
        <f t="shared" si="141"/>
        <v>Low Risk</v>
      </c>
      <c r="W990" t="str">
        <f t="shared" si="142"/>
        <v>Feb</v>
      </c>
      <c r="X990">
        <f t="shared" si="143"/>
        <v>2025</v>
      </c>
    </row>
    <row r="991" spans="1:24" x14ac:dyDescent="0.35">
      <c r="A991" s="3">
        <v>45810</v>
      </c>
      <c r="B991" t="s">
        <v>148</v>
      </c>
      <c r="C991" t="s">
        <v>39</v>
      </c>
      <c r="D991" t="s">
        <v>1137</v>
      </c>
      <c r="E991" t="s">
        <v>28</v>
      </c>
      <c r="F991" t="s">
        <v>66</v>
      </c>
      <c r="G991" t="s">
        <v>29</v>
      </c>
      <c r="H991">
        <v>68.599999999999994</v>
      </c>
      <c r="I991">
        <v>4892</v>
      </c>
      <c r="J991">
        <v>45</v>
      </c>
      <c r="K991">
        <v>10.5</v>
      </c>
      <c r="L991" t="s">
        <v>43</v>
      </c>
      <c r="M991">
        <v>40097.71</v>
      </c>
      <c r="N991">
        <v>15088</v>
      </c>
      <c r="O991" t="s">
        <v>59</v>
      </c>
      <c r="P991" t="str">
        <f t="shared" si="135"/>
        <v>Yes</v>
      </c>
      <c r="Q991">
        <f t="shared" si="136"/>
        <v>71.31</v>
      </c>
      <c r="R991">
        <f t="shared" si="137"/>
        <v>8.1999999999999993</v>
      </c>
      <c r="S991">
        <f t="shared" si="138"/>
        <v>2.66</v>
      </c>
      <c r="T991" t="str">
        <f t="shared" si="139"/>
        <v>Delayed</v>
      </c>
      <c r="U991" t="str">
        <f t="shared" si="140"/>
        <v>High</v>
      </c>
      <c r="V991" t="str">
        <f t="shared" si="141"/>
        <v>Low Risk</v>
      </c>
      <c r="W991" t="str">
        <f t="shared" si="142"/>
        <v>Jun</v>
      </c>
      <c r="X991">
        <f t="shared" si="143"/>
        <v>2025</v>
      </c>
    </row>
    <row r="992" spans="1:24" x14ac:dyDescent="0.35">
      <c r="A992" s="3">
        <v>45798</v>
      </c>
      <c r="B992" t="s">
        <v>159</v>
      </c>
      <c r="C992" t="s">
        <v>25</v>
      </c>
      <c r="D992" t="s">
        <v>1138</v>
      </c>
      <c r="E992" t="s">
        <v>66</v>
      </c>
      <c r="F992" t="s">
        <v>55</v>
      </c>
      <c r="G992" t="s">
        <v>71</v>
      </c>
      <c r="H992">
        <v>44.1</v>
      </c>
      <c r="I992">
        <v>1786</v>
      </c>
      <c r="J992">
        <v>117</v>
      </c>
      <c r="K992">
        <v>13</v>
      </c>
      <c r="L992" t="s">
        <v>43</v>
      </c>
      <c r="M992">
        <v>22497.01</v>
      </c>
      <c r="N992">
        <v>19154</v>
      </c>
      <c r="O992" t="s">
        <v>59</v>
      </c>
      <c r="P992" t="str">
        <f t="shared" si="135"/>
        <v>Yes</v>
      </c>
      <c r="Q992">
        <f t="shared" si="136"/>
        <v>40.5</v>
      </c>
      <c r="R992">
        <f t="shared" si="137"/>
        <v>12.6</v>
      </c>
      <c r="S992">
        <f t="shared" si="138"/>
        <v>1.17</v>
      </c>
      <c r="T992" t="str">
        <f t="shared" si="139"/>
        <v>Delayed</v>
      </c>
      <c r="U992" t="str">
        <f t="shared" si="140"/>
        <v>Medium</v>
      </c>
      <c r="V992" t="str">
        <f t="shared" si="141"/>
        <v>Low Risk</v>
      </c>
      <c r="W992" t="str">
        <f t="shared" si="142"/>
        <v>May</v>
      </c>
      <c r="X992">
        <f t="shared" si="143"/>
        <v>2025</v>
      </c>
    </row>
    <row r="993" spans="1:24" x14ac:dyDescent="0.35">
      <c r="A993" s="3">
        <v>45877</v>
      </c>
      <c r="B993" t="s">
        <v>152</v>
      </c>
      <c r="C993" t="s">
        <v>57</v>
      </c>
      <c r="D993" t="s">
        <v>1139</v>
      </c>
      <c r="E993" t="s">
        <v>27</v>
      </c>
      <c r="F993" t="s">
        <v>41</v>
      </c>
      <c r="G993" t="s">
        <v>29</v>
      </c>
      <c r="H993">
        <v>74.400000000000006</v>
      </c>
      <c r="I993">
        <v>3268</v>
      </c>
      <c r="J993">
        <v>37</v>
      </c>
      <c r="K993">
        <v>14.3</v>
      </c>
      <c r="L993" t="s">
        <v>30</v>
      </c>
      <c r="M993">
        <v>40394.120000000003</v>
      </c>
      <c r="N993">
        <v>13502</v>
      </c>
      <c r="O993" t="s">
        <v>84</v>
      </c>
      <c r="P993" t="str">
        <f t="shared" si="135"/>
        <v>Yes</v>
      </c>
      <c r="Q993">
        <f t="shared" si="136"/>
        <v>43.92</v>
      </c>
      <c r="R993">
        <f t="shared" si="137"/>
        <v>12.36</v>
      </c>
      <c r="S993">
        <f t="shared" si="138"/>
        <v>2.99</v>
      </c>
      <c r="T993" t="str">
        <f t="shared" si="139"/>
        <v>Delayed</v>
      </c>
      <c r="U993" t="str">
        <f t="shared" si="140"/>
        <v>High</v>
      </c>
      <c r="V993" t="str">
        <f t="shared" si="141"/>
        <v>Medium Risk</v>
      </c>
      <c r="W993" t="str">
        <f t="shared" si="142"/>
        <v>Aug</v>
      </c>
      <c r="X993">
        <f t="shared" si="143"/>
        <v>2025</v>
      </c>
    </row>
    <row r="994" spans="1:24" x14ac:dyDescent="0.35">
      <c r="A994" s="3">
        <v>45865</v>
      </c>
      <c r="B994" t="s">
        <v>275</v>
      </c>
      <c r="C994" t="s">
        <v>109</v>
      </c>
      <c r="D994" t="s">
        <v>1140</v>
      </c>
      <c r="E994" t="s">
        <v>28</v>
      </c>
      <c r="F994" t="s">
        <v>48</v>
      </c>
      <c r="G994" t="s">
        <v>71</v>
      </c>
      <c r="H994">
        <v>26.2</v>
      </c>
      <c r="I994">
        <v>2994</v>
      </c>
      <c r="J994">
        <v>104</v>
      </c>
      <c r="K994">
        <v>19.2</v>
      </c>
      <c r="L994" t="s">
        <v>78</v>
      </c>
      <c r="M994">
        <v>15341.28</v>
      </c>
      <c r="N994">
        <v>12461</v>
      </c>
      <c r="O994" t="s">
        <v>36</v>
      </c>
      <c r="P994" t="str">
        <f t="shared" si="135"/>
        <v>No</v>
      </c>
      <c r="Q994">
        <f t="shared" si="136"/>
        <v>114.27</v>
      </c>
      <c r="R994">
        <f t="shared" si="137"/>
        <v>5.12</v>
      </c>
      <c r="S994">
        <f t="shared" si="138"/>
        <v>1.23</v>
      </c>
      <c r="T994" t="str">
        <f t="shared" si="139"/>
        <v>On Time</v>
      </c>
      <c r="U994" t="str">
        <f t="shared" si="140"/>
        <v>Low</v>
      </c>
      <c r="V994" t="str">
        <f t="shared" si="141"/>
        <v>Low Risk</v>
      </c>
      <c r="W994" t="str">
        <f t="shared" si="142"/>
        <v>Jul</v>
      </c>
      <c r="X994">
        <f t="shared" si="143"/>
        <v>2025</v>
      </c>
    </row>
    <row r="995" spans="1:24" x14ac:dyDescent="0.35">
      <c r="A995" s="3">
        <v>45710</v>
      </c>
      <c r="B995" t="s">
        <v>80</v>
      </c>
      <c r="C995" t="s">
        <v>25</v>
      </c>
      <c r="D995" t="s">
        <v>1141</v>
      </c>
      <c r="E995" t="s">
        <v>55</v>
      </c>
      <c r="F995" t="s">
        <v>41</v>
      </c>
      <c r="G995" t="s">
        <v>29</v>
      </c>
      <c r="H995">
        <v>36</v>
      </c>
      <c r="I995">
        <v>669</v>
      </c>
      <c r="J995">
        <v>57</v>
      </c>
      <c r="K995">
        <v>16.8</v>
      </c>
      <c r="L995" t="s">
        <v>49</v>
      </c>
      <c r="M995">
        <v>19555.86</v>
      </c>
      <c r="N995">
        <v>27881</v>
      </c>
      <c r="O995" t="s">
        <v>67</v>
      </c>
      <c r="P995" t="str">
        <f t="shared" si="135"/>
        <v>Yes</v>
      </c>
      <c r="Q995">
        <f t="shared" si="136"/>
        <v>18.579999999999998</v>
      </c>
      <c r="R995">
        <f t="shared" si="137"/>
        <v>29.23</v>
      </c>
      <c r="S995">
        <f t="shared" si="138"/>
        <v>0.7</v>
      </c>
      <c r="T995" t="str">
        <f t="shared" si="139"/>
        <v>Delayed</v>
      </c>
      <c r="U995" t="str">
        <f t="shared" si="140"/>
        <v>Low</v>
      </c>
      <c r="V995" t="str">
        <f t="shared" si="141"/>
        <v>High Risk</v>
      </c>
      <c r="W995" t="str">
        <f t="shared" si="142"/>
        <v>Feb</v>
      </c>
      <c r="X995">
        <f t="shared" si="143"/>
        <v>2025</v>
      </c>
    </row>
    <row r="996" spans="1:24" x14ac:dyDescent="0.35">
      <c r="A996" s="3">
        <v>45893</v>
      </c>
      <c r="B996" t="s">
        <v>87</v>
      </c>
      <c r="C996" t="s">
        <v>52</v>
      </c>
      <c r="D996" t="s">
        <v>1142</v>
      </c>
      <c r="E996" t="s">
        <v>48</v>
      </c>
      <c r="F996" t="s">
        <v>66</v>
      </c>
      <c r="G996" t="s">
        <v>71</v>
      </c>
      <c r="H996">
        <v>31.9</v>
      </c>
      <c r="I996">
        <v>4316</v>
      </c>
      <c r="J996">
        <v>87</v>
      </c>
      <c r="K996">
        <v>12.6</v>
      </c>
      <c r="L996" t="s">
        <v>78</v>
      </c>
      <c r="M996">
        <v>15467.07</v>
      </c>
      <c r="N996">
        <v>19934</v>
      </c>
      <c r="O996" t="s">
        <v>91</v>
      </c>
      <c r="P996" t="str">
        <f t="shared" si="135"/>
        <v>No</v>
      </c>
      <c r="Q996">
        <f t="shared" si="136"/>
        <v>135.30000000000001</v>
      </c>
      <c r="R996">
        <f t="shared" si="137"/>
        <v>3.58</v>
      </c>
      <c r="S996">
        <f t="shared" si="138"/>
        <v>0.78</v>
      </c>
      <c r="T996" t="str">
        <f t="shared" si="139"/>
        <v>On Time</v>
      </c>
      <c r="U996" t="str">
        <f t="shared" si="140"/>
        <v>Low</v>
      </c>
      <c r="V996" t="str">
        <f t="shared" si="141"/>
        <v>Low Risk</v>
      </c>
      <c r="W996" t="str">
        <f t="shared" si="142"/>
        <v>Aug</v>
      </c>
      <c r="X996">
        <f t="shared" si="143"/>
        <v>2025</v>
      </c>
    </row>
    <row r="997" spans="1:24" x14ac:dyDescent="0.35">
      <c r="A997" s="3">
        <v>45895</v>
      </c>
      <c r="B997" t="s">
        <v>80</v>
      </c>
      <c r="C997" t="s">
        <v>57</v>
      </c>
      <c r="D997" t="s">
        <v>1143</v>
      </c>
      <c r="E997" t="s">
        <v>41</v>
      </c>
      <c r="F997" t="s">
        <v>27</v>
      </c>
      <c r="G997" t="s">
        <v>71</v>
      </c>
      <c r="H997">
        <v>68.900000000000006</v>
      </c>
      <c r="I997">
        <v>4524</v>
      </c>
      <c r="J997">
        <v>29</v>
      </c>
      <c r="K997">
        <v>19.2</v>
      </c>
      <c r="L997" t="s">
        <v>30</v>
      </c>
      <c r="M997">
        <v>34328.43</v>
      </c>
      <c r="N997">
        <v>28806</v>
      </c>
      <c r="O997" t="s">
        <v>36</v>
      </c>
      <c r="P997" t="str">
        <f t="shared" si="135"/>
        <v>Yes</v>
      </c>
      <c r="Q997">
        <f t="shared" si="136"/>
        <v>65.66</v>
      </c>
      <c r="R997">
        <f t="shared" si="137"/>
        <v>7.59</v>
      </c>
      <c r="S997">
        <f t="shared" si="138"/>
        <v>1.19</v>
      </c>
      <c r="T997" t="str">
        <f t="shared" si="139"/>
        <v>Delayed</v>
      </c>
      <c r="U997" t="str">
        <f t="shared" si="140"/>
        <v>High</v>
      </c>
      <c r="V997" t="str">
        <f t="shared" si="141"/>
        <v>Medium Risk</v>
      </c>
      <c r="W997" t="str">
        <f t="shared" si="142"/>
        <v>Aug</v>
      </c>
      <c r="X997">
        <f t="shared" si="143"/>
        <v>2025</v>
      </c>
    </row>
    <row r="998" spans="1:24" x14ac:dyDescent="0.35">
      <c r="A998" s="3">
        <v>45754</v>
      </c>
      <c r="B998" t="s">
        <v>167</v>
      </c>
      <c r="C998" t="s">
        <v>57</v>
      </c>
      <c r="D998" t="s">
        <v>1144</v>
      </c>
      <c r="E998" t="s">
        <v>54</v>
      </c>
      <c r="F998" t="s">
        <v>41</v>
      </c>
      <c r="G998" t="s">
        <v>71</v>
      </c>
      <c r="H998">
        <v>45.1</v>
      </c>
      <c r="I998">
        <v>4451</v>
      </c>
      <c r="J998">
        <v>43</v>
      </c>
      <c r="K998">
        <v>19</v>
      </c>
      <c r="L998" t="s">
        <v>78</v>
      </c>
      <c r="M998">
        <v>31535.61</v>
      </c>
      <c r="N998">
        <v>12255</v>
      </c>
      <c r="O998" t="s">
        <v>31</v>
      </c>
      <c r="P998" t="str">
        <f t="shared" si="135"/>
        <v>No</v>
      </c>
      <c r="Q998">
        <f t="shared" si="136"/>
        <v>98.69</v>
      </c>
      <c r="R998">
        <f t="shared" si="137"/>
        <v>7.09</v>
      </c>
      <c r="S998">
        <f t="shared" si="138"/>
        <v>2.57</v>
      </c>
      <c r="T998" t="str">
        <f t="shared" si="139"/>
        <v>On Time</v>
      </c>
      <c r="U998" t="str">
        <f t="shared" si="140"/>
        <v>Medium</v>
      </c>
      <c r="V998" t="str">
        <f t="shared" si="141"/>
        <v>Low Risk</v>
      </c>
      <c r="W998" t="str">
        <f t="shared" si="142"/>
        <v>Apr</v>
      </c>
      <c r="X998">
        <f t="shared" si="143"/>
        <v>2025</v>
      </c>
    </row>
    <row r="999" spans="1:24" x14ac:dyDescent="0.35">
      <c r="A999" s="3">
        <v>45913</v>
      </c>
      <c r="B999" t="s">
        <v>46</v>
      </c>
      <c r="C999" t="s">
        <v>95</v>
      </c>
      <c r="D999" t="s">
        <v>1145</v>
      </c>
      <c r="E999" t="s">
        <v>54</v>
      </c>
      <c r="F999" t="s">
        <v>63</v>
      </c>
      <c r="G999" t="s">
        <v>71</v>
      </c>
      <c r="H999">
        <v>70.7</v>
      </c>
      <c r="I999">
        <v>2095</v>
      </c>
      <c r="J999">
        <v>51</v>
      </c>
      <c r="K999">
        <v>13.5</v>
      </c>
      <c r="L999" t="s">
        <v>43</v>
      </c>
      <c r="M999">
        <v>48361.55</v>
      </c>
      <c r="N999">
        <v>12520</v>
      </c>
      <c r="O999" t="s">
        <v>44</v>
      </c>
      <c r="P999" t="str">
        <f t="shared" si="135"/>
        <v>Yes</v>
      </c>
      <c r="Q999">
        <f t="shared" si="136"/>
        <v>29.63</v>
      </c>
      <c r="R999">
        <f t="shared" si="137"/>
        <v>23.08</v>
      </c>
      <c r="S999">
        <f t="shared" si="138"/>
        <v>3.86</v>
      </c>
      <c r="T999" t="str">
        <f t="shared" si="139"/>
        <v>Delayed</v>
      </c>
      <c r="U999" t="str">
        <f t="shared" si="140"/>
        <v>High</v>
      </c>
      <c r="V999" t="str">
        <f t="shared" si="141"/>
        <v>Low Risk</v>
      </c>
      <c r="W999" t="str">
        <f t="shared" si="142"/>
        <v>Sep</v>
      </c>
      <c r="X999">
        <f t="shared" si="143"/>
        <v>2025</v>
      </c>
    </row>
    <row r="1000" spans="1:24" x14ac:dyDescent="0.35">
      <c r="A1000" s="3">
        <v>45738</v>
      </c>
      <c r="B1000" t="s">
        <v>157</v>
      </c>
      <c r="C1000" t="s">
        <v>57</v>
      </c>
      <c r="D1000" t="s">
        <v>1146</v>
      </c>
      <c r="E1000" t="s">
        <v>63</v>
      </c>
      <c r="F1000" t="s">
        <v>66</v>
      </c>
      <c r="G1000" t="s">
        <v>29</v>
      </c>
      <c r="H1000">
        <v>55.8</v>
      </c>
      <c r="I1000">
        <v>4525</v>
      </c>
      <c r="J1000">
        <v>89</v>
      </c>
      <c r="K1000">
        <v>19.5</v>
      </c>
      <c r="L1000" t="s">
        <v>78</v>
      </c>
      <c r="M1000">
        <v>36467.699999999997</v>
      </c>
      <c r="N1000">
        <v>20860</v>
      </c>
      <c r="O1000" t="s">
        <v>59</v>
      </c>
      <c r="P1000" t="str">
        <f t="shared" si="135"/>
        <v>No</v>
      </c>
      <c r="Q1000">
        <f t="shared" si="136"/>
        <v>81.09</v>
      </c>
      <c r="R1000">
        <f t="shared" si="137"/>
        <v>8.06</v>
      </c>
      <c r="S1000">
        <f t="shared" si="138"/>
        <v>1.75</v>
      </c>
      <c r="T1000" t="str">
        <f t="shared" si="139"/>
        <v>On Time</v>
      </c>
      <c r="U1000" t="str">
        <f t="shared" si="140"/>
        <v>Medium</v>
      </c>
      <c r="V1000" t="str">
        <f t="shared" si="141"/>
        <v>Low Risk</v>
      </c>
      <c r="W1000" t="str">
        <f t="shared" si="142"/>
        <v>Mar</v>
      </c>
      <c r="X1000">
        <f t="shared" si="143"/>
        <v>2025</v>
      </c>
    </row>
    <row r="1001" spans="1:24" x14ac:dyDescent="0.35">
      <c r="A1001" s="3">
        <v>45771</v>
      </c>
      <c r="B1001" t="s">
        <v>136</v>
      </c>
      <c r="C1001" t="s">
        <v>95</v>
      </c>
      <c r="D1001" t="s">
        <v>1147</v>
      </c>
      <c r="E1001" t="s">
        <v>54</v>
      </c>
      <c r="F1001" t="s">
        <v>28</v>
      </c>
      <c r="G1001" t="s">
        <v>35</v>
      </c>
      <c r="H1001">
        <v>72</v>
      </c>
      <c r="I1001">
        <v>1319</v>
      </c>
      <c r="J1001">
        <v>83</v>
      </c>
      <c r="K1001">
        <v>21.8</v>
      </c>
      <c r="L1001" t="s">
        <v>78</v>
      </c>
      <c r="M1001">
        <v>49169.43</v>
      </c>
      <c r="N1001">
        <v>5186</v>
      </c>
      <c r="O1001" t="s">
        <v>44</v>
      </c>
      <c r="P1001" t="str">
        <f t="shared" si="135"/>
        <v>No</v>
      </c>
      <c r="Q1001">
        <f t="shared" si="136"/>
        <v>18.32</v>
      </c>
      <c r="R1001">
        <f t="shared" si="137"/>
        <v>37.28</v>
      </c>
      <c r="S1001">
        <f t="shared" si="138"/>
        <v>9.48</v>
      </c>
      <c r="T1001" t="str">
        <f t="shared" si="139"/>
        <v>On Time</v>
      </c>
      <c r="U1001" t="str">
        <f t="shared" si="140"/>
        <v>High</v>
      </c>
      <c r="V1001" t="str">
        <f t="shared" si="141"/>
        <v>Low Risk</v>
      </c>
      <c r="W1001" t="str">
        <f t="shared" si="142"/>
        <v>Apr</v>
      </c>
      <c r="X1001">
        <f t="shared" si="143"/>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B2C8-B131-4BDF-8AA2-9D7AE520C729}">
  <dimension ref="A2:J25"/>
  <sheetViews>
    <sheetView showGridLines="0" zoomScale="65" zoomScaleNormal="77" workbookViewId="0">
      <selection activeCell="O5" sqref="O5"/>
    </sheetView>
  </sheetViews>
  <sheetFormatPr defaultRowHeight="14.5" x14ac:dyDescent="0.35"/>
  <cols>
    <col min="1" max="1" width="13.6328125" bestFit="1" customWidth="1"/>
    <col min="2" max="2" width="24.6328125" bestFit="1" customWidth="1"/>
    <col min="5" max="5" width="13.6328125" bestFit="1" customWidth="1"/>
    <col min="6" max="6" width="14.453125" bestFit="1" customWidth="1"/>
    <col min="9" max="9" width="13.6328125" bestFit="1" customWidth="1"/>
    <col min="10" max="10" width="20.08984375" bestFit="1" customWidth="1"/>
  </cols>
  <sheetData>
    <row r="2" spans="1:10" ht="21" x14ac:dyDescent="0.5">
      <c r="D2" s="12" t="s">
        <v>1157</v>
      </c>
      <c r="E2" s="13"/>
      <c r="F2" s="13"/>
    </row>
    <row r="4" spans="1:10" ht="18.5" x14ac:dyDescent="0.45">
      <c r="A4" s="14" t="s">
        <v>1158</v>
      </c>
      <c r="B4" s="15"/>
      <c r="E4" s="14" t="s">
        <v>1159</v>
      </c>
      <c r="F4" s="15"/>
      <c r="I4" s="14" t="s">
        <v>1160</v>
      </c>
      <c r="J4" s="15"/>
    </row>
    <row r="6" spans="1:10" x14ac:dyDescent="0.35">
      <c r="A6" s="8" t="s">
        <v>1148</v>
      </c>
      <c r="B6" s="8" t="s">
        <v>1150</v>
      </c>
      <c r="E6" s="8" t="s">
        <v>1148</v>
      </c>
      <c r="F6" s="8" t="s">
        <v>1150</v>
      </c>
      <c r="I6" s="8" t="s">
        <v>1148</v>
      </c>
      <c r="J6" s="8" t="s">
        <v>1151</v>
      </c>
    </row>
    <row r="7" spans="1:10" x14ac:dyDescent="0.35">
      <c r="A7" s="5" t="s">
        <v>97</v>
      </c>
      <c r="B7" s="31">
        <v>703.99999999999989</v>
      </c>
      <c r="E7" s="6" t="s">
        <v>42</v>
      </c>
      <c r="F7" s="11">
        <v>12131.899999999992</v>
      </c>
      <c r="I7" s="6" t="s">
        <v>95</v>
      </c>
      <c r="J7" s="29">
        <v>3681124.3600000008</v>
      </c>
    </row>
    <row r="8" spans="1:10" x14ac:dyDescent="0.35">
      <c r="A8" s="5" t="s">
        <v>72</v>
      </c>
      <c r="B8" s="31">
        <v>642.4</v>
      </c>
      <c r="E8" s="7" t="s">
        <v>1149</v>
      </c>
      <c r="F8" s="8">
        <v>12131.899999999992</v>
      </c>
      <c r="I8" s="7" t="s">
        <v>1149</v>
      </c>
      <c r="J8" s="30">
        <v>3681124.3600000008</v>
      </c>
    </row>
    <row r="9" spans="1:10" x14ac:dyDescent="0.35">
      <c r="A9" s="5" t="s">
        <v>32</v>
      </c>
      <c r="B9" s="31">
        <v>375.90000000000003</v>
      </c>
    </row>
    <row r="10" spans="1:10" x14ac:dyDescent="0.35">
      <c r="A10" s="5" t="s">
        <v>45</v>
      </c>
      <c r="B10" s="31">
        <v>690.7</v>
      </c>
    </row>
    <row r="11" spans="1:10" x14ac:dyDescent="0.35">
      <c r="A11" s="5" t="s">
        <v>141</v>
      </c>
      <c r="B11" s="31">
        <v>522.9</v>
      </c>
    </row>
    <row r="12" spans="1:10" x14ac:dyDescent="0.35">
      <c r="A12" s="5" t="s">
        <v>37</v>
      </c>
      <c r="B12" s="31">
        <v>436.5</v>
      </c>
    </row>
    <row r="13" spans="1:10" x14ac:dyDescent="0.35">
      <c r="A13" s="5" t="s">
        <v>144</v>
      </c>
      <c r="B13" s="31">
        <v>444.09999999999997</v>
      </c>
    </row>
    <row r="14" spans="1:10" x14ac:dyDescent="0.35">
      <c r="A14" s="5" t="s">
        <v>75</v>
      </c>
      <c r="B14" s="31">
        <v>419.49999999999994</v>
      </c>
    </row>
    <row r="15" spans="1:10" x14ac:dyDescent="0.35">
      <c r="A15" s="5" t="s">
        <v>85</v>
      </c>
      <c r="B15" s="31">
        <v>501.70000000000005</v>
      </c>
    </row>
    <row r="16" spans="1:10" x14ac:dyDescent="0.35">
      <c r="A16" s="5" t="s">
        <v>79</v>
      </c>
      <c r="B16" s="31">
        <v>667.90000000000009</v>
      </c>
    </row>
    <row r="17" spans="1:10" x14ac:dyDescent="0.35">
      <c r="A17" s="5" t="s">
        <v>60</v>
      </c>
      <c r="B17" s="31">
        <v>362.80000000000007</v>
      </c>
    </row>
    <row r="18" spans="1:10" x14ac:dyDescent="0.35">
      <c r="A18" s="5" t="s">
        <v>51</v>
      </c>
      <c r="B18" s="31">
        <v>650.40000000000009</v>
      </c>
    </row>
    <row r="19" spans="1:10" x14ac:dyDescent="0.35">
      <c r="A19" s="7" t="s">
        <v>1149</v>
      </c>
      <c r="B19" s="30">
        <v>6418.8000000000011</v>
      </c>
    </row>
    <row r="20" spans="1:10" x14ac:dyDescent="0.35">
      <c r="A20" s="9"/>
      <c r="B20" s="4"/>
    </row>
    <row r="21" spans="1:10" ht="18.5" x14ac:dyDescent="0.45">
      <c r="A21" s="16" t="s">
        <v>1161</v>
      </c>
      <c r="B21" s="17"/>
      <c r="E21" s="14" t="s">
        <v>1162</v>
      </c>
      <c r="F21" s="15"/>
      <c r="I21" s="14" t="s">
        <v>1154</v>
      </c>
      <c r="J21" s="15"/>
    </row>
    <row r="23" spans="1:10" x14ac:dyDescent="0.35">
      <c r="A23" s="8" t="s">
        <v>1148</v>
      </c>
      <c r="B23" s="8" t="s">
        <v>1150</v>
      </c>
      <c r="E23" s="8" t="s">
        <v>1148</v>
      </c>
      <c r="F23" s="8" t="s">
        <v>1152</v>
      </c>
      <c r="I23" s="8" t="s">
        <v>1148</v>
      </c>
      <c r="J23" s="8" t="s">
        <v>1153</v>
      </c>
    </row>
    <row r="24" spans="1:10" x14ac:dyDescent="0.35">
      <c r="A24" s="6" t="s">
        <v>30</v>
      </c>
      <c r="B24" s="29">
        <v>1659.1999999999998</v>
      </c>
      <c r="E24" s="6" t="s">
        <v>1178</v>
      </c>
      <c r="F24" s="29">
        <v>97</v>
      </c>
      <c r="I24" s="6" t="s">
        <v>95</v>
      </c>
      <c r="J24" s="29">
        <v>68.518640000000019</v>
      </c>
    </row>
    <row r="25" spans="1:10" x14ac:dyDescent="0.35">
      <c r="A25" s="7" t="s">
        <v>1149</v>
      </c>
      <c r="B25" s="30">
        <v>1659.1999999999998</v>
      </c>
      <c r="E25" s="7" t="s">
        <v>1149</v>
      </c>
      <c r="F25" s="30">
        <v>97</v>
      </c>
      <c r="I25" s="7" t="s">
        <v>1149</v>
      </c>
      <c r="J25" s="30">
        <v>68.518640000000019</v>
      </c>
    </row>
  </sheetData>
  <mergeCells count="7">
    <mergeCell ref="D2:F2"/>
    <mergeCell ref="A4:B4"/>
    <mergeCell ref="E4:F4"/>
    <mergeCell ref="I4:J4"/>
    <mergeCell ref="A21:B21"/>
    <mergeCell ref="E21:F21"/>
    <mergeCell ref="I21:J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184D-3828-4980-9046-386ADBA2FC8A}">
  <dimension ref="A2:E14"/>
  <sheetViews>
    <sheetView showGridLines="0" zoomScale="109" zoomScaleNormal="100" workbookViewId="0">
      <selection activeCell="G15" sqref="G15"/>
    </sheetView>
  </sheetViews>
  <sheetFormatPr defaultRowHeight="14.5" x14ac:dyDescent="0.35"/>
  <cols>
    <col min="1" max="1" width="19.08984375" bestFit="1" customWidth="1"/>
    <col min="2" max="2" width="10.81640625" bestFit="1" customWidth="1"/>
    <col min="4" max="4" width="22.90625" bestFit="1" customWidth="1"/>
  </cols>
  <sheetData>
    <row r="2" spans="1:5" ht="15.5" x14ac:dyDescent="0.35">
      <c r="B2" s="18" t="s">
        <v>1156</v>
      </c>
      <c r="C2" s="19"/>
      <c r="D2" s="19"/>
    </row>
    <row r="5" spans="1:5" x14ac:dyDescent="0.35">
      <c r="A5" s="20" t="s">
        <v>1167</v>
      </c>
      <c r="B5" s="21"/>
      <c r="D5" s="20" t="s">
        <v>1170</v>
      </c>
      <c r="E5" s="21"/>
    </row>
    <row r="6" spans="1:5" x14ac:dyDescent="0.35">
      <c r="A6" s="10" t="s">
        <v>1163</v>
      </c>
      <c r="B6" s="10">
        <f>SUM(datasets!H:H)</f>
        <v>50023.899999999994</v>
      </c>
      <c r="D6" s="10" t="s">
        <v>1169</v>
      </c>
      <c r="E6" s="10">
        <f>AVERAGE(datasets!Q:Q)</f>
        <v>65.722309999999936</v>
      </c>
    </row>
    <row r="9" spans="1:5" x14ac:dyDescent="0.35">
      <c r="A9" s="20" t="s">
        <v>1166</v>
      </c>
      <c r="B9" s="21"/>
      <c r="D9" s="20" t="s">
        <v>1171</v>
      </c>
      <c r="E9" s="21"/>
    </row>
    <row r="10" spans="1:5" x14ac:dyDescent="0.35">
      <c r="A10" s="10" t="s">
        <v>1164</v>
      </c>
      <c r="B10" s="10">
        <f>SUM(datasets!M:M)</f>
        <v>28895137.789999977</v>
      </c>
      <c r="D10" s="10" t="s">
        <v>1172</v>
      </c>
      <c r="E10" s="10">
        <f>COUNTIF(datasets!P:P,"YES")</f>
        <v>742</v>
      </c>
    </row>
    <row r="11" spans="1:5" x14ac:dyDescent="0.35">
      <c r="D11" s="10" t="s">
        <v>1155</v>
      </c>
      <c r="E11" s="10">
        <f>COUNTIF(datasets!P:P,"NO")</f>
        <v>257</v>
      </c>
    </row>
    <row r="13" spans="1:5" x14ac:dyDescent="0.35">
      <c r="A13" s="20" t="s">
        <v>1165</v>
      </c>
      <c r="B13" s="21"/>
      <c r="D13" s="20" t="s">
        <v>1174</v>
      </c>
      <c r="E13" s="21"/>
    </row>
    <row r="14" spans="1:5" x14ac:dyDescent="0.35">
      <c r="A14" s="10" t="s">
        <v>1168</v>
      </c>
      <c r="B14" s="10">
        <f>COUNTA(_xlfn.UNIQUE(datasets!B:B))-1</f>
        <v>81</v>
      </c>
      <c r="D14" s="10" t="s">
        <v>1173</v>
      </c>
      <c r="E14" s="10">
        <f>COUNTA(datasets!D:D)-1</f>
        <v>1000</v>
      </c>
    </row>
  </sheetData>
  <mergeCells count="7">
    <mergeCell ref="B2:D2"/>
    <mergeCell ref="A5:B5"/>
    <mergeCell ref="A9:B9"/>
    <mergeCell ref="A13:B13"/>
    <mergeCell ref="D5:E5"/>
    <mergeCell ref="D9:E9"/>
    <mergeCell ref="D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9CCD-916F-4EE5-8EF7-9FC7FABD1C97}">
  <dimension ref="A1:AK19"/>
  <sheetViews>
    <sheetView showGridLines="0" showRowColHeaders="0" tabSelected="1" zoomScale="31" zoomScaleNormal="37" workbookViewId="0">
      <selection activeCell="BB39" sqref="BB39"/>
    </sheetView>
  </sheetViews>
  <sheetFormatPr defaultRowHeight="14.5" x14ac:dyDescent="0.35"/>
  <cols>
    <col min="1" max="37" width="8.7265625" style="23"/>
    <col min="38" max="38" width="8.7265625" style="23" customWidth="1"/>
    <col min="39" max="16384" width="8.7265625" style="23"/>
  </cols>
  <sheetData>
    <row r="1" spans="1:37" ht="14.5" customHeight="1" x14ac:dyDescent="0.8">
      <c r="A1" s="22"/>
      <c r="B1" s="22"/>
      <c r="C1" s="22"/>
      <c r="D1" s="22"/>
      <c r="E1" s="22"/>
      <c r="F1" s="22"/>
      <c r="G1" s="22"/>
      <c r="H1" s="22"/>
      <c r="I1" s="22"/>
      <c r="J1" s="22"/>
      <c r="K1" s="22"/>
      <c r="L1" s="22"/>
      <c r="M1" s="22"/>
      <c r="N1" s="22"/>
      <c r="O1" s="22"/>
      <c r="P1" s="22"/>
      <c r="Q1" s="22"/>
      <c r="R1" s="22"/>
      <c r="S1" s="22"/>
      <c r="T1" s="22"/>
      <c r="U1" s="22"/>
      <c r="V1" s="22"/>
      <c r="W1" s="22"/>
      <c r="X1" s="22"/>
    </row>
    <row r="2" spans="1:37" ht="14.5" customHeight="1" x14ac:dyDescent="0.8">
      <c r="A2" s="22"/>
      <c r="B2" s="22"/>
      <c r="C2" s="22"/>
      <c r="D2" s="22"/>
      <c r="E2" s="22"/>
      <c r="F2" s="22"/>
      <c r="G2" s="22"/>
      <c r="H2" s="22"/>
      <c r="I2" s="22"/>
      <c r="J2" s="22"/>
      <c r="K2" s="22"/>
      <c r="L2" s="22"/>
      <c r="M2" s="22"/>
      <c r="N2" s="22"/>
      <c r="O2" s="22"/>
      <c r="P2" s="22"/>
      <c r="Q2" s="22"/>
      <c r="R2" s="22"/>
      <c r="S2" s="22"/>
      <c r="T2" s="22"/>
      <c r="U2" s="22"/>
      <c r="V2" s="22"/>
      <c r="W2" s="22"/>
      <c r="X2" s="22"/>
    </row>
    <row r="3" spans="1:37" ht="18" customHeight="1" x14ac:dyDescent="0.8">
      <c r="A3" s="22"/>
      <c r="B3" s="22"/>
      <c r="C3" s="22"/>
      <c r="D3" s="22"/>
      <c r="E3" s="22"/>
      <c r="F3" s="22"/>
      <c r="G3" s="22"/>
      <c r="H3" s="22"/>
      <c r="I3" s="22"/>
      <c r="J3" s="22"/>
      <c r="K3" s="22"/>
      <c r="L3" s="22"/>
      <c r="M3" s="22"/>
      <c r="N3" s="22"/>
      <c r="O3" s="22"/>
      <c r="P3" s="22"/>
      <c r="Q3" s="22"/>
      <c r="R3" s="22"/>
      <c r="S3" s="22"/>
      <c r="T3" s="22"/>
      <c r="U3" s="22"/>
      <c r="V3" s="22"/>
      <c r="W3" s="22"/>
      <c r="X3" s="22"/>
    </row>
    <row r="4" spans="1:37" ht="17.5" customHeight="1" x14ac:dyDescent="0.8">
      <c r="A4" s="22"/>
      <c r="B4" s="22"/>
      <c r="C4" s="22"/>
      <c r="D4" s="22"/>
      <c r="E4" s="22"/>
      <c r="F4" s="22"/>
      <c r="G4" s="22"/>
      <c r="H4" s="24"/>
      <c r="I4" s="22"/>
      <c r="J4" s="22"/>
      <c r="K4" s="22"/>
      <c r="L4" s="22"/>
      <c r="M4" s="22"/>
      <c r="N4" s="22"/>
      <c r="O4" s="22"/>
      <c r="P4" s="22"/>
      <c r="Q4" s="22"/>
      <c r="R4" s="22"/>
      <c r="S4" s="22"/>
      <c r="T4" s="22"/>
      <c r="U4" s="22"/>
      <c r="V4" s="22"/>
      <c r="W4" s="22"/>
      <c r="X4" s="22"/>
    </row>
    <row r="5" spans="1:37" x14ac:dyDescent="0.35">
      <c r="A5" s="24" t="s">
        <v>1175</v>
      </c>
      <c r="B5" s="24"/>
      <c r="C5" s="24"/>
      <c r="D5" s="24"/>
      <c r="E5" s="24"/>
    </row>
    <row r="6" spans="1:37" ht="21" x14ac:dyDescent="0.5">
      <c r="A6" s="24"/>
      <c r="B6" s="24"/>
      <c r="C6" s="24"/>
      <c r="D6" s="24"/>
      <c r="E6" s="24"/>
      <c r="F6" s="24"/>
      <c r="J6" s="25" t="s">
        <v>1176</v>
      </c>
      <c r="K6" s="23" t="s">
        <v>1179</v>
      </c>
    </row>
    <row r="8" spans="1:37" x14ac:dyDescent="0.35">
      <c r="A8" s="26"/>
      <c r="B8" s="27"/>
      <c r="C8" s="27"/>
      <c r="D8" s="27"/>
    </row>
    <row r="9" spans="1:37" x14ac:dyDescent="0.35">
      <c r="A9" s="27"/>
      <c r="B9" s="27"/>
      <c r="C9" s="27"/>
      <c r="D9" s="27"/>
      <c r="AK9" s="23" t="s">
        <v>1179</v>
      </c>
    </row>
    <row r="15" spans="1:37" ht="23.5" x14ac:dyDescent="0.55000000000000004">
      <c r="AI15" s="28"/>
    </row>
    <row r="18" spans="30:34" x14ac:dyDescent="0.35">
      <c r="AH18" s="23" t="s">
        <v>1177</v>
      </c>
    </row>
    <row r="19" spans="30:34" ht="23.5" x14ac:dyDescent="0.55000000000000004">
      <c r="AD19" s="28"/>
    </row>
  </sheetData>
  <mergeCells count="1">
    <mergeCell ref="A8:D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datasets</vt:lpstr>
      <vt:lpstr>Clcs</vt:lpstr>
      <vt:lpstr>PivotTables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prithichelladurai@gmail.com</cp:lastModifiedBy>
  <dcterms:created xsi:type="dcterms:W3CDTF">2026-07-09T15:02:51Z</dcterms:created>
  <dcterms:modified xsi:type="dcterms:W3CDTF">2026-10-13T04:40:16Z</dcterms:modified>
</cp:coreProperties>
</file>